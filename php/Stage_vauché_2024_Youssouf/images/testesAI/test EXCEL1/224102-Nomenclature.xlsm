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rd\Desktop\Stage_vauché_2024_Youssouf\images\testesAI\test EXCEL1\"/>
    </mc:Choice>
  </mc:AlternateContent>
  <xr:revisionPtr revIDLastSave="0" documentId="13_ncr:1_{F68DD9AF-D753-4272-A611-44495DDBC97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visions" sheetId="20" r:id="rId1"/>
    <sheet name="NOMENCLATURE_GEN" sheetId="6" r:id="rId2"/>
    <sheet name="Tambours" sheetId="17" r:id="rId3"/>
    <sheet name="Motorisation" sheetId="8" r:id="rId4"/>
    <sheet name="Bandes" sheetId="10" r:id="rId5"/>
    <sheet name="Rouleaux" sheetId="16" r:id="rId6"/>
    <sheet name="Paliers" sheetId="15" r:id="rId7"/>
    <sheet name="Chaines" sheetId="19" r:id="rId8"/>
    <sheet name="Elec" sheetId="12" r:id="rId9"/>
    <sheet name="Bilan puissance" sheetId="18" r:id="rId10"/>
    <sheet name="données" sheetId="11" r:id="rId11"/>
  </sheets>
  <definedNames>
    <definedName name="_xlnm._FilterDatabase" localSheetId="4" hidden="1">Bandes!$B$7:$V$140</definedName>
    <definedName name="_xlnm._FilterDatabase" localSheetId="9" hidden="1">'Bilan puissance'!$B$7:$X$140</definedName>
    <definedName name="_xlnm._FilterDatabase" localSheetId="7" hidden="1">Chaines!$B$7:$N$140</definedName>
    <definedName name="_xlnm._FilterDatabase" localSheetId="8" hidden="1">Elec!$B$7:$AC$140</definedName>
    <definedName name="_xlnm._FilterDatabase" localSheetId="3" hidden="1">Motorisation!$B$7:$Z$140</definedName>
    <definedName name="_xlnm._FilterDatabase" localSheetId="1" hidden="1">NOMENCLATURE_GEN!$B$7:$AB$140</definedName>
    <definedName name="_xlnm._FilterDatabase" localSheetId="6" hidden="1">Paliers!$I$7:$O$52</definedName>
    <definedName name="_xlnm._FilterDatabase" localSheetId="5" hidden="1">Rouleaux!$B$7:$X$140</definedName>
    <definedName name="_xlnm._FilterDatabase" localSheetId="2" hidden="1">Tambours!$B$7:$U$140</definedName>
    <definedName name="_xlnm.Criteria" localSheetId="4">Bandes!$J$4:$J$5</definedName>
    <definedName name="_xlnm.Criteria" localSheetId="9">'Bilan puissance'!#REF!</definedName>
    <definedName name="_xlnm.Criteria" localSheetId="7">Chaines!$J$4:$J$5</definedName>
    <definedName name="_xlnm.Criteria" localSheetId="8">Elec!$J$4:$J$5</definedName>
    <definedName name="_xlnm.Criteria" localSheetId="3">Motorisation!$J$4:$J$5</definedName>
    <definedName name="_xlnm.Criteria" localSheetId="1">NOMENCLATURE_GEN!$J$4:$J$5</definedName>
    <definedName name="_xlnm.Criteria" localSheetId="5">Rouleaux!$J$4:$J$5</definedName>
    <definedName name="_xlnm.Criteria" localSheetId="2">Tambours!$J$4:$J$5</definedName>
    <definedName name="LG_TBE">#REF!</definedName>
    <definedName name="Pas_250">#REF!</definedName>
    <definedName name="_xlnm.Print_Area" localSheetId="4">Bandes!$A$1:$W$153</definedName>
    <definedName name="_xlnm.Print_Area" localSheetId="9">'Bilan puissance'!$A$1:$Y$153</definedName>
    <definedName name="_xlnm.Print_Area" localSheetId="7">Chaines!$A$1:$T$153</definedName>
    <definedName name="_xlnm.Print_Area" localSheetId="8">Elec!$A$1:$AD$153</definedName>
    <definedName name="_xlnm.Print_Area" localSheetId="3">Motorisation!$A$1:$AA$153</definedName>
    <definedName name="_xlnm.Print_Area" localSheetId="1">NOMENCLATURE_GEN!$A$1:$AD$153</definedName>
    <definedName name="_xlnm.Print_Area" localSheetId="6">Paliers!$A$1:$P$68</definedName>
    <definedName name="_xlnm.Print_Area" localSheetId="5">Rouleaux!$A$1:$Y$186</definedName>
    <definedName name="_xlnm.Print_Area" localSheetId="2">Tambours!$A$1:$V$153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1" i="16" l="1"/>
  <c r="R100" i="16"/>
  <c r="R99" i="16"/>
  <c r="R92" i="16"/>
  <c r="R91" i="16"/>
  <c r="R90" i="16"/>
  <c r="R56" i="16"/>
  <c r="R52" i="16"/>
  <c r="R50" i="16"/>
  <c r="R43" i="16"/>
  <c r="R42" i="16"/>
  <c r="R38" i="16"/>
  <c r="R37" i="16"/>
  <c r="R29" i="16"/>
  <c r="R21" i="16"/>
  <c r="R20" i="16"/>
  <c r="R19" i="16"/>
  <c r="R18" i="16"/>
  <c r="R17" i="16"/>
  <c r="R16" i="16"/>
  <c r="R15" i="16"/>
  <c r="R12" i="16"/>
  <c r="R10" i="16"/>
  <c r="Z125" i="6"/>
  <c r="Z120" i="6"/>
  <c r="Z119" i="6"/>
  <c r="Z118" i="6"/>
  <c r="Z82" i="6"/>
  <c r="Z81" i="6"/>
  <c r="Z80" i="6"/>
  <c r="Z79" i="6"/>
  <c r="Z77" i="6"/>
  <c r="Z75" i="6"/>
  <c r="Z74" i="6"/>
  <c r="Z73" i="6"/>
  <c r="Z68" i="6"/>
  <c r="Z67" i="6"/>
  <c r="Z66" i="6"/>
  <c r="Z65" i="6"/>
  <c r="Z64" i="6"/>
  <c r="Z62" i="6"/>
  <c r="Z61" i="6"/>
  <c r="Z60" i="6"/>
  <c r="Z59" i="6"/>
  <c r="Z48" i="6"/>
  <c r="Z39" i="6"/>
  <c r="Z36" i="6"/>
  <c r="Z35" i="6"/>
  <c r="Z34" i="6"/>
  <c r="C122" i="19"/>
  <c r="K43" i="15"/>
  <c r="K42" i="15"/>
  <c r="M122" i="18"/>
  <c r="N122" i="18" s="1"/>
  <c r="L122" i="18"/>
  <c r="G122" i="18"/>
  <c r="F122" i="18"/>
  <c r="D122" i="18"/>
  <c r="B122" i="18"/>
  <c r="J122" i="12"/>
  <c r="I122" i="12"/>
  <c r="H122" i="12"/>
  <c r="G122" i="12"/>
  <c r="F122" i="12"/>
  <c r="D122" i="12"/>
  <c r="B122" i="12"/>
  <c r="J122" i="19"/>
  <c r="I122" i="19"/>
  <c r="H122" i="19"/>
  <c r="G122" i="19"/>
  <c r="F122" i="19"/>
  <c r="K122" i="19" s="1"/>
  <c r="D122" i="19"/>
  <c r="B122" i="19"/>
  <c r="J122" i="10"/>
  <c r="I122" i="10"/>
  <c r="H122" i="10"/>
  <c r="G122" i="10"/>
  <c r="F122" i="10"/>
  <c r="L122" i="10" s="1"/>
  <c r="D122" i="10"/>
  <c r="B122" i="10"/>
  <c r="T122" i="16"/>
  <c r="J122" i="16"/>
  <c r="I122" i="16"/>
  <c r="H122" i="16"/>
  <c r="G122" i="16"/>
  <c r="F122" i="16"/>
  <c r="D122" i="16"/>
  <c r="C122" i="16"/>
  <c r="B122" i="16"/>
  <c r="M122" i="17"/>
  <c r="L122" i="17"/>
  <c r="K122" i="17"/>
  <c r="J122" i="17"/>
  <c r="I122" i="17"/>
  <c r="H122" i="17"/>
  <c r="G122" i="17"/>
  <c r="F122" i="17"/>
  <c r="D122" i="17"/>
  <c r="B122" i="17"/>
  <c r="J122" i="8"/>
  <c r="I122" i="8"/>
  <c r="H122" i="8"/>
  <c r="G122" i="8"/>
  <c r="F122" i="8"/>
  <c r="D122" i="8"/>
  <c r="B122" i="8"/>
  <c r="E123" i="6"/>
  <c r="E20" i="6"/>
  <c r="N121" i="18"/>
  <c r="N47" i="18"/>
  <c r="N46" i="18"/>
  <c r="K33" i="17"/>
  <c r="K9" i="17"/>
  <c r="L9" i="17"/>
  <c r="M9" i="17"/>
  <c r="K10" i="17"/>
  <c r="L10" i="17"/>
  <c r="M10" i="17"/>
  <c r="K11" i="17"/>
  <c r="L11" i="17"/>
  <c r="M11" i="17"/>
  <c r="K12" i="17"/>
  <c r="L12" i="17"/>
  <c r="M12" i="17"/>
  <c r="K13" i="17"/>
  <c r="L13" i="17"/>
  <c r="M13" i="17"/>
  <c r="K14" i="17"/>
  <c r="L14" i="17"/>
  <c r="M14" i="17"/>
  <c r="K15" i="17"/>
  <c r="L15" i="17"/>
  <c r="M15" i="17"/>
  <c r="K16" i="17"/>
  <c r="L16" i="17"/>
  <c r="M16" i="17"/>
  <c r="K17" i="17"/>
  <c r="L17" i="17"/>
  <c r="M17" i="17"/>
  <c r="K18" i="17"/>
  <c r="L18" i="17"/>
  <c r="M18" i="17"/>
  <c r="K19" i="17"/>
  <c r="L19" i="17"/>
  <c r="M19" i="17"/>
  <c r="K20" i="17"/>
  <c r="L20" i="17"/>
  <c r="M20" i="17"/>
  <c r="K21" i="17"/>
  <c r="L21" i="17"/>
  <c r="M21" i="17"/>
  <c r="K22" i="17"/>
  <c r="L22" i="17"/>
  <c r="M22" i="17"/>
  <c r="K23" i="17"/>
  <c r="L23" i="17"/>
  <c r="M23" i="17"/>
  <c r="K24" i="17"/>
  <c r="L24" i="17"/>
  <c r="M24" i="17"/>
  <c r="K25" i="17"/>
  <c r="L25" i="17"/>
  <c r="M25" i="17"/>
  <c r="K26" i="17"/>
  <c r="L26" i="17"/>
  <c r="M26" i="17"/>
  <c r="K27" i="17"/>
  <c r="L27" i="17"/>
  <c r="M27" i="17"/>
  <c r="K28" i="17"/>
  <c r="L28" i="17"/>
  <c r="M28" i="17"/>
  <c r="K29" i="17"/>
  <c r="L29" i="17"/>
  <c r="M29" i="17"/>
  <c r="K30" i="17"/>
  <c r="L30" i="17"/>
  <c r="M30" i="17"/>
  <c r="K31" i="17"/>
  <c r="L31" i="17"/>
  <c r="M31" i="17"/>
  <c r="K32" i="17"/>
  <c r="L32" i="17"/>
  <c r="M32" i="17"/>
  <c r="L33" i="17"/>
  <c r="M33" i="17"/>
  <c r="K34" i="17"/>
  <c r="L34" i="17"/>
  <c r="M34" i="17"/>
  <c r="K35" i="17"/>
  <c r="L35" i="17"/>
  <c r="M35" i="17"/>
  <c r="K36" i="17"/>
  <c r="L36" i="17"/>
  <c r="M36" i="17"/>
  <c r="K37" i="17"/>
  <c r="L37" i="17"/>
  <c r="M37" i="17"/>
  <c r="K38" i="17"/>
  <c r="L38" i="17"/>
  <c r="M38" i="17"/>
  <c r="K39" i="17"/>
  <c r="L39" i="17"/>
  <c r="M39" i="17"/>
  <c r="K40" i="17"/>
  <c r="L40" i="17"/>
  <c r="M40" i="17"/>
  <c r="K41" i="17"/>
  <c r="L41" i="17"/>
  <c r="M41" i="17"/>
  <c r="K42" i="17"/>
  <c r="L42" i="17"/>
  <c r="M42" i="17"/>
  <c r="K43" i="17"/>
  <c r="L43" i="17"/>
  <c r="M43" i="17"/>
  <c r="K44" i="17"/>
  <c r="L44" i="17"/>
  <c r="M44" i="17"/>
  <c r="K45" i="17"/>
  <c r="L45" i="17"/>
  <c r="M45" i="17"/>
  <c r="K46" i="17"/>
  <c r="L46" i="17"/>
  <c r="M46" i="17"/>
  <c r="K47" i="17"/>
  <c r="L47" i="17"/>
  <c r="M47" i="17"/>
  <c r="K48" i="17"/>
  <c r="L48" i="17"/>
  <c r="M48" i="17"/>
  <c r="K49" i="17"/>
  <c r="L49" i="17"/>
  <c r="M49" i="17"/>
  <c r="K50" i="17"/>
  <c r="L50" i="17"/>
  <c r="M50" i="17"/>
  <c r="K51" i="17"/>
  <c r="L51" i="17"/>
  <c r="M51" i="17"/>
  <c r="K52" i="17"/>
  <c r="L52" i="17"/>
  <c r="M52" i="17"/>
  <c r="K53" i="17"/>
  <c r="L53" i="17"/>
  <c r="M53" i="17"/>
  <c r="K54" i="17"/>
  <c r="L54" i="17"/>
  <c r="M54" i="17"/>
  <c r="K55" i="17"/>
  <c r="L55" i="17"/>
  <c r="M55" i="17"/>
  <c r="K56" i="17"/>
  <c r="L56" i="17"/>
  <c r="M56" i="17"/>
  <c r="K57" i="17"/>
  <c r="L57" i="17"/>
  <c r="M57" i="17"/>
  <c r="K58" i="17"/>
  <c r="L58" i="17"/>
  <c r="M58" i="17"/>
  <c r="K59" i="17"/>
  <c r="L59" i="17"/>
  <c r="M59" i="17"/>
  <c r="K60" i="17"/>
  <c r="L60" i="17"/>
  <c r="M60" i="17"/>
  <c r="K61" i="17"/>
  <c r="L61" i="17"/>
  <c r="M61" i="17"/>
  <c r="K62" i="17"/>
  <c r="L62" i="17"/>
  <c r="M62" i="17"/>
  <c r="K63" i="17"/>
  <c r="L63" i="17"/>
  <c r="M63" i="17"/>
  <c r="K64" i="17"/>
  <c r="L64" i="17"/>
  <c r="M64" i="17"/>
  <c r="K65" i="17"/>
  <c r="L65" i="17"/>
  <c r="M65" i="17"/>
  <c r="K66" i="17"/>
  <c r="L66" i="17"/>
  <c r="M66" i="17"/>
  <c r="K67" i="17"/>
  <c r="L67" i="17"/>
  <c r="M67" i="17"/>
  <c r="K68" i="17"/>
  <c r="L68" i="17"/>
  <c r="M68" i="17"/>
  <c r="K69" i="17"/>
  <c r="L69" i="17"/>
  <c r="M69" i="17"/>
  <c r="K70" i="17"/>
  <c r="L70" i="17"/>
  <c r="M70" i="17"/>
  <c r="K71" i="17"/>
  <c r="L71" i="17"/>
  <c r="M71" i="17"/>
  <c r="K72" i="17"/>
  <c r="L72" i="17"/>
  <c r="M72" i="17"/>
  <c r="K73" i="17"/>
  <c r="L73" i="17"/>
  <c r="M73" i="17"/>
  <c r="K74" i="17"/>
  <c r="L74" i="17"/>
  <c r="M74" i="17"/>
  <c r="K75" i="17"/>
  <c r="L75" i="17"/>
  <c r="M75" i="17"/>
  <c r="K76" i="17"/>
  <c r="L76" i="17"/>
  <c r="M76" i="17"/>
  <c r="K77" i="17"/>
  <c r="L77" i="17"/>
  <c r="M77" i="17"/>
  <c r="K78" i="17"/>
  <c r="L78" i="17"/>
  <c r="M78" i="17"/>
  <c r="K79" i="17"/>
  <c r="L79" i="17"/>
  <c r="M79" i="17"/>
  <c r="K80" i="17"/>
  <c r="L80" i="17"/>
  <c r="M80" i="17"/>
  <c r="K81" i="17"/>
  <c r="L81" i="17"/>
  <c r="M81" i="17"/>
  <c r="K82" i="17"/>
  <c r="L82" i="17"/>
  <c r="M82" i="17"/>
  <c r="K83" i="17"/>
  <c r="L83" i="17"/>
  <c r="M83" i="17"/>
  <c r="K84" i="17"/>
  <c r="L84" i="17"/>
  <c r="M84" i="17"/>
  <c r="K85" i="17"/>
  <c r="L85" i="17"/>
  <c r="M85" i="17"/>
  <c r="K86" i="17"/>
  <c r="L86" i="17"/>
  <c r="M86" i="17"/>
  <c r="K87" i="17"/>
  <c r="L87" i="17"/>
  <c r="M87" i="17"/>
  <c r="K88" i="17"/>
  <c r="L88" i="17"/>
  <c r="M88" i="17"/>
  <c r="K89" i="17"/>
  <c r="L89" i="17"/>
  <c r="M89" i="17"/>
  <c r="K90" i="17"/>
  <c r="L90" i="17"/>
  <c r="M90" i="17"/>
  <c r="K91" i="17"/>
  <c r="L91" i="17"/>
  <c r="M91" i="17"/>
  <c r="K92" i="17"/>
  <c r="L92" i="17"/>
  <c r="M92" i="17"/>
  <c r="K93" i="17"/>
  <c r="L93" i="17"/>
  <c r="M93" i="17"/>
  <c r="K94" i="17"/>
  <c r="L94" i="17"/>
  <c r="M94" i="17"/>
  <c r="K95" i="17"/>
  <c r="L95" i="17"/>
  <c r="M95" i="17"/>
  <c r="K96" i="17"/>
  <c r="L96" i="17"/>
  <c r="M96" i="17"/>
  <c r="K97" i="17"/>
  <c r="L97" i="17"/>
  <c r="M97" i="17"/>
  <c r="K98" i="17"/>
  <c r="L98" i="17"/>
  <c r="M98" i="17"/>
  <c r="K99" i="17"/>
  <c r="L99" i="17"/>
  <c r="M99" i="17"/>
  <c r="K100" i="17"/>
  <c r="L100" i="17"/>
  <c r="M100" i="17"/>
  <c r="K101" i="17"/>
  <c r="L101" i="17"/>
  <c r="M101" i="17"/>
  <c r="K102" i="17"/>
  <c r="L102" i="17"/>
  <c r="M102" i="17"/>
  <c r="K103" i="17"/>
  <c r="L103" i="17"/>
  <c r="M103" i="17"/>
  <c r="K104" i="17"/>
  <c r="L104" i="17"/>
  <c r="M104" i="17"/>
  <c r="K105" i="17"/>
  <c r="L105" i="17"/>
  <c r="M105" i="17"/>
  <c r="K106" i="17"/>
  <c r="L106" i="17"/>
  <c r="M106" i="17"/>
  <c r="K107" i="17"/>
  <c r="L107" i="17"/>
  <c r="M107" i="17"/>
  <c r="K108" i="17"/>
  <c r="L108" i="17"/>
  <c r="M108" i="17"/>
  <c r="K109" i="17"/>
  <c r="L109" i="17"/>
  <c r="M109" i="17"/>
  <c r="K110" i="17"/>
  <c r="L110" i="17"/>
  <c r="M110" i="17"/>
  <c r="K111" i="17"/>
  <c r="L111" i="17"/>
  <c r="M111" i="17"/>
  <c r="K112" i="17"/>
  <c r="L112" i="17"/>
  <c r="M112" i="17"/>
  <c r="K113" i="17"/>
  <c r="L113" i="17"/>
  <c r="M113" i="17"/>
  <c r="K114" i="17"/>
  <c r="L114" i="17"/>
  <c r="M114" i="17"/>
  <c r="K115" i="17"/>
  <c r="L115" i="17"/>
  <c r="M115" i="17"/>
  <c r="K116" i="17"/>
  <c r="L116" i="17"/>
  <c r="M116" i="17"/>
  <c r="K117" i="17"/>
  <c r="L117" i="17"/>
  <c r="M117" i="17"/>
  <c r="K118" i="17"/>
  <c r="L118" i="17"/>
  <c r="M118" i="17"/>
  <c r="K119" i="17"/>
  <c r="L119" i="17"/>
  <c r="M119" i="17"/>
  <c r="K120" i="17"/>
  <c r="L120" i="17"/>
  <c r="M120" i="17"/>
  <c r="K121" i="17"/>
  <c r="L121" i="17"/>
  <c r="M121" i="17"/>
  <c r="K123" i="17"/>
  <c r="L123" i="17"/>
  <c r="M123" i="17"/>
  <c r="K124" i="17"/>
  <c r="L124" i="17"/>
  <c r="M124" i="17"/>
  <c r="K125" i="17"/>
  <c r="L125" i="17"/>
  <c r="M125" i="17"/>
  <c r="K126" i="17"/>
  <c r="L126" i="17"/>
  <c r="M126" i="17"/>
  <c r="K127" i="17"/>
  <c r="L127" i="17"/>
  <c r="M127" i="17"/>
  <c r="K128" i="17"/>
  <c r="L128" i="17"/>
  <c r="M128" i="17"/>
  <c r="K129" i="17"/>
  <c r="L129" i="17"/>
  <c r="M129" i="17"/>
  <c r="K130" i="17"/>
  <c r="L130" i="17"/>
  <c r="M130" i="17"/>
  <c r="K131" i="17"/>
  <c r="L131" i="17"/>
  <c r="M131" i="17"/>
  <c r="K132" i="17"/>
  <c r="L132" i="17"/>
  <c r="M132" i="17"/>
  <c r="K133" i="17"/>
  <c r="L133" i="17"/>
  <c r="M133" i="17"/>
  <c r="K134" i="17"/>
  <c r="L134" i="17"/>
  <c r="M134" i="17"/>
  <c r="K135" i="17"/>
  <c r="L135" i="17"/>
  <c r="M135" i="17"/>
  <c r="K136" i="17"/>
  <c r="L136" i="17"/>
  <c r="M136" i="17"/>
  <c r="K137" i="17"/>
  <c r="L137" i="17"/>
  <c r="M137" i="17"/>
  <c r="K138" i="17"/>
  <c r="L138" i="17"/>
  <c r="M138" i="17"/>
  <c r="K139" i="17"/>
  <c r="L139" i="17"/>
  <c r="M139" i="17"/>
  <c r="K140" i="17"/>
  <c r="L140" i="17"/>
  <c r="M140" i="17"/>
  <c r="E21" i="6"/>
  <c r="C122" i="8" l="1"/>
  <c r="C122" i="17"/>
  <c r="C122" i="10"/>
  <c r="C122" i="18"/>
  <c r="C122" i="12"/>
  <c r="S122" i="16"/>
  <c r="M122" i="19"/>
  <c r="N122" i="19" s="1"/>
  <c r="P122" i="10"/>
  <c r="N122" i="10"/>
  <c r="M122" i="10"/>
  <c r="O122" i="10"/>
  <c r="K122" i="10"/>
  <c r="M122" i="16"/>
  <c r="P122" i="16"/>
  <c r="J50" i="15"/>
  <c r="K50" i="15" s="1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8" i="16"/>
  <c r="K47" i="15"/>
  <c r="K46" i="15"/>
  <c r="R122" i="10" l="1"/>
  <c r="S122" i="10" s="1"/>
  <c r="Q122" i="10"/>
  <c r="K44" i="15"/>
  <c r="K41" i="15"/>
  <c r="M9" i="18" l="1"/>
  <c r="N9" i="18" s="1"/>
  <c r="L10" i="18"/>
  <c r="M10" i="18"/>
  <c r="N10" i="18" s="1"/>
  <c r="L11" i="18"/>
  <c r="M11" i="18"/>
  <c r="N11" i="18" s="1"/>
  <c r="L12" i="18"/>
  <c r="M12" i="18"/>
  <c r="N12" i="18" s="1"/>
  <c r="N13" i="18"/>
  <c r="L14" i="18"/>
  <c r="M14" i="18"/>
  <c r="N14" i="18" s="1"/>
  <c r="L15" i="18"/>
  <c r="M15" i="18"/>
  <c r="N15" i="18" s="1"/>
  <c r="L16" i="18"/>
  <c r="M16" i="18"/>
  <c r="N16" i="18" s="1"/>
  <c r="L17" i="18"/>
  <c r="M17" i="18"/>
  <c r="N17" i="18" s="1"/>
  <c r="L18" i="18"/>
  <c r="M18" i="18"/>
  <c r="N18" i="18" s="1"/>
  <c r="L19" i="18"/>
  <c r="M19" i="18"/>
  <c r="N19" i="18" s="1"/>
  <c r="L20" i="18"/>
  <c r="M20" i="18"/>
  <c r="N20" i="18" s="1"/>
  <c r="L21" i="18"/>
  <c r="M21" i="18"/>
  <c r="N21" i="18" s="1"/>
  <c r="L22" i="18"/>
  <c r="M22" i="18"/>
  <c r="N22" i="18" s="1"/>
  <c r="L23" i="18"/>
  <c r="M23" i="18"/>
  <c r="N23" i="18" s="1"/>
  <c r="L24" i="18"/>
  <c r="M24" i="18"/>
  <c r="N24" i="18" s="1"/>
  <c r="L25" i="18"/>
  <c r="M25" i="18"/>
  <c r="N25" i="18" s="1"/>
  <c r="L26" i="18"/>
  <c r="M26" i="18"/>
  <c r="N26" i="18" s="1"/>
  <c r="L27" i="18"/>
  <c r="M27" i="18"/>
  <c r="N27" i="18" s="1"/>
  <c r="L28" i="18"/>
  <c r="M28" i="18"/>
  <c r="N28" i="18" s="1"/>
  <c r="L29" i="18"/>
  <c r="M29" i="18"/>
  <c r="N29" i="18" s="1"/>
  <c r="N30" i="18"/>
  <c r="L31" i="18"/>
  <c r="M31" i="18"/>
  <c r="N31" i="18" s="1"/>
  <c r="N32" i="18"/>
  <c r="N33" i="18"/>
  <c r="L34" i="18"/>
  <c r="N34" i="18"/>
  <c r="L35" i="18"/>
  <c r="N35" i="18"/>
  <c r="L36" i="18"/>
  <c r="N36" i="18"/>
  <c r="L37" i="18"/>
  <c r="M37" i="18"/>
  <c r="N37" i="18" s="1"/>
  <c r="L38" i="18"/>
  <c r="M38" i="18"/>
  <c r="N38" i="18" s="1"/>
  <c r="L39" i="18"/>
  <c r="N39" i="18"/>
  <c r="L40" i="18"/>
  <c r="M40" i="18"/>
  <c r="N40" i="18" s="1"/>
  <c r="L41" i="18"/>
  <c r="M41" i="18"/>
  <c r="N41" i="18" s="1"/>
  <c r="L42" i="18"/>
  <c r="M42" i="18"/>
  <c r="N42" i="18" s="1"/>
  <c r="L43" i="18"/>
  <c r="M43" i="18"/>
  <c r="N43" i="18" s="1"/>
  <c r="N44" i="18"/>
  <c r="L45" i="18"/>
  <c r="M45" i="18"/>
  <c r="N45" i="18" s="1"/>
  <c r="L48" i="18"/>
  <c r="N48" i="18"/>
  <c r="L49" i="18"/>
  <c r="M49" i="18"/>
  <c r="N49" i="18" s="1"/>
  <c r="L50" i="18"/>
  <c r="M50" i="18"/>
  <c r="N50" i="18" s="1"/>
  <c r="L51" i="18"/>
  <c r="M51" i="18"/>
  <c r="N51" i="18" s="1"/>
  <c r="L52" i="18"/>
  <c r="M52" i="18"/>
  <c r="N52" i="18" s="1"/>
  <c r="L53" i="18"/>
  <c r="M53" i="18"/>
  <c r="N53" i="18" s="1"/>
  <c r="N54" i="18"/>
  <c r="L55" i="18"/>
  <c r="M55" i="18"/>
  <c r="N55" i="18" s="1"/>
  <c r="L56" i="18"/>
  <c r="M56" i="18"/>
  <c r="N56" i="18" s="1"/>
  <c r="L57" i="18"/>
  <c r="M57" i="18"/>
  <c r="N57" i="18" s="1"/>
  <c r="L58" i="18"/>
  <c r="M58" i="18"/>
  <c r="N58" i="18" s="1"/>
  <c r="L59" i="18"/>
  <c r="N59" i="18"/>
  <c r="L60" i="18"/>
  <c r="M60" i="18"/>
  <c r="N60" i="18" s="1"/>
  <c r="L61" i="18"/>
  <c r="M61" i="18"/>
  <c r="N61" i="18" s="1"/>
  <c r="L62" i="18"/>
  <c r="N62" i="18"/>
  <c r="L64" i="18"/>
  <c r="M64" i="18"/>
  <c r="N64" i="18" s="1"/>
  <c r="L65" i="18"/>
  <c r="M65" i="18"/>
  <c r="N65" i="18" s="1"/>
  <c r="L66" i="18"/>
  <c r="M66" i="18"/>
  <c r="N66" i="18" s="1"/>
  <c r="L67" i="18"/>
  <c r="M67" i="18"/>
  <c r="N67" i="18" s="1"/>
  <c r="L68" i="18"/>
  <c r="M68" i="18"/>
  <c r="N68" i="18" s="1"/>
  <c r="L69" i="18"/>
  <c r="M69" i="18"/>
  <c r="N69" i="18" s="1"/>
  <c r="N70" i="18"/>
  <c r="N71" i="18"/>
  <c r="L72" i="18"/>
  <c r="M72" i="18"/>
  <c r="N72" i="18" s="1"/>
  <c r="L73" i="18"/>
  <c r="N73" i="18"/>
  <c r="L74" i="18"/>
  <c r="M74" i="18"/>
  <c r="N74" i="18" s="1"/>
  <c r="L75" i="18"/>
  <c r="M75" i="18"/>
  <c r="N75" i="18" s="1"/>
  <c r="L76" i="18"/>
  <c r="M76" i="18"/>
  <c r="N76" i="18" s="1"/>
  <c r="L77" i="18"/>
  <c r="N77" i="18"/>
  <c r="L78" i="18"/>
  <c r="M78" i="18"/>
  <c r="N78" i="18" s="1"/>
  <c r="L79" i="18"/>
  <c r="M79" i="18"/>
  <c r="N79" i="18" s="1"/>
  <c r="L80" i="18"/>
  <c r="M80" i="18"/>
  <c r="N80" i="18" s="1"/>
  <c r="L81" i="18"/>
  <c r="M81" i="18"/>
  <c r="N81" i="18" s="1"/>
  <c r="L82" i="18"/>
  <c r="M82" i="18"/>
  <c r="N82" i="18" s="1"/>
  <c r="N83" i="18"/>
  <c r="N84" i="18"/>
  <c r="L85" i="18"/>
  <c r="M85" i="18"/>
  <c r="N85" i="18" s="1"/>
  <c r="N86" i="18"/>
  <c r="L87" i="18"/>
  <c r="M87" i="18"/>
  <c r="N87" i="18" s="1"/>
  <c r="L88" i="18"/>
  <c r="M88" i="18"/>
  <c r="N88" i="18" s="1"/>
  <c r="L89" i="18"/>
  <c r="L90" i="18"/>
  <c r="M90" i="18"/>
  <c r="N90" i="18" s="1"/>
  <c r="L91" i="18"/>
  <c r="M91" i="18"/>
  <c r="N91" i="18" s="1"/>
  <c r="L92" i="18"/>
  <c r="M92" i="18"/>
  <c r="N92" i="18" s="1"/>
  <c r="L93" i="18"/>
  <c r="M93" i="18"/>
  <c r="N93" i="18" s="1"/>
  <c r="L94" i="18"/>
  <c r="M94" i="18"/>
  <c r="N94" i="18" s="1"/>
  <c r="L95" i="18"/>
  <c r="M95" i="18"/>
  <c r="N95" i="18" s="1"/>
  <c r="L96" i="18"/>
  <c r="M96" i="18"/>
  <c r="N96" i="18" s="1"/>
  <c r="L97" i="18"/>
  <c r="M97" i="18"/>
  <c r="N97" i="18" s="1"/>
  <c r="L98" i="18"/>
  <c r="M98" i="18"/>
  <c r="N98" i="18" s="1"/>
  <c r="L99" i="18"/>
  <c r="M99" i="18"/>
  <c r="N99" i="18" s="1"/>
  <c r="L100" i="18"/>
  <c r="M100" i="18"/>
  <c r="N100" i="18" s="1"/>
  <c r="L101" i="18"/>
  <c r="M101" i="18"/>
  <c r="N101" i="18" s="1"/>
  <c r="L102" i="18"/>
  <c r="M102" i="18"/>
  <c r="N102" i="18" s="1"/>
  <c r="L103" i="18"/>
  <c r="M103" i="18"/>
  <c r="N103" i="18" s="1"/>
  <c r="L104" i="18"/>
  <c r="M104" i="18"/>
  <c r="N104" i="18" s="1"/>
  <c r="L105" i="18"/>
  <c r="M105" i="18"/>
  <c r="N105" i="18" s="1"/>
  <c r="L106" i="18"/>
  <c r="M106" i="18"/>
  <c r="N106" i="18" s="1"/>
  <c r="L107" i="18"/>
  <c r="M107" i="18"/>
  <c r="N107" i="18" s="1"/>
  <c r="L108" i="18"/>
  <c r="M108" i="18"/>
  <c r="N108" i="18" s="1"/>
  <c r="L109" i="18"/>
  <c r="M109" i="18"/>
  <c r="N109" i="18" s="1"/>
  <c r="L110" i="18"/>
  <c r="M110" i="18"/>
  <c r="N110" i="18" s="1"/>
  <c r="L111" i="18"/>
  <c r="M111" i="18"/>
  <c r="N111" i="18" s="1"/>
  <c r="L112" i="18"/>
  <c r="M112" i="18"/>
  <c r="N112" i="18" s="1"/>
  <c r="L113" i="18"/>
  <c r="M113" i="18"/>
  <c r="N113" i="18" s="1"/>
  <c r="L114" i="18"/>
  <c r="M114" i="18"/>
  <c r="N114" i="18" s="1"/>
  <c r="L115" i="18"/>
  <c r="M115" i="18"/>
  <c r="N115" i="18" s="1"/>
  <c r="L116" i="18"/>
  <c r="M116" i="18"/>
  <c r="N116" i="18" s="1"/>
  <c r="N117" i="18"/>
  <c r="L118" i="18"/>
  <c r="M118" i="18"/>
  <c r="N118" i="18" s="1"/>
  <c r="L119" i="18"/>
  <c r="M119" i="18"/>
  <c r="N119" i="18" s="1"/>
  <c r="L120" i="18"/>
  <c r="M120" i="18"/>
  <c r="N120" i="18" s="1"/>
  <c r="L123" i="18"/>
  <c r="M123" i="18"/>
  <c r="N123" i="18" s="1"/>
  <c r="L124" i="18"/>
  <c r="M124" i="18"/>
  <c r="N124" i="18" s="1"/>
  <c r="L125" i="18"/>
  <c r="N125" i="18"/>
  <c r="L126" i="18"/>
  <c r="N126" i="18"/>
  <c r="N127" i="18"/>
  <c r="L128" i="18"/>
  <c r="M128" i="18"/>
  <c r="N128" i="18" s="1"/>
  <c r="L129" i="18"/>
  <c r="M129" i="18"/>
  <c r="N129" i="18" s="1"/>
  <c r="L130" i="18"/>
  <c r="M130" i="18"/>
  <c r="N130" i="18" s="1"/>
  <c r="L131" i="18"/>
  <c r="M131" i="18"/>
  <c r="N131" i="18" s="1"/>
  <c r="L132" i="18"/>
  <c r="M132" i="18"/>
  <c r="N132" i="18" s="1"/>
  <c r="L133" i="18"/>
  <c r="M133" i="18"/>
  <c r="N133" i="18" s="1"/>
  <c r="L134" i="18"/>
  <c r="M134" i="18"/>
  <c r="N134" i="18" s="1"/>
  <c r="L135" i="18"/>
  <c r="M135" i="18"/>
  <c r="N135" i="18" s="1"/>
  <c r="L136" i="18"/>
  <c r="M136" i="18"/>
  <c r="N136" i="18" s="1"/>
  <c r="L137" i="18"/>
  <c r="M137" i="18"/>
  <c r="N137" i="18" s="1"/>
  <c r="L138" i="18"/>
  <c r="M138" i="18"/>
  <c r="N138" i="18" s="1"/>
  <c r="L139" i="18"/>
  <c r="M139" i="18"/>
  <c r="N139" i="18" s="1"/>
  <c r="L140" i="18"/>
  <c r="M140" i="18"/>
  <c r="N140" i="18" s="1"/>
  <c r="M8" i="18"/>
  <c r="N8" i="18" s="1"/>
  <c r="L8" i="18"/>
  <c r="B9" i="8" l="1"/>
  <c r="C9" i="8"/>
  <c r="D9" i="8"/>
  <c r="F9" i="8"/>
  <c r="G9" i="8"/>
  <c r="H9" i="8"/>
  <c r="I9" i="8"/>
  <c r="J9" i="8"/>
  <c r="E140" i="6"/>
  <c r="F27" i="20"/>
  <c r="F24" i="20"/>
  <c r="F9" i="20"/>
  <c r="F6" i="20"/>
  <c r="C3" i="20"/>
  <c r="B3" i="20"/>
  <c r="C30" i="20"/>
  <c r="D30" i="20"/>
  <c r="E30" i="20"/>
  <c r="B30" i="20"/>
  <c r="D6" i="20"/>
  <c r="B6" i="20"/>
  <c r="C6" i="20"/>
  <c r="B11" i="18" l="1"/>
  <c r="C11" i="18"/>
  <c r="D11" i="18"/>
  <c r="F11" i="18"/>
  <c r="G11" i="18"/>
  <c r="B11" i="12"/>
  <c r="C11" i="12"/>
  <c r="D11" i="12"/>
  <c r="F11" i="12"/>
  <c r="G11" i="12"/>
  <c r="H11" i="12"/>
  <c r="I11" i="12"/>
  <c r="J11" i="12"/>
  <c r="B11" i="19"/>
  <c r="C11" i="19"/>
  <c r="D11" i="19"/>
  <c r="F11" i="19"/>
  <c r="K11" i="19" s="1"/>
  <c r="G11" i="19"/>
  <c r="H11" i="19"/>
  <c r="I11" i="19"/>
  <c r="J11" i="19"/>
  <c r="B11" i="10"/>
  <c r="C11" i="10"/>
  <c r="D11" i="10"/>
  <c r="F11" i="10"/>
  <c r="L11" i="10" s="1"/>
  <c r="O11" i="10" s="1"/>
  <c r="G11" i="10"/>
  <c r="H11" i="10"/>
  <c r="I11" i="10"/>
  <c r="J11" i="10"/>
  <c r="B11" i="16"/>
  <c r="C11" i="16"/>
  <c r="D11" i="16"/>
  <c r="F11" i="16"/>
  <c r="G11" i="16"/>
  <c r="H11" i="16"/>
  <c r="I11" i="16"/>
  <c r="J11" i="16"/>
  <c r="B11" i="17"/>
  <c r="C11" i="17"/>
  <c r="D11" i="17"/>
  <c r="F11" i="17"/>
  <c r="G11" i="17"/>
  <c r="H11" i="17"/>
  <c r="I11" i="17"/>
  <c r="J11" i="17"/>
  <c r="B11" i="8"/>
  <c r="C11" i="8"/>
  <c r="D11" i="8"/>
  <c r="F11" i="8"/>
  <c r="G11" i="8"/>
  <c r="H11" i="8"/>
  <c r="I11" i="8"/>
  <c r="J11" i="8"/>
  <c r="E11" i="6"/>
  <c r="E12" i="6"/>
  <c r="E13" i="6"/>
  <c r="E14" i="6"/>
  <c r="E15" i="6"/>
  <c r="E16" i="6"/>
  <c r="E17" i="6"/>
  <c r="E18" i="6"/>
  <c r="E19" i="6"/>
  <c r="E24" i="6"/>
  <c r="E25" i="6"/>
  <c r="E27" i="6"/>
  <c r="E28" i="6"/>
  <c r="E29" i="6"/>
  <c r="E30" i="6"/>
  <c r="E31" i="6"/>
  <c r="E32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8" i="6"/>
  <c r="E49" i="6"/>
  <c r="E50" i="6"/>
  <c r="E51" i="6"/>
  <c r="E52" i="6"/>
  <c r="E53" i="6"/>
  <c r="E54" i="6"/>
  <c r="E55" i="6"/>
  <c r="E56" i="6"/>
  <c r="E57" i="6"/>
  <c r="E59" i="6"/>
  <c r="E60" i="6"/>
  <c r="E61" i="6"/>
  <c r="E62" i="6"/>
  <c r="E63" i="6"/>
  <c r="E64" i="6"/>
  <c r="E65" i="6"/>
  <c r="E66" i="6"/>
  <c r="E67" i="6"/>
  <c r="E68" i="6"/>
  <c r="E69" i="6"/>
  <c r="E73" i="6"/>
  <c r="E74" i="6"/>
  <c r="E75" i="6"/>
  <c r="E76" i="6"/>
  <c r="E77" i="6"/>
  <c r="E78" i="6"/>
  <c r="E79" i="6"/>
  <c r="E80" i="6"/>
  <c r="E81" i="6"/>
  <c r="E82" i="6"/>
  <c r="E83" i="6"/>
  <c r="E86" i="6"/>
  <c r="E87" i="6"/>
  <c r="E88" i="6"/>
  <c r="E89" i="6"/>
  <c r="E90" i="6"/>
  <c r="E91" i="6"/>
  <c r="E92" i="6"/>
  <c r="E93" i="6"/>
  <c r="E94" i="6"/>
  <c r="E95" i="6"/>
  <c r="E97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8"/>
  <c r="E8" i="6"/>
  <c r="G10" i="18"/>
  <c r="F10" i="18"/>
  <c r="D10" i="18"/>
  <c r="C10" i="18"/>
  <c r="B10" i="18"/>
  <c r="J10" i="12"/>
  <c r="I10" i="12"/>
  <c r="H10" i="12"/>
  <c r="G10" i="12"/>
  <c r="F10" i="12"/>
  <c r="D10" i="12"/>
  <c r="C10" i="12"/>
  <c r="B10" i="12"/>
  <c r="J10" i="19"/>
  <c r="I10" i="19"/>
  <c r="H10" i="19"/>
  <c r="G10" i="19"/>
  <c r="F10" i="19"/>
  <c r="K10" i="19" s="1"/>
  <c r="D10" i="19"/>
  <c r="C10" i="19"/>
  <c r="B10" i="19"/>
  <c r="J10" i="10"/>
  <c r="I10" i="10"/>
  <c r="H10" i="10"/>
  <c r="G10" i="10"/>
  <c r="F10" i="10"/>
  <c r="L10" i="10" s="1"/>
  <c r="D10" i="10"/>
  <c r="C10" i="10"/>
  <c r="B10" i="10"/>
  <c r="J10" i="16"/>
  <c r="I10" i="16"/>
  <c r="V10" i="16" s="1"/>
  <c r="K10" i="16" s="1"/>
  <c r="Q10" i="16" s="1"/>
  <c r="H10" i="16"/>
  <c r="G10" i="16"/>
  <c r="F10" i="16"/>
  <c r="D10" i="16"/>
  <c r="C10" i="16"/>
  <c r="B10" i="16"/>
  <c r="J10" i="17"/>
  <c r="I10" i="17"/>
  <c r="H10" i="17"/>
  <c r="G10" i="17"/>
  <c r="F10" i="17"/>
  <c r="D10" i="17"/>
  <c r="C10" i="17"/>
  <c r="B10" i="17"/>
  <c r="J10" i="8"/>
  <c r="I10" i="8"/>
  <c r="H10" i="8"/>
  <c r="G10" i="8"/>
  <c r="F10" i="8"/>
  <c r="D10" i="8"/>
  <c r="C10" i="8"/>
  <c r="B10" i="8"/>
  <c r="E10" i="6"/>
  <c r="E22" i="6"/>
  <c r="E122" i="6"/>
  <c r="E122" i="18" l="1"/>
  <c r="E122" i="12"/>
  <c r="E122" i="19"/>
  <c r="E122" i="10"/>
  <c r="E122" i="16"/>
  <c r="E122" i="17"/>
  <c r="E122" i="8"/>
  <c r="E110" i="8"/>
  <c r="E130" i="8"/>
  <c r="E119" i="8"/>
  <c r="E109" i="8"/>
  <c r="E99" i="8"/>
  <c r="E87" i="8"/>
  <c r="E75" i="17"/>
  <c r="E62" i="8"/>
  <c r="E51" i="8"/>
  <c r="E40" i="8"/>
  <c r="E29" i="8"/>
  <c r="E16" i="8"/>
  <c r="E131" i="17"/>
  <c r="E63" i="8"/>
  <c r="E139" i="8"/>
  <c r="E129" i="8"/>
  <c r="E118" i="8"/>
  <c r="E108" i="8"/>
  <c r="E97" i="8"/>
  <c r="E86" i="8"/>
  <c r="E74" i="8"/>
  <c r="E61" i="8"/>
  <c r="E50" i="8"/>
  <c r="E39" i="8"/>
  <c r="E28" i="8"/>
  <c r="E15" i="8"/>
  <c r="E30" i="17"/>
  <c r="E138" i="8"/>
  <c r="E128" i="8"/>
  <c r="E117" i="8"/>
  <c r="E107" i="8"/>
  <c r="E95" i="17"/>
  <c r="E83" i="8"/>
  <c r="E73" i="8"/>
  <c r="E60" i="8"/>
  <c r="E49" i="8"/>
  <c r="E38" i="8"/>
  <c r="E27" i="8"/>
  <c r="E137" i="8"/>
  <c r="E82" i="8"/>
  <c r="E37" i="8"/>
  <c r="E115" i="8"/>
  <c r="E81" i="8"/>
  <c r="E68" i="8"/>
  <c r="E57" i="8"/>
  <c r="E46" i="8"/>
  <c r="E36" i="8"/>
  <c r="E24" i="8"/>
  <c r="E100" i="8"/>
  <c r="E41" i="8"/>
  <c r="E116" i="8"/>
  <c r="E69" i="8"/>
  <c r="E48" i="8"/>
  <c r="E13" i="8"/>
  <c r="E126" i="8"/>
  <c r="E105" i="8"/>
  <c r="E135" i="8"/>
  <c r="E125" i="8"/>
  <c r="E114" i="8"/>
  <c r="E104" i="8"/>
  <c r="E92" i="8"/>
  <c r="E80" i="8"/>
  <c r="E67" i="8"/>
  <c r="E56" i="8"/>
  <c r="E45" i="8"/>
  <c r="E35" i="8"/>
  <c r="E22" i="8"/>
  <c r="E11" i="8"/>
  <c r="E88" i="8"/>
  <c r="E94" i="8"/>
  <c r="E59" i="8"/>
  <c r="E25" i="8"/>
  <c r="E136" i="8"/>
  <c r="E93" i="8"/>
  <c r="E134" i="8"/>
  <c r="E124" i="8"/>
  <c r="E113" i="8"/>
  <c r="E103" i="8"/>
  <c r="E91" i="8"/>
  <c r="E79" i="8"/>
  <c r="E66" i="8"/>
  <c r="E55" i="8"/>
  <c r="E44" i="8"/>
  <c r="E34" i="8"/>
  <c r="E20" i="8"/>
  <c r="E120" i="8"/>
  <c r="E52" i="8"/>
  <c r="E127" i="8"/>
  <c r="E123" i="8"/>
  <c r="E102" i="8"/>
  <c r="E78" i="8"/>
  <c r="E54" i="8"/>
  <c r="E43" i="8"/>
  <c r="E19" i="8"/>
  <c r="E8" i="8"/>
  <c r="E76" i="8"/>
  <c r="E106" i="8"/>
  <c r="E133" i="8"/>
  <c r="E112" i="8"/>
  <c r="E90" i="8"/>
  <c r="E65" i="8"/>
  <c r="E32" i="8"/>
  <c r="E132" i="8"/>
  <c r="E121" i="8"/>
  <c r="E111" i="8"/>
  <c r="E101" i="8"/>
  <c r="E89" i="8"/>
  <c r="E77" i="8"/>
  <c r="E64" i="17"/>
  <c r="E53" i="8"/>
  <c r="E42" i="8"/>
  <c r="E31" i="8"/>
  <c r="P10" i="10"/>
  <c r="O10" i="10"/>
  <c r="M11" i="19"/>
  <c r="N11" i="19" s="1"/>
  <c r="E6" i="20"/>
  <c r="P11" i="16"/>
  <c r="M11" i="16"/>
  <c r="E11" i="18"/>
  <c r="E11" i="12"/>
  <c r="E11" i="19"/>
  <c r="M11" i="10"/>
  <c r="N11" i="10"/>
  <c r="P11" i="10"/>
  <c r="K11" i="10"/>
  <c r="E11" i="10"/>
  <c r="E11" i="16"/>
  <c r="S11" i="16"/>
  <c r="E11" i="17"/>
  <c r="S10" i="16"/>
  <c r="K10" i="10"/>
  <c r="Q10" i="10" s="1"/>
  <c r="E10" i="18"/>
  <c r="E10" i="12"/>
  <c r="E10" i="19"/>
  <c r="M10" i="19"/>
  <c r="N10" i="19" s="1"/>
  <c r="E10" i="10"/>
  <c r="M10" i="10"/>
  <c r="N10" i="10"/>
  <c r="E10" i="16"/>
  <c r="M10" i="16"/>
  <c r="P10" i="16"/>
  <c r="E10" i="17"/>
  <c r="E10" i="8"/>
  <c r="E23" i="6"/>
  <c r="E47" i="6"/>
  <c r="E84" i="6"/>
  <c r="E98" i="6"/>
  <c r="E58" i="6"/>
  <c r="E70" i="6"/>
  <c r="E96" i="6"/>
  <c r="E9" i="6"/>
  <c r="E33" i="6"/>
  <c r="E26" i="6"/>
  <c r="R11" i="10" l="1"/>
  <c r="Q11" i="10"/>
  <c r="E33" i="8"/>
  <c r="E23" i="8"/>
  <c r="E21" i="8"/>
  <c r="E9" i="8"/>
  <c r="E47" i="8"/>
  <c r="E58" i="8"/>
  <c r="E98" i="8"/>
  <c r="E70" i="8"/>
  <c r="E84" i="8"/>
  <c r="E96" i="8"/>
  <c r="E26" i="8"/>
  <c r="E93" i="18"/>
  <c r="E83" i="18"/>
  <c r="E73" i="18"/>
  <c r="E63" i="18"/>
  <c r="E53" i="18"/>
  <c r="E43" i="18"/>
  <c r="E33" i="18"/>
  <c r="E23" i="18"/>
  <c r="E16" i="18"/>
  <c r="E17" i="18"/>
  <c r="E14" i="18"/>
  <c r="E139" i="18"/>
  <c r="E129" i="18"/>
  <c r="E118" i="18"/>
  <c r="E108" i="18"/>
  <c r="E98" i="18"/>
  <c r="E88" i="18"/>
  <c r="E78" i="18"/>
  <c r="E68" i="18"/>
  <c r="E58" i="18"/>
  <c r="E48" i="18"/>
  <c r="E38" i="18"/>
  <c r="E28" i="18"/>
  <c r="E138" i="18"/>
  <c r="E128" i="18"/>
  <c r="E117" i="18"/>
  <c r="E107" i="18"/>
  <c r="E97" i="18"/>
  <c r="E87" i="18"/>
  <c r="E77" i="18"/>
  <c r="E67" i="18"/>
  <c r="E57" i="18"/>
  <c r="E47" i="18"/>
  <c r="E37" i="18"/>
  <c r="E27" i="18"/>
  <c r="E137" i="18"/>
  <c r="E127" i="18"/>
  <c r="E116" i="18"/>
  <c r="E106" i="18"/>
  <c r="E96" i="18"/>
  <c r="E86" i="18"/>
  <c r="E76" i="18"/>
  <c r="E66" i="18"/>
  <c r="E56" i="18"/>
  <c r="E46" i="18"/>
  <c r="E36" i="18"/>
  <c r="E26" i="18"/>
  <c r="E136" i="18"/>
  <c r="E126" i="18"/>
  <c r="E115" i="18"/>
  <c r="E105" i="18"/>
  <c r="E95" i="18"/>
  <c r="E75" i="18"/>
  <c r="E65" i="18"/>
  <c r="E55" i="18"/>
  <c r="E45" i="18"/>
  <c r="E35" i="18"/>
  <c r="E25" i="18"/>
  <c r="E15" i="18"/>
  <c r="E135" i="18"/>
  <c r="E125" i="18"/>
  <c r="E114" i="18"/>
  <c r="E104" i="18"/>
  <c r="E94" i="18"/>
  <c r="E84" i="18"/>
  <c r="E74" i="18"/>
  <c r="E64" i="18"/>
  <c r="E54" i="18"/>
  <c r="E44" i="18"/>
  <c r="E34" i="18"/>
  <c r="E24" i="18"/>
  <c r="E134" i="18"/>
  <c r="E124" i="18"/>
  <c r="E113" i="18"/>
  <c r="E103" i="18"/>
  <c r="E13" i="18"/>
  <c r="E133" i="18"/>
  <c r="E123" i="18"/>
  <c r="E112" i="18"/>
  <c r="E102" i="18"/>
  <c r="E92" i="18"/>
  <c r="E82" i="18"/>
  <c r="E62" i="18"/>
  <c r="E52" i="18"/>
  <c r="E42" i="18"/>
  <c r="E32" i="18"/>
  <c r="E22" i="18"/>
  <c r="E132" i="18"/>
  <c r="E121" i="18"/>
  <c r="E111" i="18"/>
  <c r="E101" i="18"/>
  <c r="E91" i="18"/>
  <c r="E81" i="18"/>
  <c r="E61" i="18"/>
  <c r="E51" i="18"/>
  <c r="E41" i="18"/>
  <c r="E31" i="18"/>
  <c r="E21" i="18"/>
  <c r="E140" i="18"/>
  <c r="E131" i="18"/>
  <c r="E120" i="18"/>
  <c r="E110" i="18"/>
  <c r="E100" i="18"/>
  <c r="E90" i="18"/>
  <c r="E80" i="18"/>
  <c r="E70" i="18"/>
  <c r="E60" i="18"/>
  <c r="E50" i="18"/>
  <c r="E40" i="18"/>
  <c r="E30" i="18"/>
  <c r="E20" i="18"/>
  <c r="E130" i="18"/>
  <c r="E119" i="18"/>
  <c r="E109" i="18"/>
  <c r="E99" i="18"/>
  <c r="E89" i="18"/>
  <c r="E79" i="18"/>
  <c r="E69" i="18"/>
  <c r="E59" i="18"/>
  <c r="E49" i="18"/>
  <c r="E39" i="18"/>
  <c r="E29" i="18"/>
  <c r="E19" i="18"/>
  <c r="E9" i="18"/>
  <c r="E116" i="12"/>
  <c r="E108" i="12"/>
  <c r="E98" i="12"/>
  <c r="E88" i="12"/>
  <c r="E78" i="12"/>
  <c r="E68" i="12"/>
  <c r="E66" i="12"/>
  <c r="E28" i="12"/>
  <c r="E129" i="12"/>
  <c r="E47" i="12"/>
  <c r="E77" i="12"/>
  <c r="E46" i="12"/>
  <c r="E139" i="12"/>
  <c r="E107" i="12"/>
  <c r="E76" i="12"/>
  <c r="E38" i="12"/>
  <c r="E138" i="12"/>
  <c r="E106" i="12"/>
  <c r="E37" i="12"/>
  <c r="E137" i="12"/>
  <c r="E67" i="12"/>
  <c r="E36" i="12"/>
  <c r="E97" i="12"/>
  <c r="E128" i="12"/>
  <c r="E96" i="12"/>
  <c r="E58" i="12"/>
  <c r="E27" i="12"/>
  <c r="E127" i="12"/>
  <c r="E57" i="12"/>
  <c r="E26" i="12"/>
  <c r="E118" i="12"/>
  <c r="E87" i="12"/>
  <c r="E56" i="12"/>
  <c r="E16" i="12"/>
  <c r="E117" i="12"/>
  <c r="E86" i="12"/>
  <c r="E48" i="12"/>
  <c r="E8" i="18"/>
  <c r="E17" i="12"/>
  <c r="E14" i="12"/>
  <c r="E136" i="12"/>
  <c r="E126" i="12"/>
  <c r="E115" i="12"/>
  <c r="E105" i="12"/>
  <c r="E95" i="12"/>
  <c r="E75" i="12"/>
  <c r="E65" i="12"/>
  <c r="E55" i="12"/>
  <c r="E45" i="12"/>
  <c r="E35" i="12"/>
  <c r="E25" i="12"/>
  <c r="E15" i="12"/>
  <c r="E135" i="12"/>
  <c r="E125" i="12"/>
  <c r="E114" i="12"/>
  <c r="E104" i="12"/>
  <c r="E94" i="12"/>
  <c r="E84" i="12"/>
  <c r="E74" i="12"/>
  <c r="E64" i="12"/>
  <c r="E54" i="12"/>
  <c r="E44" i="12"/>
  <c r="E34" i="12"/>
  <c r="E24" i="12"/>
  <c r="E134" i="12"/>
  <c r="E124" i="12"/>
  <c r="E113" i="12"/>
  <c r="E103" i="12"/>
  <c r="E93" i="12"/>
  <c r="E83" i="12"/>
  <c r="E73" i="12"/>
  <c r="E63" i="12"/>
  <c r="E53" i="12"/>
  <c r="E43" i="12"/>
  <c r="E33" i="12"/>
  <c r="E23" i="12"/>
  <c r="E13" i="12"/>
  <c r="E133" i="12"/>
  <c r="E123" i="12"/>
  <c r="E112" i="12"/>
  <c r="E102" i="12"/>
  <c r="E92" i="12"/>
  <c r="E82" i="12"/>
  <c r="E62" i="12"/>
  <c r="E52" i="12"/>
  <c r="E42" i="12"/>
  <c r="E32" i="12"/>
  <c r="E22" i="12"/>
  <c r="E132" i="12"/>
  <c r="E121" i="12"/>
  <c r="E111" i="12"/>
  <c r="E101" i="12"/>
  <c r="E91" i="12"/>
  <c r="E81" i="12"/>
  <c r="E61" i="12"/>
  <c r="E51" i="12"/>
  <c r="E41" i="12"/>
  <c r="E31" i="12"/>
  <c r="E21" i="12"/>
  <c r="E140" i="12"/>
  <c r="E131" i="12"/>
  <c r="E120" i="12"/>
  <c r="E110" i="12"/>
  <c r="E100" i="12"/>
  <c r="E90" i="12"/>
  <c r="E80" i="12"/>
  <c r="E70" i="12"/>
  <c r="E60" i="12"/>
  <c r="E50" i="12"/>
  <c r="E40" i="12"/>
  <c r="E30" i="12"/>
  <c r="E20" i="12"/>
  <c r="E130" i="12"/>
  <c r="E119" i="12"/>
  <c r="E109" i="12"/>
  <c r="E99" i="12"/>
  <c r="E89" i="12"/>
  <c r="E79" i="12"/>
  <c r="E69" i="12"/>
  <c r="E59" i="12"/>
  <c r="E49" i="12"/>
  <c r="E39" i="12"/>
  <c r="E29" i="12"/>
  <c r="E19" i="12"/>
  <c r="E9" i="12"/>
  <c r="E108" i="19"/>
  <c r="E106" i="19"/>
  <c r="E139" i="19"/>
  <c r="E86" i="19"/>
  <c r="E58" i="19"/>
  <c r="E56" i="19"/>
  <c r="E36" i="19"/>
  <c r="E98" i="19"/>
  <c r="E48" i="19"/>
  <c r="E96" i="19"/>
  <c r="E46" i="19"/>
  <c r="E88" i="19"/>
  <c r="E38" i="19"/>
  <c r="E129" i="19"/>
  <c r="E78" i="19"/>
  <c r="E28" i="19"/>
  <c r="E127" i="19"/>
  <c r="E76" i="19"/>
  <c r="E26" i="19"/>
  <c r="E118" i="19"/>
  <c r="E68" i="19"/>
  <c r="E16" i="19"/>
  <c r="E116" i="19"/>
  <c r="E66" i="19"/>
  <c r="E8" i="12"/>
  <c r="E17" i="19"/>
  <c r="E14" i="19"/>
  <c r="E138" i="19"/>
  <c r="E128" i="19"/>
  <c r="E117" i="19"/>
  <c r="E107" i="19"/>
  <c r="E97" i="19"/>
  <c r="E87" i="19"/>
  <c r="E77" i="19"/>
  <c r="E67" i="19"/>
  <c r="E57" i="19"/>
  <c r="E47" i="19"/>
  <c r="E37" i="19"/>
  <c r="E27" i="19"/>
  <c r="E137" i="19"/>
  <c r="E136" i="19"/>
  <c r="E126" i="19"/>
  <c r="E115" i="19"/>
  <c r="E105" i="19"/>
  <c r="E95" i="19"/>
  <c r="E75" i="19"/>
  <c r="E65" i="19"/>
  <c r="E55" i="19"/>
  <c r="E45" i="19"/>
  <c r="E35" i="19"/>
  <c r="E25" i="19"/>
  <c r="E15" i="19"/>
  <c r="E135" i="19"/>
  <c r="E125" i="19"/>
  <c r="E114" i="19"/>
  <c r="E104" i="19"/>
  <c r="E94" i="19"/>
  <c r="E84" i="19"/>
  <c r="E74" i="19"/>
  <c r="E64" i="19"/>
  <c r="E54" i="19"/>
  <c r="E44" i="19"/>
  <c r="E34" i="19"/>
  <c r="E24" i="19"/>
  <c r="E134" i="19"/>
  <c r="E124" i="19"/>
  <c r="E113" i="19"/>
  <c r="E103" i="19"/>
  <c r="E93" i="19"/>
  <c r="E83" i="19"/>
  <c r="E73" i="19"/>
  <c r="E63" i="19"/>
  <c r="E53" i="19"/>
  <c r="E43" i="19"/>
  <c r="E33" i="19"/>
  <c r="E23" i="19"/>
  <c r="E13" i="19"/>
  <c r="E133" i="19"/>
  <c r="E123" i="19"/>
  <c r="E112" i="19"/>
  <c r="E102" i="19"/>
  <c r="E92" i="19"/>
  <c r="E82" i="19"/>
  <c r="E62" i="19"/>
  <c r="E52" i="19"/>
  <c r="E42" i="19"/>
  <c r="E32" i="19"/>
  <c r="E22" i="19"/>
  <c r="E132" i="19"/>
  <c r="E121" i="19"/>
  <c r="E111" i="19"/>
  <c r="E101" i="19"/>
  <c r="E91" i="19"/>
  <c r="E81" i="19"/>
  <c r="E61" i="19"/>
  <c r="E51" i="19"/>
  <c r="E41" i="19"/>
  <c r="E31" i="19"/>
  <c r="E21" i="19"/>
  <c r="E140" i="19"/>
  <c r="E131" i="19"/>
  <c r="E120" i="19"/>
  <c r="E110" i="19"/>
  <c r="E100" i="19"/>
  <c r="E90" i="19"/>
  <c r="E80" i="19"/>
  <c r="E70" i="19"/>
  <c r="E60" i="19"/>
  <c r="E50" i="19"/>
  <c r="E40" i="19"/>
  <c r="E30" i="19"/>
  <c r="E20" i="19"/>
  <c r="E130" i="19"/>
  <c r="E119" i="19"/>
  <c r="E109" i="19"/>
  <c r="E99" i="19"/>
  <c r="E89" i="19"/>
  <c r="E79" i="19"/>
  <c r="E69" i="19"/>
  <c r="E59" i="19"/>
  <c r="E49" i="19"/>
  <c r="E39" i="19"/>
  <c r="E29" i="19"/>
  <c r="E19" i="19"/>
  <c r="E9" i="19"/>
  <c r="E108" i="10"/>
  <c r="E68" i="10"/>
  <c r="E58" i="10"/>
  <c r="E98" i="10"/>
  <c r="E88" i="10"/>
  <c r="E78" i="10"/>
  <c r="E48" i="10"/>
  <c r="E139" i="10"/>
  <c r="E38" i="10"/>
  <c r="E129" i="10"/>
  <c r="E28" i="10"/>
  <c r="E118" i="10"/>
  <c r="E8" i="19"/>
  <c r="E17" i="10"/>
  <c r="E14" i="10"/>
  <c r="E138" i="10"/>
  <c r="E128" i="10"/>
  <c r="E117" i="10"/>
  <c r="E107" i="10"/>
  <c r="E97" i="10"/>
  <c r="E87" i="10"/>
  <c r="E77" i="10"/>
  <c r="E67" i="10"/>
  <c r="E57" i="10"/>
  <c r="E47" i="10"/>
  <c r="E37" i="10"/>
  <c r="E27" i="10"/>
  <c r="E137" i="10"/>
  <c r="E127" i="10"/>
  <c r="E116" i="10"/>
  <c r="E106" i="10"/>
  <c r="E96" i="10"/>
  <c r="E86" i="10"/>
  <c r="E76" i="10"/>
  <c r="E66" i="10"/>
  <c r="E56" i="10"/>
  <c r="E46" i="10"/>
  <c r="E36" i="10"/>
  <c r="E26" i="10"/>
  <c r="E16" i="10"/>
  <c r="E136" i="10"/>
  <c r="E126" i="10"/>
  <c r="E115" i="10"/>
  <c r="E105" i="10"/>
  <c r="E95" i="10"/>
  <c r="E75" i="10"/>
  <c r="E65" i="10"/>
  <c r="E55" i="10"/>
  <c r="E45" i="10"/>
  <c r="E35" i="10"/>
  <c r="E25" i="10"/>
  <c r="E15" i="10"/>
  <c r="E135" i="10"/>
  <c r="E125" i="10"/>
  <c r="E114" i="10"/>
  <c r="E104" i="10"/>
  <c r="E94" i="10"/>
  <c r="E84" i="10"/>
  <c r="E74" i="10"/>
  <c r="E64" i="10"/>
  <c r="E54" i="10"/>
  <c r="E44" i="10"/>
  <c r="E34" i="10"/>
  <c r="E24" i="10"/>
  <c r="E134" i="10"/>
  <c r="E124" i="10"/>
  <c r="E113" i="10"/>
  <c r="E103" i="10"/>
  <c r="E93" i="10"/>
  <c r="E83" i="10"/>
  <c r="E73" i="10"/>
  <c r="E63" i="10"/>
  <c r="E53" i="10"/>
  <c r="E43" i="10"/>
  <c r="E33" i="10"/>
  <c r="E23" i="10"/>
  <c r="E13" i="10"/>
  <c r="E133" i="10"/>
  <c r="E123" i="10"/>
  <c r="E112" i="10"/>
  <c r="E102" i="10"/>
  <c r="E92" i="10"/>
  <c r="E82" i="10"/>
  <c r="E62" i="10"/>
  <c r="E52" i="10"/>
  <c r="E42" i="10"/>
  <c r="E32" i="10"/>
  <c r="E22" i="10"/>
  <c r="E132" i="10"/>
  <c r="E121" i="10"/>
  <c r="E111" i="10"/>
  <c r="E101" i="10"/>
  <c r="E91" i="10"/>
  <c r="E81" i="10"/>
  <c r="E61" i="10"/>
  <c r="E51" i="10"/>
  <c r="E41" i="10"/>
  <c r="E31" i="10"/>
  <c r="E21" i="10"/>
  <c r="E140" i="10"/>
  <c r="E131" i="10"/>
  <c r="E120" i="10"/>
  <c r="E110" i="10"/>
  <c r="E100" i="10"/>
  <c r="E90" i="10"/>
  <c r="E80" i="10"/>
  <c r="E70" i="10"/>
  <c r="E60" i="10"/>
  <c r="E50" i="10"/>
  <c r="E40" i="10"/>
  <c r="E30" i="10"/>
  <c r="E20" i="10"/>
  <c r="E130" i="10"/>
  <c r="E119" i="10"/>
  <c r="E109" i="10"/>
  <c r="E99" i="10"/>
  <c r="E89" i="10"/>
  <c r="E79" i="10"/>
  <c r="E69" i="10"/>
  <c r="E59" i="10"/>
  <c r="E49" i="10"/>
  <c r="E39" i="10"/>
  <c r="E29" i="10"/>
  <c r="E19" i="10"/>
  <c r="E9" i="10"/>
  <c r="E140" i="16"/>
  <c r="E8" i="10"/>
  <c r="E17" i="16"/>
  <c r="E14" i="16"/>
  <c r="E138" i="16"/>
  <c r="E128" i="16"/>
  <c r="E117" i="16"/>
  <c r="E107" i="16"/>
  <c r="E97" i="16"/>
  <c r="E87" i="16"/>
  <c r="E77" i="16"/>
  <c r="E67" i="16"/>
  <c r="E57" i="16"/>
  <c r="E47" i="16"/>
  <c r="E37" i="16"/>
  <c r="E27" i="16"/>
  <c r="E58" i="16"/>
  <c r="E137" i="16"/>
  <c r="E127" i="16"/>
  <c r="E116" i="16"/>
  <c r="E106" i="16"/>
  <c r="E96" i="16"/>
  <c r="E86" i="16"/>
  <c r="E76" i="16"/>
  <c r="E66" i="16"/>
  <c r="E56" i="16"/>
  <c r="E46" i="16"/>
  <c r="E36" i="16"/>
  <c r="E26" i="16"/>
  <c r="E16" i="16"/>
  <c r="E139" i="16"/>
  <c r="E98" i="16"/>
  <c r="E136" i="16"/>
  <c r="E126" i="16"/>
  <c r="E115" i="16"/>
  <c r="E105" i="16"/>
  <c r="E95" i="16"/>
  <c r="E75" i="16"/>
  <c r="E65" i="16"/>
  <c r="E55" i="16"/>
  <c r="E45" i="16"/>
  <c r="E35" i="16"/>
  <c r="E25" i="16"/>
  <c r="E15" i="16"/>
  <c r="E118" i="16"/>
  <c r="E38" i="16"/>
  <c r="E135" i="16"/>
  <c r="E125" i="16"/>
  <c r="E114" i="16"/>
  <c r="E104" i="16"/>
  <c r="E94" i="16"/>
  <c r="E84" i="16"/>
  <c r="E74" i="16"/>
  <c r="E64" i="16"/>
  <c r="E54" i="16"/>
  <c r="E44" i="16"/>
  <c r="E34" i="16"/>
  <c r="E24" i="16"/>
  <c r="E68" i="16"/>
  <c r="E138" i="17"/>
  <c r="E134" i="16"/>
  <c r="E124" i="16"/>
  <c r="E113" i="16"/>
  <c r="E103" i="16"/>
  <c r="E93" i="16"/>
  <c r="E83" i="16"/>
  <c r="E73" i="16"/>
  <c r="E63" i="16"/>
  <c r="E53" i="16"/>
  <c r="E43" i="16"/>
  <c r="E33" i="16"/>
  <c r="E23" i="16"/>
  <c r="E13" i="16"/>
  <c r="E88" i="16"/>
  <c r="E117" i="17"/>
  <c r="E133" i="16"/>
  <c r="E123" i="16"/>
  <c r="E112" i="16"/>
  <c r="E102" i="16"/>
  <c r="E92" i="16"/>
  <c r="E82" i="16"/>
  <c r="E62" i="16"/>
  <c r="E52" i="16"/>
  <c r="E42" i="16"/>
  <c r="E32" i="16"/>
  <c r="E22" i="16"/>
  <c r="E78" i="16"/>
  <c r="E67" i="17"/>
  <c r="E132" i="16"/>
  <c r="E121" i="16"/>
  <c r="E111" i="16"/>
  <c r="E101" i="16"/>
  <c r="E91" i="16"/>
  <c r="E81" i="16"/>
  <c r="E61" i="16"/>
  <c r="E51" i="16"/>
  <c r="E41" i="16"/>
  <c r="E31" i="16"/>
  <c r="E21" i="16"/>
  <c r="E129" i="16"/>
  <c r="E48" i="16"/>
  <c r="E131" i="16"/>
  <c r="E120" i="16"/>
  <c r="E110" i="16"/>
  <c r="E100" i="16"/>
  <c r="E90" i="16"/>
  <c r="E80" i="16"/>
  <c r="E70" i="16"/>
  <c r="E60" i="16"/>
  <c r="E50" i="16"/>
  <c r="E40" i="16"/>
  <c r="E30" i="16"/>
  <c r="E20" i="16"/>
  <c r="E108" i="16"/>
  <c r="E28" i="16"/>
  <c r="E130" i="16"/>
  <c r="E119" i="16"/>
  <c r="E109" i="16"/>
  <c r="E99" i="16"/>
  <c r="E89" i="16"/>
  <c r="E79" i="16"/>
  <c r="E69" i="16"/>
  <c r="E59" i="16"/>
  <c r="E49" i="16"/>
  <c r="E39" i="16"/>
  <c r="E29" i="16"/>
  <c r="E19" i="16"/>
  <c r="E9" i="16"/>
  <c r="E139" i="17"/>
  <c r="E58" i="17"/>
  <c r="E57" i="17"/>
  <c r="E37" i="17"/>
  <c r="E87" i="17"/>
  <c r="E78" i="17"/>
  <c r="E129" i="17"/>
  <c r="E38" i="17"/>
  <c r="E108" i="17"/>
  <c r="E28" i="17"/>
  <c r="E107" i="17"/>
  <c r="E88" i="17"/>
  <c r="E98" i="17"/>
  <c r="E48" i="17"/>
  <c r="E97" i="17"/>
  <c r="E47" i="17"/>
  <c r="E128" i="17"/>
  <c r="E77" i="17"/>
  <c r="E27" i="17"/>
  <c r="E118" i="17"/>
  <c r="E68" i="17"/>
  <c r="E8" i="16"/>
  <c r="E17" i="17"/>
  <c r="E14" i="17"/>
  <c r="E137" i="17"/>
  <c r="E127" i="17"/>
  <c r="E116" i="17"/>
  <c r="E106" i="17"/>
  <c r="E96" i="17"/>
  <c r="E86" i="17"/>
  <c r="E76" i="17"/>
  <c r="E66" i="17"/>
  <c r="E56" i="17"/>
  <c r="E46" i="17"/>
  <c r="E36" i="17"/>
  <c r="E26" i="17"/>
  <c r="E16" i="17"/>
  <c r="E136" i="17"/>
  <c r="E126" i="17"/>
  <c r="E115" i="17"/>
  <c r="E105" i="17"/>
  <c r="E65" i="17"/>
  <c r="E55" i="17"/>
  <c r="E45" i="17"/>
  <c r="E35" i="17"/>
  <c r="E25" i="17"/>
  <c r="E15" i="17"/>
  <c r="E135" i="17"/>
  <c r="E125" i="17"/>
  <c r="E114" i="17"/>
  <c r="E104" i="17"/>
  <c r="E94" i="17"/>
  <c r="E84" i="17"/>
  <c r="E74" i="17"/>
  <c r="E54" i="17"/>
  <c r="E44" i="17"/>
  <c r="E34" i="17"/>
  <c r="E24" i="17"/>
  <c r="E134" i="17"/>
  <c r="E124" i="17"/>
  <c r="E113" i="17"/>
  <c r="E103" i="17"/>
  <c r="E93" i="17"/>
  <c r="E83" i="17"/>
  <c r="E73" i="17"/>
  <c r="E63" i="17"/>
  <c r="E53" i="17"/>
  <c r="E43" i="17"/>
  <c r="E33" i="17"/>
  <c r="E23" i="17"/>
  <c r="E13" i="17"/>
  <c r="E133" i="17"/>
  <c r="E123" i="17"/>
  <c r="E112" i="17"/>
  <c r="E102" i="17"/>
  <c r="E92" i="17"/>
  <c r="E82" i="17"/>
  <c r="E62" i="17"/>
  <c r="E52" i="17"/>
  <c r="E42" i="17"/>
  <c r="E32" i="17"/>
  <c r="E22" i="17"/>
  <c r="E132" i="17"/>
  <c r="E121" i="17"/>
  <c r="E111" i="17"/>
  <c r="E101" i="17"/>
  <c r="E91" i="17"/>
  <c r="E81" i="17"/>
  <c r="E61" i="17"/>
  <c r="E51" i="17"/>
  <c r="E41" i="17"/>
  <c r="E31" i="17"/>
  <c r="E21" i="17"/>
  <c r="E140" i="17"/>
  <c r="E120" i="17"/>
  <c r="E110" i="17"/>
  <c r="E100" i="17"/>
  <c r="E90" i="17"/>
  <c r="E80" i="17"/>
  <c r="E70" i="17"/>
  <c r="E60" i="17"/>
  <c r="E50" i="17"/>
  <c r="E40" i="17"/>
  <c r="E20" i="17"/>
  <c r="E130" i="17"/>
  <c r="E119" i="17"/>
  <c r="E109" i="17"/>
  <c r="E99" i="17"/>
  <c r="E89" i="17"/>
  <c r="E79" i="17"/>
  <c r="E69" i="17"/>
  <c r="E59" i="17"/>
  <c r="E49" i="17"/>
  <c r="E39" i="17"/>
  <c r="E29" i="17"/>
  <c r="E19" i="17"/>
  <c r="E9" i="17"/>
  <c r="E95" i="8"/>
  <c r="E75" i="8"/>
  <c r="E64" i="8"/>
  <c r="E30" i="8"/>
  <c r="E131" i="8"/>
  <c r="E8" i="17"/>
  <c r="E17" i="8"/>
  <c r="E14" i="8"/>
  <c r="S10" i="10"/>
  <c r="S11" i="10"/>
  <c r="E71" i="6"/>
  <c r="E85" i="6"/>
  <c r="E9" i="20" l="1"/>
  <c r="E15" i="20"/>
  <c r="E85" i="8"/>
  <c r="E85" i="17"/>
  <c r="E85" i="16"/>
  <c r="E85" i="10"/>
  <c r="E85" i="18"/>
  <c r="E85" i="19"/>
  <c r="E85" i="12"/>
  <c r="E71" i="8"/>
  <c r="E71" i="10"/>
  <c r="E71" i="19"/>
  <c r="E71" i="12"/>
  <c r="E71" i="18"/>
  <c r="E71" i="17"/>
  <c r="E71" i="16"/>
  <c r="E27" i="20"/>
  <c r="E24" i="20"/>
  <c r="E21" i="20"/>
  <c r="E18" i="20"/>
  <c r="E12" i="20"/>
  <c r="E18" i="18"/>
  <c r="E18" i="12"/>
  <c r="E18" i="19"/>
  <c r="E18" i="10"/>
  <c r="E18" i="16"/>
  <c r="E18" i="17"/>
  <c r="E18" i="8"/>
  <c r="E72" i="6"/>
  <c r="E72" i="8" l="1"/>
  <c r="E72" i="17"/>
  <c r="E72" i="10"/>
  <c r="E72" i="19"/>
  <c r="E72" i="12"/>
  <c r="E72" i="16"/>
  <c r="E72" i="18"/>
  <c r="E12" i="18"/>
  <c r="E12" i="12"/>
  <c r="E12" i="19"/>
  <c r="E12" i="10"/>
  <c r="E12" i="16"/>
  <c r="E12" i="17"/>
  <c r="E12" i="8"/>
  <c r="B5" i="18" l="1"/>
  <c r="B3" i="18"/>
  <c r="B5" i="12"/>
  <c r="B3" i="12"/>
  <c r="B5" i="19"/>
  <c r="B3" i="19"/>
  <c r="B5" i="10"/>
  <c r="B3" i="10"/>
  <c r="B5" i="16"/>
  <c r="B3" i="16"/>
  <c r="B5" i="17"/>
  <c r="B3" i="17"/>
  <c r="B3" i="8"/>
  <c r="B5" i="8"/>
  <c r="H9" i="10" l="1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8" i="10"/>
  <c r="J40" i="15"/>
  <c r="K40" i="15" s="1"/>
  <c r="K39" i="15"/>
  <c r="N39" i="15" s="1"/>
  <c r="J37" i="15" l="1"/>
  <c r="K37" i="15" s="1"/>
  <c r="J34" i="15"/>
  <c r="K34" i="15" s="1"/>
  <c r="J36" i="15"/>
  <c r="K36" i="15" s="1"/>
  <c r="K35" i="15" l="1"/>
  <c r="K38" i="15"/>
  <c r="K16" i="15"/>
  <c r="J52" i="15"/>
  <c r="J51" i="15"/>
  <c r="J49" i="15"/>
  <c r="J45" i="15"/>
  <c r="J33" i="15"/>
  <c r="J31" i="15"/>
  <c r="J26" i="15"/>
  <c r="J18" i="15"/>
  <c r="J17" i="15"/>
  <c r="J14" i="15"/>
  <c r="J13" i="15"/>
  <c r="J10" i="15"/>
  <c r="K11" i="15" s="1"/>
  <c r="J8" i="15"/>
  <c r="K28" i="15"/>
  <c r="K27" i="15"/>
  <c r="K23" i="15"/>
  <c r="K22" i="15"/>
  <c r="G12" i="18"/>
  <c r="F12" i="18"/>
  <c r="D12" i="18"/>
  <c r="C12" i="18"/>
  <c r="B12" i="18"/>
  <c r="J12" i="12"/>
  <c r="I12" i="12"/>
  <c r="H12" i="12"/>
  <c r="G12" i="12"/>
  <c r="F12" i="12"/>
  <c r="D12" i="12"/>
  <c r="C12" i="12"/>
  <c r="B12" i="12"/>
  <c r="J12" i="19"/>
  <c r="I12" i="19"/>
  <c r="H12" i="19"/>
  <c r="G12" i="19"/>
  <c r="F12" i="19"/>
  <c r="K12" i="19" s="1"/>
  <c r="D12" i="19"/>
  <c r="C12" i="19"/>
  <c r="B12" i="19"/>
  <c r="J12" i="10"/>
  <c r="I12" i="10"/>
  <c r="G12" i="10"/>
  <c r="F12" i="10"/>
  <c r="L12" i="10" s="1"/>
  <c r="O12" i="10" s="1"/>
  <c r="D12" i="10"/>
  <c r="C12" i="10"/>
  <c r="B12" i="10"/>
  <c r="J12" i="16"/>
  <c r="I12" i="16"/>
  <c r="V12" i="16" s="1"/>
  <c r="K12" i="16" s="1"/>
  <c r="Q12" i="16" s="1"/>
  <c r="H12" i="16"/>
  <c r="G12" i="16"/>
  <c r="F12" i="16"/>
  <c r="D12" i="16"/>
  <c r="C12" i="16"/>
  <c r="B12" i="16"/>
  <c r="J12" i="17"/>
  <c r="I12" i="17"/>
  <c r="H12" i="17"/>
  <c r="G12" i="17"/>
  <c r="F12" i="17"/>
  <c r="D12" i="17"/>
  <c r="C12" i="17"/>
  <c r="B12" i="17"/>
  <c r="J12" i="8"/>
  <c r="I12" i="8"/>
  <c r="H12" i="8"/>
  <c r="G12" i="8"/>
  <c r="F12" i="8"/>
  <c r="D12" i="8"/>
  <c r="C12" i="8"/>
  <c r="B12" i="8"/>
  <c r="K2" i="10"/>
  <c r="S12" i="16" l="1"/>
  <c r="M12" i="19"/>
  <c r="N12" i="19" s="1"/>
  <c r="P12" i="10"/>
  <c r="N12" i="10"/>
  <c r="M12" i="10"/>
  <c r="K12" i="10"/>
  <c r="Q12" i="10" s="1"/>
  <c r="M12" i="16"/>
  <c r="P12" i="16"/>
  <c r="B5" i="15"/>
  <c r="D3" i="15"/>
  <c r="B3" i="15"/>
  <c r="D3" i="6"/>
  <c r="R12" i="10" l="1"/>
  <c r="S12" i="10" s="1"/>
  <c r="J140" i="19"/>
  <c r="I140" i="19"/>
  <c r="H140" i="19"/>
  <c r="G140" i="19"/>
  <c r="F140" i="19"/>
  <c r="K140" i="19" s="1"/>
  <c r="D140" i="19"/>
  <c r="C140" i="19"/>
  <c r="B140" i="19"/>
  <c r="J139" i="19"/>
  <c r="I139" i="19"/>
  <c r="H139" i="19"/>
  <c r="G139" i="19"/>
  <c r="F139" i="19"/>
  <c r="K139" i="19" s="1"/>
  <c r="D139" i="19"/>
  <c r="C139" i="19"/>
  <c r="B139" i="19"/>
  <c r="J138" i="19"/>
  <c r="I138" i="19"/>
  <c r="H138" i="19"/>
  <c r="G138" i="19"/>
  <c r="F138" i="19"/>
  <c r="K138" i="19" s="1"/>
  <c r="D138" i="19"/>
  <c r="C138" i="19"/>
  <c r="B138" i="19"/>
  <c r="J137" i="19"/>
  <c r="I137" i="19"/>
  <c r="H137" i="19"/>
  <c r="G137" i="19"/>
  <c r="F137" i="19"/>
  <c r="K137" i="19" s="1"/>
  <c r="D137" i="19"/>
  <c r="C137" i="19"/>
  <c r="B137" i="19"/>
  <c r="J136" i="19"/>
  <c r="I136" i="19"/>
  <c r="H136" i="19"/>
  <c r="G136" i="19"/>
  <c r="F136" i="19"/>
  <c r="K136" i="19" s="1"/>
  <c r="D136" i="19"/>
  <c r="C136" i="19"/>
  <c r="B136" i="19"/>
  <c r="J135" i="19"/>
  <c r="I135" i="19"/>
  <c r="H135" i="19"/>
  <c r="G135" i="19"/>
  <c r="F135" i="19"/>
  <c r="K135" i="19" s="1"/>
  <c r="D135" i="19"/>
  <c r="C135" i="19"/>
  <c r="B135" i="19"/>
  <c r="J134" i="19"/>
  <c r="I134" i="19"/>
  <c r="H134" i="19"/>
  <c r="G134" i="19"/>
  <c r="F134" i="19"/>
  <c r="K134" i="19" s="1"/>
  <c r="D134" i="19"/>
  <c r="C134" i="19"/>
  <c r="B134" i="19"/>
  <c r="J133" i="19"/>
  <c r="I133" i="19"/>
  <c r="H133" i="19"/>
  <c r="G133" i="19"/>
  <c r="F133" i="19"/>
  <c r="K133" i="19" s="1"/>
  <c r="D133" i="19"/>
  <c r="C133" i="19"/>
  <c r="B133" i="19"/>
  <c r="J132" i="19"/>
  <c r="I132" i="19"/>
  <c r="H132" i="19"/>
  <c r="G132" i="19"/>
  <c r="F132" i="19"/>
  <c r="K132" i="19" s="1"/>
  <c r="D132" i="19"/>
  <c r="C132" i="19"/>
  <c r="B132" i="19"/>
  <c r="J131" i="19"/>
  <c r="I131" i="19"/>
  <c r="H131" i="19"/>
  <c r="G131" i="19"/>
  <c r="F131" i="19"/>
  <c r="K131" i="19" s="1"/>
  <c r="D131" i="19"/>
  <c r="C131" i="19"/>
  <c r="B131" i="19"/>
  <c r="J130" i="19"/>
  <c r="I130" i="19"/>
  <c r="H130" i="19"/>
  <c r="G130" i="19"/>
  <c r="F130" i="19"/>
  <c r="K130" i="19" s="1"/>
  <c r="D130" i="19"/>
  <c r="C130" i="19"/>
  <c r="B130" i="19"/>
  <c r="J129" i="19"/>
  <c r="I129" i="19"/>
  <c r="H129" i="19"/>
  <c r="G129" i="19"/>
  <c r="F129" i="19"/>
  <c r="K129" i="19" s="1"/>
  <c r="D129" i="19"/>
  <c r="C129" i="19"/>
  <c r="B129" i="19"/>
  <c r="J128" i="19"/>
  <c r="I128" i="19"/>
  <c r="H128" i="19"/>
  <c r="G128" i="19"/>
  <c r="F128" i="19"/>
  <c r="K128" i="19" s="1"/>
  <c r="D128" i="19"/>
  <c r="C128" i="19"/>
  <c r="B128" i="19"/>
  <c r="J127" i="19"/>
  <c r="I127" i="19"/>
  <c r="H127" i="19"/>
  <c r="G127" i="19"/>
  <c r="F127" i="19"/>
  <c r="K127" i="19" s="1"/>
  <c r="D127" i="19"/>
  <c r="C127" i="19"/>
  <c r="B127" i="19"/>
  <c r="J126" i="19"/>
  <c r="I126" i="19"/>
  <c r="H126" i="19"/>
  <c r="G126" i="19"/>
  <c r="F126" i="19"/>
  <c r="K126" i="19" s="1"/>
  <c r="D126" i="19"/>
  <c r="C126" i="19"/>
  <c r="B126" i="19"/>
  <c r="J125" i="19"/>
  <c r="I125" i="19"/>
  <c r="H125" i="19"/>
  <c r="G125" i="19"/>
  <c r="F125" i="19"/>
  <c r="K125" i="19" s="1"/>
  <c r="D125" i="19"/>
  <c r="C125" i="19"/>
  <c r="B125" i="19"/>
  <c r="J124" i="19"/>
  <c r="I124" i="19"/>
  <c r="H124" i="19"/>
  <c r="G124" i="19"/>
  <c r="F124" i="19"/>
  <c r="K124" i="19" s="1"/>
  <c r="D124" i="19"/>
  <c r="C124" i="19"/>
  <c r="B124" i="19"/>
  <c r="J123" i="19"/>
  <c r="I123" i="19"/>
  <c r="H123" i="19"/>
  <c r="G123" i="19"/>
  <c r="F123" i="19"/>
  <c r="K123" i="19" s="1"/>
  <c r="D123" i="19"/>
  <c r="C123" i="19"/>
  <c r="B123" i="19"/>
  <c r="J121" i="19"/>
  <c r="I121" i="19"/>
  <c r="H121" i="19"/>
  <c r="G121" i="19"/>
  <c r="F121" i="19"/>
  <c r="K121" i="19" s="1"/>
  <c r="D121" i="19"/>
  <c r="C121" i="19"/>
  <c r="B121" i="19"/>
  <c r="J120" i="19"/>
  <c r="I120" i="19"/>
  <c r="H120" i="19"/>
  <c r="G120" i="19"/>
  <c r="F120" i="19"/>
  <c r="K120" i="19" s="1"/>
  <c r="D120" i="19"/>
  <c r="C120" i="19"/>
  <c r="B120" i="19"/>
  <c r="J119" i="19"/>
  <c r="I119" i="19"/>
  <c r="H119" i="19"/>
  <c r="G119" i="19"/>
  <c r="F119" i="19"/>
  <c r="K119" i="19" s="1"/>
  <c r="D119" i="19"/>
  <c r="C119" i="19"/>
  <c r="B119" i="19"/>
  <c r="J118" i="19"/>
  <c r="I118" i="19"/>
  <c r="H118" i="19"/>
  <c r="G118" i="19"/>
  <c r="F118" i="19"/>
  <c r="K118" i="19" s="1"/>
  <c r="D118" i="19"/>
  <c r="C118" i="19"/>
  <c r="B118" i="19"/>
  <c r="J117" i="19"/>
  <c r="I117" i="19"/>
  <c r="H117" i="19"/>
  <c r="G117" i="19"/>
  <c r="F117" i="19"/>
  <c r="K117" i="19" s="1"/>
  <c r="D117" i="19"/>
  <c r="C117" i="19"/>
  <c r="B117" i="19"/>
  <c r="J116" i="19"/>
  <c r="I116" i="19"/>
  <c r="H116" i="19"/>
  <c r="G116" i="19"/>
  <c r="F116" i="19"/>
  <c r="K116" i="19" s="1"/>
  <c r="D116" i="19"/>
  <c r="C116" i="19"/>
  <c r="B116" i="19"/>
  <c r="J115" i="19"/>
  <c r="I115" i="19"/>
  <c r="H115" i="19"/>
  <c r="G115" i="19"/>
  <c r="F115" i="19"/>
  <c r="K115" i="19" s="1"/>
  <c r="D115" i="19"/>
  <c r="C115" i="19"/>
  <c r="B115" i="19"/>
  <c r="J114" i="19"/>
  <c r="I114" i="19"/>
  <c r="H114" i="19"/>
  <c r="G114" i="19"/>
  <c r="F114" i="19"/>
  <c r="K114" i="19" s="1"/>
  <c r="D114" i="19"/>
  <c r="C114" i="19"/>
  <c r="B114" i="19"/>
  <c r="J113" i="19"/>
  <c r="I113" i="19"/>
  <c r="H113" i="19"/>
  <c r="G113" i="19"/>
  <c r="F113" i="19"/>
  <c r="K113" i="19" s="1"/>
  <c r="D113" i="19"/>
  <c r="C113" i="19"/>
  <c r="B113" i="19"/>
  <c r="J112" i="19"/>
  <c r="I112" i="19"/>
  <c r="H112" i="19"/>
  <c r="G112" i="19"/>
  <c r="F112" i="19"/>
  <c r="K112" i="19" s="1"/>
  <c r="D112" i="19"/>
  <c r="C112" i="19"/>
  <c r="B112" i="19"/>
  <c r="J111" i="19"/>
  <c r="I111" i="19"/>
  <c r="H111" i="19"/>
  <c r="G111" i="19"/>
  <c r="F111" i="19"/>
  <c r="K111" i="19" s="1"/>
  <c r="D111" i="19"/>
  <c r="C111" i="19"/>
  <c r="B111" i="19"/>
  <c r="J110" i="19"/>
  <c r="I110" i="19"/>
  <c r="H110" i="19"/>
  <c r="G110" i="19"/>
  <c r="F110" i="19"/>
  <c r="K110" i="19" s="1"/>
  <c r="D110" i="19"/>
  <c r="C110" i="19"/>
  <c r="B110" i="19"/>
  <c r="J109" i="19"/>
  <c r="I109" i="19"/>
  <c r="H109" i="19"/>
  <c r="G109" i="19"/>
  <c r="F109" i="19"/>
  <c r="K109" i="19" s="1"/>
  <c r="D109" i="19"/>
  <c r="C109" i="19"/>
  <c r="B109" i="19"/>
  <c r="J108" i="19"/>
  <c r="I108" i="19"/>
  <c r="H108" i="19"/>
  <c r="G108" i="19"/>
  <c r="F108" i="19"/>
  <c r="K108" i="19" s="1"/>
  <c r="D108" i="19"/>
  <c r="C108" i="19"/>
  <c r="B108" i="19"/>
  <c r="J107" i="19"/>
  <c r="I107" i="19"/>
  <c r="H107" i="19"/>
  <c r="G107" i="19"/>
  <c r="F107" i="19"/>
  <c r="K107" i="19" s="1"/>
  <c r="D107" i="19"/>
  <c r="C107" i="19"/>
  <c r="B107" i="19"/>
  <c r="J106" i="19"/>
  <c r="I106" i="19"/>
  <c r="H106" i="19"/>
  <c r="G106" i="19"/>
  <c r="F106" i="19"/>
  <c r="K106" i="19" s="1"/>
  <c r="D106" i="19"/>
  <c r="C106" i="19"/>
  <c r="B106" i="19"/>
  <c r="J105" i="19"/>
  <c r="I105" i="19"/>
  <c r="H105" i="19"/>
  <c r="G105" i="19"/>
  <c r="F105" i="19"/>
  <c r="K105" i="19" s="1"/>
  <c r="D105" i="19"/>
  <c r="C105" i="19"/>
  <c r="B105" i="19"/>
  <c r="J104" i="19"/>
  <c r="I104" i="19"/>
  <c r="H104" i="19"/>
  <c r="G104" i="19"/>
  <c r="F104" i="19"/>
  <c r="K104" i="19" s="1"/>
  <c r="D104" i="19"/>
  <c r="C104" i="19"/>
  <c r="B104" i="19"/>
  <c r="J103" i="19"/>
  <c r="I103" i="19"/>
  <c r="H103" i="19"/>
  <c r="G103" i="19"/>
  <c r="F103" i="19"/>
  <c r="K103" i="19" s="1"/>
  <c r="D103" i="19"/>
  <c r="C103" i="19"/>
  <c r="B103" i="19"/>
  <c r="J102" i="19"/>
  <c r="I102" i="19"/>
  <c r="H102" i="19"/>
  <c r="G102" i="19"/>
  <c r="F102" i="19"/>
  <c r="K102" i="19" s="1"/>
  <c r="D102" i="19"/>
  <c r="C102" i="19"/>
  <c r="B102" i="19"/>
  <c r="J101" i="19"/>
  <c r="I101" i="19"/>
  <c r="H101" i="19"/>
  <c r="G101" i="19"/>
  <c r="F101" i="19"/>
  <c r="K101" i="19" s="1"/>
  <c r="D101" i="19"/>
  <c r="C101" i="19"/>
  <c r="B101" i="19"/>
  <c r="J100" i="19"/>
  <c r="I100" i="19"/>
  <c r="H100" i="19"/>
  <c r="G100" i="19"/>
  <c r="F100" i="19"/>
  <c r="K100" i="19" s="1"/>
  <c r="D100" i="19"/>
  <c r="C100" i="19"/>
  <c r="B100" i="19"/>
  <c r="J99" i="19"/>
  <c r="I99" i="19"/>
  <c r="H99" i="19"/>
  <c r="G99" i="19"/>
  <c r="F99" i="19"/>
  <c r="K99" i="19" s="1"/>
  <c r="D99" i="19"/>
  <c r="C99" i="19"/>
  <c r="B99" i="19"/>
  <c r="J98" i="19"/>
  <c r="I98" i="19"/>
  <c r="H98" i="19"/>
  <c r="G98" i="19"/>
  <c r="F98" i="19"/>
  <c r="K98" i="19" s="1"/>
  <c r="D98" i="19"/>
  <c r="C98" i="19"/>
  <c r="B98" i="19"/>
  <c r="J97" i="19"/>
  <c r="I97" i="19"/>
  <c r="H97" i="19"/>
  <c r="G97" i="19"/>
  <c r="F97" i="19"/>
  <c r="K97" i="19" s="1"/>
  <c r="D97" i="19"/>
  <c r="C97" i="19"/>
  <c r="B97" i="19"/>
  <c r="J96" i="19"/>
  <c r="I96" i="19"/>
  <c r="H96" i="19"/>
  <c r="G96" i="19"/>
  <c r="F96" i="19"/>
  <c r="K96" i="19" s="1"/>
  <c r="D96" i="19"/>
  <c r="C96" i="19"/>
  <c r="B96" i="19"/>
  <c r="J95" i="19"/>
  <c r="I95" i="19"/>
  <c r="H95" i="19"/>
  <c r="G95" i="19"/>
  <c r="F95" i="19"/>
  <c r="K95" i="19" s="1"/>
  <c r="D95" i="19"/>
  <c r="C95" i="19"/>
  <c r="B95" i="19"/>
  <c r="J94" i="19"/>
  <c r="I94" i="19"/>
  <c r="H94" i="19"/>
  <c r="G94" i="19"/>
  <c r="F94" i="19"/>
  <c r="K94" i="19" s="1"/>
  <c r="D94" i="19"/>
  <c r="C94" i="19"/>
  <c r="B94" i="19"/>
  <c r="J93" i="19"/>
  <c r="I93" i="19"/>
  <c r="H93" i="19"/>
  <c r="G93" i="19"/>
  <c r="F93" i="19"/>
  <c r="K93" i="19" s="1"/>
  <c r="D93" i="19"/>
  <c r="C93" i="19"/>
  <c r="B93" i="19"/>
  <c r="J92" i="19"/>
  <c r="I92" i="19"/>
  <c r="H92" i="19"/>
  <c r="G92" i="19"/>
  <c r="F92" i="19"/>
  <c r="K92" i="19" s="1"/>
  <c r="D92" i="19"/>
  <c r="C92" i="19"/>
  <c r="B92" i="19"/>
  <c r="J91" i="19"/>
  <c r="I91" i="19"/>
  <c r="H91" i="19"/>
  <c r="G91" i="19"/>
  <c r="F91" i="19"/>
  <c r="K91" i="19" s="1"/>
  <c r="D91" i="19"/>
  <c r="C91" i="19"/>
  <c r="B91" i="19"/>
  <c r="J90" i="19"/>
  <c r="I90" i="19"/>
  <c r="H90" i="19"/>
  <c r="G90" i="19"/>
  <c r="F90" i="19"/>
  <c r="K90" i="19" s="1"/>
  <c r="D90" i="19"/>
  <c r="C90" i="19"/>
  <c r="B90" i="19"/>
  <c r="J89" i="19"/>
  <c r="I89" i="19"/>
  <c r="H89" i="19"/>
  <c r="G89" i="19"/>
  <c r="F89" i="19"/>
  <c r="K89" i="19" s="1"/>
  <c r="D89" i="19"/>
  <c r="C89" i="19"/>
  <c r="B89" i="19"/>
  <c r="J88" i="19"/>
  <c r="I88" i="19"/>
  <c r="H88" i="19"/>
  <c r="G88" i="19"/>
  <c r="F88" i="19"/>
  <c r="K88" i="19" s="1"/>
  <c r="D88" i="19"/>
  <c r="C88" i="19"/>
  <c r="B88" i="19"/>
  <c r="J87" i="19"/>
  <c r="I87" i="19"/>
  <c r="H87" i="19"/>
  <c r="G87" i="19"/>
  <c r="F87" i="19"/>
  <c r="K87" i="19" s="1"/>
  <c r="D87" i="19"/>
  <c r="C87" i="19"/>
  <c r="B87" i="19"/>
  <c r="J86" i="19"/>
  <c r="I86" i="19"/>
  <c r="H86" i="19"/>
  <c r="G86" i="19"/>
  <c r="F86" i="19"/>
  <c r="K86" i="19" s="1"/>
  <c r="D86" i="19"/>
  <c r="C86" i="19"/>
  <c r="B86" i="19"/>
  <c r="J85" i="19"/>
  <c r="I85" i="19"/>
  <c r="H85" i="19"/>
  <c r="G85" i="19"/>
  <c r="F85" i="19"/>
  <c r="K85" i="19" s="1"/>
  <c r="D85" i="19"/>
  <c r="C85" i="19"/>
  <c r="B85" i="19"/>
  <c r="J84" i="19"/>
  <c r="I84" i="19"/>
  <c r="H84" i="19"/>
  <c r="G84" i="19"/>
  <c r="F84" i="19"/>
  <c r="K84" i="19" s="1"/>
  <c r="D84" i="19"/>
  <c r="C84" i="19"/>
  <c r="B84" i="19"/>
  <c r="J83" i="19"/>
  <c r="I83" i="19"/>
  <c r="H83" i="19"/>
  <c r="G83" i="19"/>
  <c r="F83" i="19"/>
  <c r="K83" i="19" s="1"/>
  <c r="D83" i="19"/>
  <c r="C83" i="19"/>
  <c r="B83" i="19"/>
  <c r="J82" i="19"/>
  <c r="I82" i="19"/>
  <c r="H82" i="19"/>
  <c r="G82" i="19"/>
  <c r="F82" i="19"/>
  <c r="K82" i="19" s="1"/>
  <c r="D82" i="19"/>
  <c r="C82" i="19"/>
  <c r="B82" i="19"/>
  <c r="J81" i="19"/>
  <c r="I81" i="19"/>
  <c r="H81" i="19"/>
  <c r="G81" i="19"/>
  <c r="F81" i="19"/>
  <c r="K81" i="19" s="1"/>
  <c r="D81" i="19"/>
  <c r="C81" i="19"/>
  <c r="B81" i="19"/>
  <c r="J80" i="19"/>
  <c r="I80" i="19"/>
  <c r="H80" i="19"/>
  <c r="G80" i="19"/>
  <c r="F80" i="19"/>
  <c r="K80" i="19" s="1"/>
  <c r="D80" i="19"/>
  <c r="C80" i="19"/>
  <c r="B80" i="19"/>
  <c r="J79" i="19"/>
  <c r="I79" i="19"/>
  <c r="H79" i="19"/>
  <c r="G79" i="19"/>
  <c r="F79" i="19"/>
  <c r="K79" i="19" s="1"/>
  <c r="D79" i="19"/>
  <c r="C79" i="19"/>
  <c r="B79" i="19"/>
  <c r="J78" i="19"/>
  <c r="I78" i="19"/>
  <c r="H78" i="19"/>
  <c r="G78" i="19"/>
  <c r="F78" i="19"/>
  <c r="K78" i="19" s="1"/>
  <c r="D78" i="19"/>
  <c r="C78" i="19"/>
  <c r="B78" i="19"/>
  <c r="J77" i="19"/>
  <c r="I77" i="19"/>
  <c r="H77" i="19"/>
  <c r="G77" i="19"/>
  <c r="F77" i="19"/>
  <c r="K77" i="19" s="1"/>
  <c r="D77" i="19"/>
  <c r="C77" i="19"/>
  <c r="B77" i="19"/>
  <c r="J76" i="19"/>
  <c r="I76" i="19"/>
  <c r="H76" i="19"/>
  <c r="G76" i="19"/>
  <c r="F76" i="19"/>
  <c r="K76" i="19" s="1"/>
  <c r="D76" i="19"/>
  <c r="C76" i="19"/>
  <c r="B76" i="19"/>
  <c r="J75" i="19"/>
  <c r="I75" i="19"/>
  <c r="H75" i="19"/>
  <c r="G75" i="19"/>
  <c r="F75" i="19"/>
  <c r="K75" i="19" s="1"/>
  <c r="D75" i="19"/>
  <c r="C75" i="19"/>
  <c r="B75" i="19"/>
  <c r="J74" i="19"/>
  <c r="I74" i="19"/>
  <c r="H74" i="19"/>
  <c r="G74" i="19"/>
  <c r="F74" i="19"/>
  <c r="K74" i="19" s="1"/>
  <c r="D74" i="19"/>
  <c r="C74" i="19"/>
  <c r="B74" i="19"/>
  <c r="J73" i="19"/>
  <c r="I73" i="19"/>
  <c r="H73" i="19"/>
  <c r="G73" i="19"/>
  <c r="F73" i="19"/>
  <c r="K73" i="19" s="1"/>
  <c r="D73" i="19"/>
  <c r="C73" i="19"/>
  <c r="B73" i="19"/>
  <c r="J72" i="19"/>
  <c r="I72" i="19"/>
  <c r="H72" i="19"/>
  <c r="G72" i="19"/>
  <c r="F72" i="19"/>
  <c r="K72" i="19" s="1"/>
  <c r="D72" i="19"/>
  <c r="C72" i="19"/>
  <c r="B72" i="19"/>
  <c r="J71" i="19"/>
  <c r="I71" i="19"/>
  <c r="H71" i="19"/>
  <c r="G71" i="19"/>
  <c r="F71" i="19"/>
  <c r="K71" i="19" s="1"/>
  <c r="D71" i="19"/>
  <c r="C71" i="19"/>
  <c r="B71" i="19"/>
  <c r="J70" i="19"/>
  <c r="I70" i="19"/>
  <c r="H70" i="19"/>
  <c r="G70" i="19"/>
  <c r="F70" i="19"/>
  <c r="K70" i="19" s="1"/>
  <c r="D70" i="19"/>
  <c r="C70" i="19"/>
  <c r="B70" i="19"/>
  <c r="J69" i="19"/>
  <c r="I69" i="19"/>
  <c r="H69" i="19"/>
  <c r="G69" i="19"/>
  <c r="F69" i="19"/>
  <c r="K69" i="19" s="1"/>
  <c r="D69" i="19"/>
  <c r="C69" i="19"/>
  <c r="B69" i="19"/>
  <c r="J68" i="19"/>
  <c r="I68" i="19"/>
  <c r="H68" i="19"/>
  <c r="G68" i="19"/>
  <c r="F68" i="19"/>
  <c r="K68" i="19" s="1"/>
  <c r="D68" i="19"/>
  <c r="C68" i="19"/>
  <c r="B68" i="19"/>
  <c r="J67" i="19"/>
  <c r="I67" i="19"/>
  <c r="H67" i="19"/>
  <c r="G67" i="19"/>
  <c r="F67" i="19"/>
  <c r="K67" i="19" s="1"/>
  <c r="D67" i="19"/>
  <c r="C67" i="19"/>
  <c r="B67" i="19"/>
  <c r="J66" i="19"/>
  <c r="I66" i="19"/>
  <c r="H66" i="19"/>
  <c r="G66" i="19"/>
  <c r="F66" i="19"/>
  <c r="K66" i="19" s="1"/>
  <c r="D66" i="19"/>
  <c r="C66" i="19"/>
  <c r="B66" i="19"/>
  <c r="J65" i="19"/>
  <c r="I65" i="19"/>
  <c r="H65" i="19"/>
  <c r="G65" i="19"/>
  <c r="F65" i="19"/>
  <c r="K65" i="19" s="1"/>
  <c r="D65" i="19"/>
  <c r="C65" i="19"/>
  <c r="B65" i="19"/>
  <c r="J64" i="19"/>
  <c r="I64" i="19"/>
  <c r="H64" i="19"/>
  <c r="G64" i="19"/>
  <c r="F64" i="19"/>
  <c r="K64" i="19" s="1"/>
  <c r="D64" i="19"/>
  <c r="C64" i="19"/>
  <c r="B64" i="19"/>
  <c r="J63" i="19"/>
  <c r="I63" i="19"/>
  <c r="H63" i="19"/>
  <c r="G63" i="19"/>
  <c r="F63" i="19"/>
  <c r="K63" i="19" s="1"/>
  <c r="D63" i="19"/>
  <c r="C63" i="19"/>
  <c r="B63" i="19"/>
  <c r="J62" i="19"/>
  <c r="I62" i="19"/>
  <c r="H62" i="19"/>
  <c r="G62" i="19"/>
  <c r="F62" i="19"/>
  <c r="K62" i="19" s="1"/>
  <c r="D62" i="19"/>
  <c r="C62" i="19"/>
  <c r="B62" i="19"/>
  <c r="J61" i="19"/>
  <c r="I61" i="19"/>
  <c r="H61" i="19"/>
  <c r="G61" i="19"/>
  <c r="F61" i="19"/>
  <c r="K61" i="19" s="1"/>
  <c r="D61" i="19"/>
  <c r="C61" i="19"/>
  <c r="B61" i="19"/>
  <c r="J60" i="19"/>
  <c r="I60" i="19"/>
  <c r="H60" i="19"/>
  <c r="G60" i="19"/>
  <c r="F60" i="19"/>
  <c r="K60" i="19" s="1"/>
  <c r="D60" i="19"/>
  <c r="C60" i="19"/>
  <c r="B60" i="19"/>
  <c r="J59" i="19"/>
  <c r="I59" i="19"/>
  <c r="H59" i="19"/>
  <c r="G59" i="19"/>
  <c r="F59" i="19"/>
  <c r="K59" i="19" s="1"/>
  <c r="D59" i="19"/>
  <c r="C59" i="19"/>
  <c r="B59" i="19"/>
  <c r="J58" i="19"/>
  <c r="I58" i="19"/>
  <c r="H58" i="19"/>
  <c r="G58" i="19"/>
  <c r="F58" i="19"/>
  <c r="K58" i="19" s="1"/>
  <c r="D58" i="19"/>
  <c r="C58" i="19"/>
  <c r="B58" i="19"/>
  <c r="J57" i="19"/>
  <c r="I57" i="19"/>
  <c r="H57" i="19"/>
  <c r="G57" i="19"/>
  <c r="F57" i="19"/>
  <c r="K57" i="19" s="1"/>
  <c r="D57" i="19"/>
  <c r="C57" i="19"/>
  <c r="B57" i="19"/>
  <c r="J56" i="19"/>
  <c r="I56" i="19"/>
  <c r="H56" i="19"/>
  <c r="G56" i="19"/>
  <c r="F56" i="19"/>
  <c r="K56" i="19" s="1"/>
  <c r="D56" i="19"/>
  <c r="C56" i="19"/>
  <c r="B56" i="19"/>
  <c r="J55" i="19"/>
  <c r="I55" i="19"/>
  <c r="H55" i="19"/>
  <c r="G55" i="19"/>
  <c r="F55" i="19"/>
  <c r="K55" i="19" s="1"/>
  <c r="D55" i="19"/>
  <c r="C55" i="19"/>
  <c r="B55" i="19"/>
  <c r="J54" i="19"/>
  <c r="I54" i="19"/>
  <c r="H54" i="19"/>
  <c r="G54" i="19"/>
  <c r="F54" i="19"/>
  <c r="K54" i="19" s="1"/>
  <c r="D54" i="19"/>
  <c r="C54" i="19"/>
  <c r="B54" i="19"/>
  <c r="J53" i="19"/>
  <c r="I53" i="19"/>
  <c r="H53" i="19"/>
  <c r="G53" i="19"/>
  <c r="F53" i="19"/>
  <c r="K53" i="19" s="1"/>
  <c r="D53" i="19"/>
  <c r="C53" i="19"/>
  <c r="B53" i="19"/>
  <c r="J52" i="19"/>
  <c r="I52" i="19"/>
  <c r="H52" i="19"/>
  <c r="G52" i="19"/>
  <c r="F52" i="19"/>
  <c r="K52" i="19" s="1"/>
  <c r="D52" i="19"/>
  <c r="C52" i="19"/>
  <c r="B52" i="19"/>
  <c r="J51" i="19"/>
  <c r="I51" i="19"/>
  <c r="H51" i="19"/>
  <c r="G51" i="19"/>
  <c r="F51" i="19"/>
  <c r="K51" i="19" s="1"/>
  <c r="D51" i="19"/>
  <c r="C51" i="19"/>
  <c r="B51" i="19"/>
  <c r="J50" i="19"/>
  <c r="I50" i="19"/>
  <c r="H50" i="19"/>
  <c r="G50" i="19"/>
  <c r="F50" i="19"/>
  <c r="K50" i="19" s="1"/>
  <c r="D50" i="19"/>
  <c r="C50" i="19"/>
  <c r="B50" i="19"/>
  <c r="J49" i="19"/>
  <c r="I49" i="19"/>
  <c r="H49" i="19"/>
  <c r="G49" i="19"/>
  <c r="F49" i="19"/>
  <c r="K49" i="19" s="1"/>
  <c r="D49" i="19"/>
  <c r="C49" i="19"/>
  <c r="B49" i="19"/>
  <c r="J48" i="19"/>
  <c r="I48" i="19"/>
  <c r="H48" i="19"/>
  <c r="G48" i="19"/>
  <c r="F48" i="19"/>
  <c r="K48" i="19" s="1"/>
  <c r="D48" i="19"/>
  <c r="C48" i="19"/>
  <c r="B48" i="19"/>
  <c r="J47" i="19"/>
  <c r="I47" i="19"/>
  <c r="H47" i="19"/>
  <c r="G47" i="19"/>
  <c r="F47" i="19"/>
  <c r="K47" i="19" s="1"/>
  <c r="D47" i="19"/>
  <c r="C47" i="19"/>
  <c r="B47" i="19"/>
  <c r="J46" i="19"/>
  <c r="I46" i="19"/>
  <c r="H46" i="19"/>
  <c r="G46" i="19"/>
  <c r="F46" i="19"/>
  <c r="K46" i="19" s="1"/>
  <c r="D46" i="19"/>
  <c r="C46" i="19"/>
  <c r="B46" i="19"/>
  <c r="J45" i="19"/>
  <c r="I45" i="19"/>
  <c r="H45" i="19"/>
  <c r="G45" i="19"/>
  <c r="F45" i="19"/>
  <c r="K45" i="19" s="1"/>
  <c r="D45" i="19"/>
  <c r="C45" i="19"/>
  <c r="B45" i="19"/>
  <c r="J44" i="19"/>
  <c r="I44" i="19"/>
  <c r="H44" i="19"/>
  <c r="G44" i="19"/>
  <c r="F44" i="19"/>
  <c r="K44" i="19" s="1"/>
  <c r="D44" i="19"/>
  <c r="C44" i="19"/>
  <c r="B44" i="19"/>
  <c r="J43" i="19"/>
  <c r="I43" i="19"/>
  <c r="H43" i="19"/>
  <c r="G43" i="19"/>
  <c r="F43" i="19"/>
  <c r="K43" i="19" s="1"/>
  <c r="D43" i="19"/>
  <c r="C43" i="19"/>
  <c r="B43" i="19"/>
  <c r="J42" i="19"/>
  <c r="I42" i="19"/>
  <c r="H42" i="19"/>
  <c r="G42" i="19"/>
  <c r="F42" i="19"/>
  <c r="K42" i="19" s="1"/>
  <c r="D42" i="19"/>
  <c r="C42" i="19"/>
  <c r="B42" i="19"/>
  <c r="J41" i="19"/>
  <c r="I41" i="19"/>
  <c r="H41" i="19"/>
  <c r="G41" i="19"/>
  <c r="F41" i="19"/>
  <c r="K41" i="19" s="1"/>
  <c r="D41" i="19"/>
  <c r="C41" i="19"/>
  <c r="B41" i="19"/>
  <c r="J40" i="19"/>
  <c r="I40" i="19"/>
  <c r="H40" i="19"/>
  <c r="G40" i="19"/>
  <c r="F40" i="19"/>
  <c r="K40" i="19" s="1"/>
  <c r="D40" i="19"/>
  <c r="C40" i="19"/>
  <c r="B40" i="19"/>
  <c r="J39" i="19"/>
  <c r="I39" i="19"/>
  <c r="H39" i="19"/>
  <c r="G39" i="19"/>
  <c r="F39" i="19"/>
  <c r="K39" i="19" s="1"/>
  <c r="D39" i="19"/>
  <c r="C39" i="19"/>
  <c r="B39" i="19"/>
  <c r="J38" i="19"/>
  <c r="I38" i="19"/>
  <c r="H38" i="19"/>
  <c r="G38" i="19"/>
  <c r="F38" i="19"/>
  <c r="K38" i="19" s="1"/>
  <c r="D38" i="19"/>
  <c r="C38" i="19"/>
  <c r="B38" i="19"/>
  <c r="J37" i="19"/>
  <c r="I37" i="19"/>
  <c r="H37" i="19"/>
  <c r="G37" i="19"/>
  <c r="F37" i="19"/>
  <c r="K37" i="19" s="1"/>
  <c r="D37" i="19"/>
  <c r="C37" i="19"/>
  <c r="B37" i="19"/>
  <c r="J36" i="19"/>
  <c r="I36" i="19"/>
  <c r="H36" i="19"/>
  <c r="G36" i="19"/>
  <c r="F36" i="19"/>
  <c r="K36" i="19" s="1"/>
  <c r="D36" i="19"/>
  <c r="C36" i="19"/>
  <c r="B36" i="19"/>
  <c r="J35" i="19"/>
  <c r="I35" i="19"/>
  <c r="H35" i="19"/>
  <c r="G35" i="19"/>
  <c r="F35" i="19"/>
  <c r="K35" i="19" s="1"/>
  <c r="D35" i="19"/>
  <c r="C35" i="19"/>
  <c r="B35" i="19"/>
  <c r="J34" i="19"/>
  <c r="I34" i="19"/>
  <c r="H34" i="19"/>
  <c r="G34" i="19"/>
  <c r="F34" i="19"/>
  <c r="K34" i="19" s="1"/>
  <c r="D34" i="19"/>
  <c r="C34" i="19"/>
  <c r="B34" i="19"/>
  <c r="J33" i="19"/>
  <c r="I33" i="19"/>
  <c r="H33" i="19"/>
  <c r="G33" i="19"/>
  <c r="F33" i="19"/>
  <c r="K33" i="19" s="1"/>
  <c r="D33" i="19"/>
  <c r="C33" i="19"/>
  <c r="B33" i="19"/>
  <c r="J32" i="19"/>
  <c r="I32" i="19"/>
  <c r="H32" i="19"/>
  <c r="G32" i="19"/>
  <c r="F32" i="19"/>
  <c r="K32" i="19" s="1"/>
  <c r="D32" i="19"/>
  <c r="C32" i="19"/>
  <c r="B32" i="19"/>
  <c r="J31" i="19"/>
  <c r="I31" i="19"/>
  <c r="H31" i="19"/>
  <c r="G31" i="19"/>
  <c r="F31" i="19"/>
  <c r="K31" i="19" s="1"/>
  <c r="D31" i="19"/>
  <c r="C31" i="19"/>
  <c r="B31" i="19"/>
  <c r="J30" i="19"/>
  <c r="I30" i="19"/>
  <c r="H30" i="19"/>
  <c r="G30" i="19"/>
  <c r="F30" i="19"/>
  <c r="K30" i="19" s="1"/>
  <c r="D30" i="19"/>
  <c r="C30" i="19"/>
  <c r="B30" i="19"/>
  <c r="J29" i="19"/>
  <c r="I29" i="19"/>
  <c r="H29" i="19"/>
  <c r="G29" i="19"/>
  <c r="F29" i="19"/>
  <c r="K29" i="19" s="1"/>
  <c r="D29" i="19"/>
  <c r="C29" i="19"/>
  <c r="B29" i="19"/>
  <c r="J28" i="19"/>
  <c r="I28" i="19"/>
  <c r="H28" i="19"/>
  <c r="G28" i="19"/>
  <c r="F28" i="19"/>
  <c r="K28" i="19" s="1"/>
  <c r="D28" i="19"/>
  <c r="C28" i="19"/>
  <c r="B28" i="19"/>
  <c r="J27" i="19"/>
  <c r="I27" i="19"/>
  <c r="H27" i="19"/>
  <c r="G27" i="19"/>
  <c r="F27" i="19"/>
  <c r="K27" i="19" s="1"/>
  <c r="D27" i="19"/>
  <c r="C27" i="19"/>
  <c r="B27" i="19"/>
  <c r="J26" i="19"/>
  <c r="I26" i="19"/>
  <c r="H26" i="19"/>
  <c r="G26" i="19"/>
  <c r="F26" i="19"/>
  <c r="K26" i="19" s="1"/>
  <c r="D26" i="19"/>
  <c r="C26" i="19"/>
  <c r="B26" i="19"/>
  <c r="J25" i="19"/>
  <c r="I25" i="19"/>
  <c r="H25" i="19"/>
  <c r="G25" i="19"/>
  <c r="F25" i="19"/>
  <c r="K25" i="19" s="1"/>
  <c r="D25" i="19"/>
  <c r="C25" i="19"/>
  <c r="B25" i="19"/>
  <c r="J24" i="19"/>
  <c r="I24" i="19"/>
  <c r="H24" i="19"/>
  <c r="G24" i="19"/>
  <c r="F24" i="19"/>
  <c r="K24" i="19" s="1"/>
  <c r="D24" i="19"/>
  <c r="C24" i="19"/>
  <c r="B24" i="19"/>
  <c r="J23" i="19"/>
  <c r="I23" i="19"/>
  <c r="H23" i="19"/>
  <c r="G23" i="19"/>
  <c r="F23" i="19"/>
  <c r="K23" i="19" s="1"/>
  <c r="D23" i="19"/>
  <c r="C23" i="19"/>
  <c r="B23" i="19"/>
  <c r="J22" i="19"/>
  <c r="I22" i="19"/>
  <c r="H22" i="19"/>
  <c r="G22" i="19"/>
  <c r="F22" i="19"/>
  <c r="K22" i="19" s="1"/>
  <c r="D22" i="19"/>
  <c r="C22" i="19"/>
  <c r="B22" i="19"/>
  <c r="J21" i="19"/>
  <c r="I21" i="19"/>
  <c r="H21" i="19"/>
  <c r="G21" i="19"/>
  <c r="F21" i="19"/>
  <c r="K21" i="19" s="1"/>
  <c r="D21" i="19"/>
  <c r="C21" i="19"/>
  <c r="B21" i="19"/>
  <c r="J20" i="19"/>
  <c r="I20" i="19"/>
  <c r="H20" i="19"/>
  <c r="G20" i="19"/>
  <c r="F20" i="19"/>
  <c r="K20" i="19" s="1"/>
  <c r="D20" i="19"/>
  <c r="C20" i="19"/>
  <c r="B20" i="19"/>
  <c r="J19" i="19"/>
  <c r="I19" i="19"/>
  <c r="H19" i="19"/>
  <c r="G19" i="19"/>
  <c r="F19" i="19"/>
  <c r="K19" i="19" s="1"/>
  <c r="D19" i="19"/>
  <c r="C19" i="19"/>
  <c r="B19" i="19"/>
  <c r="J18" i="19"/>
  <c r="I18" i="19"/>
  <c r="H18" i="19"/>
  <c r="G18" i="19"/>
  <c r="F18" i="19"/>
  <c r="K18" i="19" s="1"/>
  <c r="D18" i="19"/>
  <c r="C18" i="19"/>
  <c r="B18" i="19"/>
  <c r="J17" i="19"/>
  <c r="I17" i="19"/>
  <c r="H17" i="19"/>
  <c r="G17" i="19"/>
  <c r="F17" i="19"/>
  <c r="K17" i="19" s="1"/>
  <c r="D17" i="19"/>
  <c r="C17" i="19"/>
  <c r="B17" i="19"/>
  <c r="J16" i="19"/>
  <c r="I16" i="19"/>
  <c r="H16" i="19"/>
  <c r="G16" i="19"/>
  <c r="F16" i="19"/>
  <c r="K16" i="19" s="1"/>
  <c r="D16" i="19"/>
  <c r="C16" i="19"/>
  <c r="B16" i="19"/>
  <c r="J15" i="19"/>
  <c r="I15" i="19"/>
  <c r="H15" i="19"/>
  <c r="G15" i="19"/>
  <c r="F15" i="19"/>
  <c r="K15" i="19" s="1"/>
  <c r="D15" i="19"/>
  <c r="C15" i="19"/>
  <c r="B15" i="19"/>
  <c r="J14" i="19"/>
  <c r="I14" i="19"/>
  <c r="H14" i="19"/>
  <c r="G14" i="19"/>
  <c r="F14" i="19"/>
  <c r="K14" i="19" s="1"/>
  <c r="D14" i="19"/>
  <c r="C14" i="19"/>
  <c r="B14" i="19"/>
  <c r="J13" i="19"/>
  <c r="I13" i="19"/>
  <c r="H13" i="19"/>
  <c r="G13" i="19"/>
  <c r="F13" i="19"/>
  <c r="K13" i="19" s="1"/>
  <c r="D13" i="19"/>
  <c r="C13" i="19"/>
  <c r="B13" i="19"/>
  <c r="J9" i="19"/>
  <c r="I9" i="19"/>
  <c r="H9" i="19"/>
  <c r="G9" i="19"/>
  <c r="F9" i="19"/>
  <c r="K9" i="19" s="1"/>
  <c r="D9" i="19"/>
  <c r="C9" i="19"/>
  <c r="B9" i="19"/>
  <c r="J8" i="19"/>
  <c r="I8" i="19"/>
  <c r="H8" i="19"/>
  <c r="G8" i="19"/>
  <c r="F8" i="19"/>
  <c r="K8" i="19" s="1"/>
  <c r="D8" i="19"/>
  <c r="C8" i="19"/>
  <c r="B8" i="19"/>
  <c r="J7" i="19"/>
  <c r="I7" i="19"/>
  <c r="H7" i="19"/>
  <c r="G7" i="19"/>
  <c r="F7" i="19"/>
  <c r="D7" i="19"/>
  <c r="C7" i="19"/>
  <c r="B7" i="19"/>
  <c r="Q8" i="18"/>
  <c r="T8" i="18" s="1"/>
  <c r="G140" i="18"/>
  <c r="F140" i="18"/>
  <c r="D140" i="18"/>
  <c r="C140" i="18"/>
  <c r="B140" i="18"/>
  <c r="G139" i="18"/>
  <c r="F139" i="18"/>
  <c r="D139" i="18"/>
  <c r="C139" i="18"/>
  <c r="B139" i="18"/>
  <c r="G138" i="18"/>
  <c r="F138" i="18"/>
  <c r="D138" i="18"/>
  <c r="C138" i="18"/>
  <c r="B138" i="18"/>
  <c r="G137" i="18"/>
  <c r="F137" i="18"/>
  <c r="D137" i="18"/>
  <c r="C137" i="18"/>
  <c r="B137" i="18"/>
  <c r="G136" i="18"/>
  <c r="F136" i="18"/>
  <c r="D136" i="18"/>
  <c r="C136" i="18"/>
  <c r="B136" i="18"/>
  <c r="G135" i="18"/>
  <c r="F135" i="18"/>
  <c r="D135" i="18"/>
  <c r="C135" i="18"/>
  <c r="B135" i="18"/>
  <c r="G134" i="18"/>
  <c r="F134" i="18"/>
  <c r="D134" i="18"/>
  <c r="C134" i="18"/>
  <c r="B134" i="18"/>
  <c r="G133" i="18"/>
  <c r="F133" i="18"/>
  <c r="D133" i="18"/>
  <c r="C133" i="18"/>
  <c r="B133" i="18"/>
  <c r="G132" i="18"/>
  <c r="F132" i="18"/>
  <c r="D132" i="18"/>
  <c r="C132" i="18"/>
  <c r="B132" i="18"/>
  <c r="G131" i="18"/>
  <c r="F131" i="18"/>
  <c r="D131" i="18"/>
  <c r="C131" i="18"/>
  <c r="B131" i="18"/>
  <c r="G130" i="18"/>
  <c r="F130" i="18"/>
  <c r="D130" i="18"/>
  <c r="C130" i="18"/>
  <c r="B130" i="18"/>
  <c r="G129" i="18"/>
  <c r="F129" i="18"/>
  <c r="D129" i="18"/>
  <c r="C129" i="18"/>
  <c r="B129" i="18"/>
  <c r="G128" i="18"/>
  <c r="F128" i="18"/>
  <c r="D128" i="18"/>
  <c r="C128" i="18"/>
  <c r="B128" i="18"/>
  <c r="G127" i="18"/>
  <c r="F127" i="18"/>
  <c r="D127" i="18"/>
  <c r="C127" i="18"/>
  <c r="B127" i="18"/>
  <c r="G126" i="18"/>
  <c r="F126" i="18"/>
  <c r="D126" i="18"/>
  <c r="C126" i="18"/>
  <c r="B126" i="18"/>
  <c r="G125" i="18"/>
  <c r="F125" i="18"/>
  <c r="D125" i="18"/>
  <c r="C125" i="18"/>
  <c r="B125" i="18"/>
  <c r="G124" i="18"/>
  <c r="F124" i="18"/>
  <c r="D124" i="18"/>
  <c r="C124" i="18"/>
  <c r="B124" i="18"/>
  <c r="G123" i="18"/>
  <c r="F123" i="18"/>
  <c r="D123" i="18"/>
  <c r="C123" i="18"/>
  <c r="B123" i="18"/>
  <c r="G121" i="18"/>
  <c r="F121" i="18"/>
  <c r="D121" i="18"/>
  <c r="C121" i="18"/>
  <c r="B121" i="18"/>
  <c r="G120" i="18"/>
  <c r="F120" i="18"/>
  <c r="D120" i="18"/>
  <c r="C120" i="18"/>
  <c r="B120" i="18"/>
  <c r="G119" i="18"/>
  <c r="F119" i="18"/>
  <c r="D119" i="18"/>
  <c r="C119" i="18"/>
  <c r="B119" i="18"/>
  <c r="G118" i="18"/>
  <c r="F118" i="18"/>
  <c r="D118" i="18"/>
  <c r="C118" i="18"/>
  <c r="B118" i="18"/>
  <c r="G117" i="18"/>
  <c r="F117" i="18"/>
  <c r="D117" i="18"/>
  <c r="C117" i="18"/>
  <c r="B117" i="18"/>
  <c r="G116" i="18"/>
  <c r="F116" i="18"/>
  <c r="D116" i="18"/>
  <c r="C116" i="18"/>
  <c r="B116" i="18"/>
  <c r="G115" i="18"/>
  <c r="F115" i="18"/>
  <c r="D115" i="18"/>
  <c r="C115" i="18"/>
  <c r="B115" i="18"/>
  <c r="G114" i="18"/>
  <c r="F114" i="18"/>
  <c r="D114" i="18"/>
  <c r="C114" i="18"/>
  <c r="B114" i="18"/>
  <c r="G113" i="18"/>
  <c r="F113" i="18"/>
  <c r="D113" i="18"/>
  <c r="C113" i="18"/>
  <c r="B113" i="18"/>
  <c r="G112" i="18"/>
  <c r="F112" i="18"/>
  <c r="D112" i="18"/>
  <c r="C112" i="18"/>
  <c r="B112" i="18"/>
  <c r="G111" i="18"/>
  <c r="F111" i="18"/>
  <c r="D111" i="18"/>
  <c r="C111" i="18"/>
  <c r="B111" i="18"/>
  <c r="G110" i="18"/>
  <c r="F110" i="18"/>
  <c r="D110" i="18"/>
  <c r="C110" i="18"/>
  <c r="B110" i="18"/>
  <c r="G109" i="18"/>
  <c r="F109" i="18"/>
  <c r="D109" i="18"/>
  <c r="C109" i="18"/>
  <c r="B109" i="18"/>
  <c r="G108" i="18"/>
  <c r="F108" i="18"/>
  <c r="D108" i="18"/>
  <c r="C108" i="18"/>
  <c r="B108" i="18"/>
  <c r="G107" i="18"/>
  <c r="F107" i="18"/>
  <c r="D107" i="18"/>
  <c r="C107" i="18"/>
  <c r="B107" i="18"/>
  <c r="G106" i="18"/>
  <c r="F106" i="18"/>
  <c r="D106" i="18"/>
  <c r="C106" i="18"/>
  <c r="B106" i="18"/>
  <c r="G105" i="18"/>
  <c r="F105" i="18"/>
  <c r="D105" i="18"/>
  <c r="C105" i="18"/>
  <c r="B105" i="18"/>
  <c r="G104" i="18"/>
  <c r="F104" i="18"/>
  <c r="D104" i="18"/>
  <c r="C104" i="18"/>
  <c r="B104" i="18"/>
  <c r="G103" i="18"/>
  <c r="F103" i="18"/>
  <c r="D103" i="18"/>
  <c r="C103" i="18"/>
  <c r="B103" i="18"/>
  <c r="G102" i="18"/>
  <c r="F102" i="18"/>
  <c r="D102" i="18"/>
  <c r="C102" i="18"/>
  <c r="B102" i="18"/>
  <c r="G101" i="18"/>
  <c r="F101" i="18"/>
  <c r="D101" i="18"/>
  <c r="C101" i="18"/>
  <c r="B101" i="18"/>
  <c r="G100" i="18"/>
  <c r="F100" i="18"/>
  <c r="D100" i="18"/>
  <c r="C100" i="18"/>
  <c r="B100" i="18"/>
  <c r="G99" i="18"/>
  <c r="F99" i="18"/>
  <c r="D99" i="18"/>
  <c r="C99" i="18"/>
  <c r="B99" i="18"/>
  <c r="G98" i="18"/>
  <c r="F98" i="18"/>
  <c r="D98" i="18"/>
  <c r="C98" i="18"/>
  <c r="B98" i="18"/>
  <c r="G97" i="18"/>
  <c r="F97" i="18"/>
  <c r="D97" i="18"/>
  <c r="C97" i="18"/>
  <c r="B97" i="18"/>
  <c r="G96" i="18"/>
  <c r="F96" i="18"/>
  <c r="D96" i="18"/>
  <c r="C96" i="18"/>
  <c r="B96" i="18"/>
  <c r="G95" i="18"/>
  <c r="F95" i="18"/>
  <c r="D95" i="18"/>
  <c r="C95" i="18"/>
  <c r="B95" i="18"/>
  <c r="G94" i="18"/>
  <c r="F94" i="18"/>
  <c r="D94" i="18"/>
  <c r="C94" i="18"/>
  <c r="B94" i="18"/>
  <c r="G93" i="18"/>
  <c r="F93" i="18"/>
  <c r="D93" i="18"/>
  <c r="C93" i="18"/>
  <c r="B93" i="18"/>
  <c r="G92" i="18"/>
  <c r="F92" i="18"/>
  <c r="D92" i="18"/>
  <c r="C92" i="18"/>
  <c r="B92" i="18"/>
  <c r="G91" i="18"/>
  <c r="F91" i="18"/>
  <c r="D91" i="18"/>
  <c r="C91" i="18"/>
  <c r="B91" i="18"/>
  <c r="G90" i="18"/>
  <c r="F90" i="18"/>
  <c r="D90" i="18"/>
  <c r="C90" i="18"/>
  <c r="B90" i="18"/>
  <c r="G89" i="18"/>
  <c r="F89" i="18"/>
  <c r="D89" i="18"/>
  <c r="C89" i="18"/>
  <c r="B89" i="18"/>
  <c r="G88" i="18"/>
  <c r="F88" i="18"/>
  <c r="D88" i="18"/>
  <c r="C88" i="18"/>
  <c r="B88" i="18"/>
  <c r="G87" i="18"/>
  <c r="F87" i="18"/>
  <c r="D87" i="18"/>
  <c r="C87" i="18"/>
  <c r="B87" i="18"/>
  <c r="G86" i="18"/>
  <c r="F86" i="18"/>
  <c r="D86" i="18"/>
  <c r="C86" i="18"/>
  <c r="B86" i="18"/>
  <c r="G85" i="18"/>
  <c r="F85" i="18"/>
  <c r="D85" i="18"/>
  <c r="C85" i="18"/>
  <c r="B85" i="18"/>
  <c r="G84" i="18"/>
  <c r="F84" i="18"/>
  <c r="D84" i="18"/>
  <c r="C84" i="18"/>
  <c r="B84" i="18"/>
  <c r="G83" i="18"/>
  <c r="F83" i="18"/>
  <c r="D83" i="18"/>
  <c r="C83" i="18"/>
  <c r="B83" i="18"/>
  <c r="G82" i="18"/>
  <c r="F82" i="18"/>
  <c r="D82" i="18"/>
  <c r="C82" i="18"/>
  <c r="B82" i="18"/>
  <c r="G81" i="18"/>
  <c r="F81" i="18"/>
  <c r="D81" i="18"/>
  <c r="C81" i="18"/>
  <c r="B81" i="18"/>
  <c r="G80" i="18"/>
  <c r="F80" i="18"/>
  <c r="D80" i="18"/>
  <c r="C80" i="18"/>
  <c r="B80" i="18"/>
  <c r="G79" i="18"/>
  <c r="F79" i="18"/>
  <c r="D79" i="18"/>
  <c r="C79" i="18"/>
  <c r="B79" i="18"/>
  <c r="G78" i="18"/>
  <c r="F78" i="18"/>
  <c r="D78" i="18"/>
  <c r="C78" i="18"/>
  <c r="B78" i="18"/>
  <c r="G77" i="18"/>
  <c r="F77" i="18"/>
  <c r="D77" i="18"/>
  <c r="C77" i="18"/>
  <c r="B77" i="18"/>
  <c r="G76" i="18"/>
  <c r="F76" i="18"/>
  <c r="D76" i="18"/>
  <c r="C76" i="18"/>
  <c r="B76" i="18"/>
  <c r="G75" i="18"/>
  <c r="F75" i="18"/>
  <c r="D75" i="18"/>
  <c r="C75" i="18"/>
  <c r="B75" i="18"/>
  <c r="G74" i="18"/>
  <c r="F74" i="18"/>
  <c r="D74" i="18"/>
  <c r="C74" i="18"/>
  <c r="B74" i="18"/>
  <c r="G73" i="18"/>
  <c r="F73" i="18"/>
  <c r="D73" i="18"/>
  <c r="C73" i="18"/>
  <c r="B73" i="18"/>
  <c r="G72" i="18"/>
  <c r="F72" i="18"/>
  <c r="D72" i="18"/>
  <c r="C72" i="18"/>
  <c r="B72" i="18"/>
  <c r="G71" i="18"/>
  <c r="F71" i="18"/>
  <c r="D71" i="18"/>
  <c r="C71" i="18"/>
  <c r="B71" i="18"/>
  <c r="G70" i="18"/>
  <c r="F70" i="18"/>
  <c r="D70" i="18"/>
  <c r="C70" i="18"/>
  <c r="B70" i="18"/>
  <c r="G69" i="18"/>
  <c r="F69" i="18"/>
  <c r="D69" i="18"/>
  <c r="C69" i="18"/>
  <c r="B69" i="18"/>
  <c r="G68" i="18"/>
  <c r="F68" i="18"/>
  <c r="D68" i="18"/>
  <c r="C68" i="18"/>
  <c r="B68" i="18"/>
  <c r="G67" i="18"/>
  <c r="F67" i="18"/>
  <c r="D67" i="18"/>
  <c r="C67" i="18"/>
  <c r="B67" i="18"/>
  <c r="G66" i="18"/>
  <c r="F66" i="18"/>
  <c r="D66" i="18"/>
  <c r="C66" i="18"/>
  <c r="B66" i="18"/>
  <c r="G65" i="18"/>
  <c r="F65" i="18"/>
  <c r="D65" i="18"/>
  <c r="C65" i="18"/>
  <c r="B65" i="18"/>
  <c r="G64" i="18"/>
  <c r="F64" i="18"/>
  <c r="D64" i="18"/>
  <c r="C64" i="18"/>
  <c r="B64" i="18"/>
  <c r="G63" i="18"/>
  <c r="F63" i="18"/>
  <c r="D63" i="18"/>
  <c r="C63" i="18"/>
  <c r="B63" i="18"/>
  <c r="G62" i="18"/>
  <c r="F62" i="18"/>
  <c r="D62" i="18"/>
  <c r="C62" i="18"/>
  <c r="B62" i="18"/>
  <c r="G61" i="18"/>
  <c r="F61" i="18"/>
  <c r="D61" i="18"/>
  <c r="C61" i="18"/>
  <c r="B61" i="18"/>
  <c r="G60" i="18"/>
  <c r="F60" i="18"/>
  <c r="D60" i="18"/>
  <c r="C60" i="18"/>
  <c r="B60" i="18"/>
  <c r="G59" i="18"/>
  <c r="F59" i="18"/>
  <c r="D59" i="18"/>
  <c r="C59" i="18"/>
  <c r="B59" i="18"/>
  <c r="G58" i="18"/>
  <c r="F58" i="18"/>
  <c r="D58" i="18"/>
  <c r="C58" i="18"/>
  <c r="B58" i="18"/>
  <c r="G57" i="18"/>
  <c r="F57" i="18"/>
  <c r="D57" i="18"/>
  <c r="C57" i="18"/>
  <c r="B57" i="18"/>
  <c r="G56" i="18"/>
  <c r="F56" i="18"/>
  <c r="D56" i="18"/>
  <c r="C56" i="18"/>
  <c r="B56" i="18"/>
  <c r="G55" i="18"/>
  <c r="F55" i="18"/>
  <c r="D55" i="18"/>
  <c r="C55" i="18"/>
  <c r="B55" i="18"/>
  <c r="G54" i="18"/>
  <c r="F54" i="18"/>
  <c r="D54" i="18"/>
  <c r="C54" i="18"/>
  <c r="B54" i="18"/>
  <c r="G53" i="18"/>
  <c r="F53" i="18"/>
  <c r="D53" i="18"/>
  <c r="C53" i="18"/>
  <c r="B53" i="18"/>
  <c r="G52" i="18"/>
  <c r="F52" i="18"/>
  <c r="D52" i="18"/>
  <c r="C52" i="18"/>
  <c r="B52" i="18"/>
  <c r="G51" i="18"/>
  <c r="F51" i="18"/>
  <c r="D51" i="18"/>
  <c r="C51" i="18"/>
  <c r="B51" i="18"/>
  <c r="G50" i="18"/>
  <c r="F50" i="18"/>
  <c r="D50" i="18"/>
  <c r="C50" i="18"/>
  <c r="B50" i="18"/>
  <c r="G49" i="18"/>
  <c r="F49" i="18"/>
  <c r="D49" i="18"/>
  <c r="C49" i="18"/>
  <c r="B49" i="18"/>
  <c r="G48" i="18"/>
  <c r="F48" i="18"/>
  <c r="D48" i="18"/>
  <c r="C48" i="18"/>
  <c r="B48" i="18"/>
  <c r="G47" i="18"/>
  <c r="F47" i="18"/>
  <c r="D47" i="18"/>
  <c r="C47" i="18"/>
  <c r="B47" i="18"/>
  <c r="G46" i="18"/>
  <c r="F46" i="18"/>
  <c r="D46" i="18"/>
  <c r="C46" i="18"/>
  <c r="B46" i="18"/>
  <c r="G45" i="18"/>
  <c r="F45" i="18"/>
  <c r="D45" i="18"/>
  <c r="C45" i="18"/>
  <c r="B45" i="18"/>
  <c r="G44" i="18"/>
  <c r="F44" i="18"/>
  <c r="D44" i="18"/>
  <c r="C44" i="18"/>
  <c r="B44" i="18"/>
  <c r="G43" i="18"/>
  <c r="F43" i="18"/>
  <c r="D43" i="18"/>
  <c r="C43" i="18"/>
  <c r="B43" i="18"/>
  <c r="G42" i="18"/>
  <c r="F42" i="18"/>
  <c r="D42" i="18"/>
  <c r="C42" i="18"/>
  <c r="B42" i="18"/>
  <c r="G41" i="18"/>
  <c r="F41" i="18"/>
  <c r="D41" i="18"/>
  <c r="C41" i="18"/>
  <c r="B41" i="18"/>
  <c r="G40" i="18"/>
  <c r="F40" i="18"/>
  <c r="D40" i="18"/>
  <c r="C40" i="18"/>
  <c r="B40" i="18"/>
  <c r="G39" i="18"/>
  <c r="F39" i="18"/>
  <c r="D39" i="18"/>
  <c r="C39" i="18"/>
  <c r="B39" i="18"/>
  <c r="G38" i="18"/>
  <c r="F38" i="18"/>
  <c r="D38" i="18"/>
  <c r="C38" i="18"/>
  <c r="B38" i="18"/>
  <c r="G37" i="18"/>
  <c r="F37" i="18"/>
  <c r="D37" i="18"/>
  <c r="C37" i="18"/>
  <c r="B37" i="18"/>
  <c r="G36" i="18"/>
  <c r="F36" i="18"/>
  <c r="D36" i="18"/>
  <c r="C36" i="18"/>
  <c r="B36" i="18"/>
  <c r="G35" i="18"/>
  <c r="F35" i="18"/>
  <c r="D35" i="18"/>
  <c r="C35" i="18"/>
  <c r="B35" i="18"/>
  <c r="G34" i="18"/>
  <c r="F34" i="18"/>
  <c r="D34" i="18"/>
  <c r="C34" i="18"/>
  <c r="B34" i="18"/>
  <c r="G33" i="18"/>
  <c r="F33" i="18"/>
  <c r="D33" i="18"/>
  <c r="C33" i="18"/>
  <c r="B33" i="18"/>
  <c r="G32" i="18"/>
  <c r="F32" i="18"/>
  <c r="D32" i="18"/>
  <c r="C32" i="18"/>
  <c r="B32" i="18"/>
  <c r="G31" i="18"/>
  <c r="F31" i="18"/>
  <c r="D31" i="18"/>
  <c r="C31" i="18"/>
  <c r="B31" i="18"/>
  <c r="G30" i="18"/>
  <c r="F30" i="18"/>
  <c r="D30" i="18"/>
  <c r="C30" i="18"/>
  <c r="B30" i="18"/>
  <c r="G29" i="18"/>
  <c r="F29" i="18"/>
  <c r="D29" i="18"/>
  <c r="C29" i="18"/>
  <c r="B29" i="18"/>
  <c r="G28" i="18"/>
  <c r="F28" i="18"/>
  <c r="D28" i="18"/>
  <c r="C28" i="18"/>
  <c r="B28" i="18"/>
  <c r="G27" i="18"/>
  <c r="F27" i="18"/>
  <c r="D27" i="18"/>
  <c r="C27" i="18"/>
  <c r="B27" i="18"/>
  <c r="G26" i="18"/>
  <c r="F26" i="18"/>
  <c r="D26" i="18"/>
  <c r="C26" i="18"/>
  <c r="B26" i="18"/>
  <c r="G25" i="18"/>
  <c r="F25" i="18"/>
  <c r="D25" i="18"/>
  <c r="C25" i="18"/>
  <c r="B25" i="18"/>
  <c r="G24" i="18"/>
  <c r="F24" i="18"/>
  <c r="D24" i="18"/>
  <c r="C24" i="18"/>
  <c r="B24" i="18"/>
  <c r="G23" i="18"/>
  <c r="F23" i="18"/>
  <c r="D23" i="18"/>
  <c r="C23" i="18"/>
  <c r="B23" i="18"/>
  <c r="G22" i="18"/>
  <c r="F22" i="18"/>
  <c r="D22" i="18"/>
  <c r="C22" i="18"/>
  <c r="B22" i="18"/>
  <c r="G21" i="18"/>
  <c r="F21" i="18"/>
  <c r="D21" i="18"/>
  <c r="C21" i="18"/>
  <c r="B21" i="18"/>
  <c r="G20" i="18"/>
  <c r="F20" i="18"/>
  <c r="D20" i="18"/>
  <c r="C20" i="18"/>
  <c r="B20" i="18"/>
  <c r="G19" i="18"/>
  <c r="F19" i="18"/>
  <c r="D19" i="18"/>
  <c r="C19" i="18"/>
  <c r="B19" i="18"/>
  <c r="G18" i="18"/>
  <c r="F18" i="18"/>
  <c r="D18" i="18"/>
  <c r="C18" i="18"/>
  <c r="B18" i="18"/>
  <c r="G17" i="18"/>
  <c r="F17" i="18"/>
  <c r="D17" i="18"/>
  <c r="C17" i="18"/>
  <c r="B17" i="18"/>
  <c r="G16" i="18"/>
  <c r="F16" i="18"/>
  <c r="D16" i="18"/>
  <c r="C16" i="18"/>
  <c r="B16" i="18"/>
  <c r="G15" i="18"/>
  <c r="F15" i="18"/>
  <c r="D15" i="18"/>
  <c r="C15" i="18"/>
  <c r="B15" i="18"/>
  <c r="G14" i="18"/>
  <c r="F14" i="18"/>
  <c r="D14" i="18"/>
  <c r="C14" i="18"/>
  <c r="B14" i="18"/>
  <c r="G13" i="18"/>
  <c r="F13" i="18"/>
  <c r="D13" i="18"/>
  <c r="C13" i="18"/>
  <c r="B13" i="18"/>
  <c r="G9" i="18"/>
  <c r="F9" i="18"/>
  <c r="D9" i="18"/>
  <c r="C9" i="18"/>
  <c r="B9" i="18"/>
  <c r="G8" i="18"/>
  <c r="F8" i="18"/>
  <c r="D8" i="18"/>
  <c r="C8" i="18"/>
  <c r="B8" i="18"/>
  <c r="G7" i="18"/>
  <c r="F7" i="18"/>
  <c r="D7" i="18"/>
  <c r="C7" i="18"/>
  <c r="B7" i="18"/>
  <c r="F21" i="20" l="1"/>
  <c r="B21" i="20"/>
  <c r="D21" i="20"/>
  <c r="B27" i="20"/>
  <c r="C27" i="20"/>
  <c r="D27" i="20"/>
  <c r="C21" i="20"/>
  <c r="D3" i="18"/>
  <c r="D3" i="19"/>
  <c r="M101" i="19"/>
  <c r="N101" i="19" s="1"/>
  <c r="M106" i="19"/>
  <c r="N106" i="19" s="1"/>
  <c r="M111" i="19"/>
  <c r="N111" i="19" s="1"/>
  <c r="M116" i="19"/>
  <c r="N116" i="19" s="1"/>
  <c r="M121" i="19"/>
  <c r="N121" i="19" s="1"/>
  <c r="M127" i="19"/>
  <c r="N127" i="19" s="1"/>
  <c r="M132" i="19"/>
  <c r="N132" i="19" s="1"/>
  <c r="M137" i="19"/>
  <c r="N137" i="19" s="1"/>
  <c r="M17" i="19"/>
  <c r="N17" i="19" s="1"/>
  <c r="M22" i="19"/>
  <c r="N22" i="19" s="1"/>
  <c r="M32" i="19"/>
  <c r="N32" i="19" s="1"/>
  <c r="M47" i="19"/>
  <c r="N47" i="19" s="1"/>
  <c r="M57" i="19"/>
  <c r="N57" i="19" s="1"/>
  <c r="M67" i="19"/>
  <c r="N67" i="19" s="1"/>
  <c r="M77" i="19"/>
  <c r="N77" i="19" s="1"/>
  <c r="M87" i="19"/>
  <c r="N87" i="19" s="1"/>
  <c r="M97" i="19"/>
  <c r="N97" i="19" s="1"/>
  <c r="M27" i="19"/>
  <c r="N27" i="19" s="1"/>
  <c r="M37" i="19"/>
  <c r="N37" i="19" s="1"/>
  <c r="M42" i="19"/>
  <c r="N42" i="19" s="1"/>
  <c r="M52" i="19"/>
  <c r="N52" i="19" s="1"/>
  <c r="M62" i="19"/>
  <c r="N62" i="19" s="1"/>
  <c r="M72" i="19"/>
  <c r="N72" i="19" s="1"/>
  <c r="M82" i="19"/>
  <c r="N82" i="19" s="1"/>
  <c r="M92" i="19"/>
  <c r="N92" i="19" s="1"/>
  <c r="M8" i="19"/>
  <c r="N8" i="19" s="1"/>
  <c r="U8" i="18"/>
  <c r="M140" i="19"/>
  <c r="N140" i="19" s="1"/>
  <c r="M25" i="19"/>
  <c r="N25" i="19" s="1"/>
  <c r="M45" i="19"/>
  <c r="N45" i="19" s="1"/>
  <c r="M55" i="19"/>
  <c r="N55" i="19" s="1"/>
  <c r="M75" i="19"/>
  <c r="N75" i="19" s="1"/>
  <c r="M85" i="19"/>
  <c r="N85" i="19" s="1"/>
  <c r="M109" i="19"/>
  <c r="N109" i="19" s="1"/>
  <c r="M15" i="19"/>
  <c r="N15" i="19" s="1"/>
  <c r="M35" i="19"/>
  <c r="N35" i="19" s="1"/>
  <c r="M65" i="19"/>
  <c r="N65" i="19" s="1"/>
  <c r="M95" i="19"/>
  <c r="N95" i="19" s="1"/>
  <c r="M119" i="19"/>
  <c r="N119" i="19" s="1"/>
  <c r="M130" i="19"/>
  <c r="N130" i="19" s="1"/>
  <c r="M16" i="19"/>
  <c r="N16" i="19" s="1"/>
  <c r="M26" i="19"/>
  <c r="N26" i="19" s="1"/>
  <c r="M36" i="19"/>
  <c r="N36" i="19" s="1"/>
  <c r="M46" i="19"/>
  <c r="N46" i="19" s="1"/>
  <c r="M56" i="19"/>
  <c r="N56" i="19" s="1"/>
  <c r="M66" i="19"/>
  <c r="N66" i="19" s="1"/>
  <c r="M76" i="19"/>
  <c r="N76" i="19" s="1"/>
  <c r="M86" i="19"/>
  <c r="N86" i="19" s="1"/>
  <c r="M96" i="19"/>
  <c r="N96" i="19" s="1"/>
  <c r="M110" i="19"/>
  <c r="N110" i="19" s="1"/>
  <c r="M120" i="19"/>
  <c r="N120" i="19" s="1"/>
  <c r="M131" i="19"/>
  <c r="N131" i="19" s="1"/>
  <c r="M14" i="19"/>
  <c r="N14" i="19" s="1"/>
  <c r="M24" i="19"/>
  <c r="N24" i="19" s="1"/>
  <c r="M34" i="19"/>
  <c r="N34" i="19" s="1"/>
  <c r="M44" i="19"/>
  <c r="N44" i="19" s="1"/>
  <c r="M54" i="19"/>
  <c r="N54" i="19" s="1"/>
  <c r="M20" i="19"/>
  <c r="N20" i="19" s="1"/>
  <c r="M30" i="19"/>
  <c r="N30" i="19" s="1"/>
  <c r="M40" i="19"/>
  <c r="N40" i="19" s="1"/>
  <c r="M50" i="19"/>
  <c r="N50" i="19" s="1"/>
  <c r="M60" i="19"/>
  <c r="N60" i="19" s="1"/>
  <c r="M70" i="19"/>
  <c r="N70" i="19" s="1"/>
  <c r="M80" i="19"/>
  <c r="N80" i="19" s="1"/>
  <c r="M90" i="19"/>
  <c r="N90" i="19" s="1"/>
  <c r="M100" i="19"/>
  <c r="N100" i="19" s="1"/>
  <c r="M104" i="19"/>
  <c r="N104" i="19" s="1"/>
  <c r="M114" i="19"/>
  <c r="N114" i="19" s="1"/>
  <c r="M125" i="19"/>
  <c r="N125" i="19" s="1"/>
  <c r="M135" i="19"/>
  <c r="N135" i="19" s="1"/>
  <c r="M13" i="19"/>
  <c r="N13" i="19" s="1"/>
  <c r="M23" i="19"/>
  <c r="N23" i="19" s="1"/>
  <c r="M33" i="19"/>
  <c r="N33" i="19" s="1"/>
  <c r="M43" i="19"/>
  <c r="N43" i="19" s="1"/>
  <c r="M53" i="19"/>
  <c r="N53" i="19" s="1"/>
  <c r="M63" i="19"/>
  <c r="N63" i="19" s="1"/>
  <c r="M73" i="19"/>
  <c r="N73" i="19" s="1"/>
  <c r="M83" i="19"/>
  <c r="N83" i="19" s="1"/>
  <c r="M93" i="19"/>
  <c r="N93" i="19" s="1"/>
  <c r="M107" i="19"/>
  <c r="N107" i="19" s="1"/>
  <c r="M117" i="19"/>
  <c r="N117" i="19" s="1"/>
  <c r="M128" i="19"/>
  <c r="N128" i="19" s="1"/>
  <c r="M138" i="19"/>
  <c r="N138" i="19" s="1"/>
  <c r="M19" i="19"/>
  <c r="N19" i="19" s="1"/>
  <c r="M29" i="19"/>
  <c r="N29" i="19" s="1"/>
  <c r="M39" i="19"/>
  <c r="N39" i="19" s="1"/>
  <c r="M49" i="19"/>
  <c r="N49" i="19" s="1"/>
  <c r="M59" i="19"/>
  <c r="N59" i="19" s="1"/>
  <c r="M64" i="19"/>
  <c r="N64" i="19" s="1"/>
  <c r="M69" i="19"/>
  <c r="N69" i="19" s="1"/>
  <c r="M74" i="19"/>
  <c r="N74" i="19" s="1"/>
  <c r="M79" i="19"/>
  <c r="N79" i="19" s="1"/>
  <c r="M84" i="19"/>
  <c r="N84" i="19" s="1"/>
  <c r="M89" i="19"/>
  <c r="N89" i="19" s="1"/>
  <c r="M94" i="19"/>
  <c r="N94" i="19" s="1"/>
  <c r="M99" i="19"/>
  <c r="N99" i="19" s="1"/>
  <c r="M103" i="19"/>
  <c r="N103" i="19" s="1"/>
  <c r="M108" i="19"/>
  <c r="N108" i="19" s="1"/>
  <c r="M113" i="19"/>
  <c r="N113" i="19" s="1"/>
  <c r="M118" i="19"/>
  <c r="N118" i="19" s="1"/>
  <c r="M124" i="19"/>
  <c r="N124" i="19" s="1"/>
  <c r="M129" i="19"/>
  <c r="N129" i="19" s="1"/>
  <c r="M134" i="19"/>
  <c r="N134" i="19" s="1"/>
  <c r="M139" i="19"/>
  <c r="N139" i="19" s="1"/>
  <c r="M18" i="19"/>
  <c r="N18" i="19" s="1"/>
  <c r="M28" i="19"/>
  <c r="N28" i="19" s="1"/>
  <c r="M38" i="19"/>
  <c r="N38" i="19" s="1"/>
  <c r="M48" i="19"/>
  <c r="N48" i="19" s="1"/>
  <c r="M58" i="19"/>
  <c r="N58" i="19" s="1"/>
  <c r="M68" i="19"/>
  <c r="N68" i="19" s="1"/>
  <c r="M78" i="19"/>
  <c r="N78" i="19" s="1"/>
  <c r="M88" i="19"/>
  <c r="N88" i="19" s="1"/>
  <c r="M98" i="19"/>
  <c r="N98" i="19" s="1"/>
  <c r="M102" i="19"/>
  <c r="N102" i="19" s="1"/>
  <c r="M112" i="19"/>
  <c r="N112" i="19" s="1"/>
  <c r="M123" i="19"/>
  <c r="N123" i="19" s="1"/>
  <c r="M133" i="19"/>
  <c r="N133" i="19" s="1"/>
  <c r="M21" i="19"/>
  <c r="N21" i="19" s="1"/>
  <c r="M31" i="19"/>
  <c r="N31" i="19" s="1"/>
  <c r="M41" i="19"/>
  <c r="N41" i="19" s="1"/>
  <c r="M51" i="19"/>
  <c r="N51" i="19" s="1"/>
  <c r="M61" i="19"/>
  <c r="N61" i="19" s="1"/>
  <c r="M71" i="19"/>
  <c r="N71" i="19" s="1"/>
  <c r="M81" i="19"/>
  <c r="N81" i="19" s="1"/>
  <c r="M91" i="19"/>
  <c r="N91" i="19" s="1"/>
  <c r="M105" i="19"/>
  <c r="N105" i="19" s="1"/>
  <c r="M115" i="19"/>
  <c r="N115" i="19" s="1"/>
  <c r="M126" i="19"/>
  <c r="N126" i="19" s="1"/>
  <c r="M136" i="19"/>
  <c r="N136" i="19" s="1"/>
  <c r="M9" i="19"/>
  <c r="N9" i="19" s="1"/>
  <c r="R7" i="19"/>
  <c r="S7" i="19"/>
  <c r="R6" i="19"/>
  <c r="S6" i="19"/>
  <c r="Q6" i="19"/>
  <c r="J7" i="12"/>
  <c r="I7" i="12"/>
  <c r="H7" i="12"/>
  <c r="G7" i="12"/>
  <c r="F7" i="12"/>
  <c r="D7" i="12"/>
  <c r="C7" i="12"/>
  <c r="B7" i="12"/>
  <c r="J7" i="16"/>
  <c r="I7" i="16"/>
  <c r="H7" i="16"/>
  <c r="G7" i="16"/>
  <c r="F7" i="16"/>
  <c r="D7" i="16"/>
  <c r="C7" i="16"/>
  <c r="B7" i="16"/>
  <c r="J7" i="10"/>
  <c r="I7" i="10"/>
  <c r="H7" i="10"/>
  <c r="G7" i="10"/>
  <c r="F7" i="10"/>
  <c r="D7" i="10"/>
  <c r="C7" i="10"/>
  <c r="B7" i="10"/>
  <c r="J7" i="17"/>
  <c r="I7" i="17"/>
  <c r="H7" i="17"/>
  <c r="G7" i="17"/>
  <c r="F7" i="17"/>
  <c r="D7" i="17"/>
  <c r="C7" i="17"/>
  <c r="B7" i="17"/>
  <c r="J7" i="8"/>
  <c r="I7" i="8"/>
  <c r="H7" i="8"/>
  <c r="G7" i="8"/>
  <c r="F7" i="8"/>
  <c r="D7" i="8"/>
  <c r="C7" i="8"/>
  <c r="B7" i="8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9" i="12"/>
  <c r="C8" i="12"/>
  <c r="C140" i="16"/>
  <c r="C139" i="16"/>
  <c r="C138" i="16"/>
  <c r="C137" i="16"/>
  <c r="C136" i="16"/>
  <c r="C135" i="16"/>
  <c r="C134" i="16"/>
  <c r="C133" i="16"/>
  <c r="C132" i="16"/>
  <c r="C131" i="16"/>
  <c r="C130" i="16"/>
  <c r="C129" i="16"/>
  <c r="C128" i="16"/>
  <c r="C127" i="16"/>
  <c r="C126" i="16"/>
  <c r="C125" i="16"/>
  <c r="C124" i="16"/>
  <c r="C123" i="16"/>
  <c r="C121" i="16"/>
  <c r="C120" i="16"/>
  <c r="C119" i="16"/>
  <c r="C118" i="16"/>
  <c r="C117" i="16"/>
  <c r="C116" i="16"/>
  <c r="C115" i="16"/>
  <c r="C114" i="16"/>
  <c r="C113" i="16"/>
  <c r="C112" i="16"/>
  <c r="C111" i="16"/>
  <c r="C110" i="16"/>
  <c r="C109" i="16"/>
  <c r="C108" i="16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61" i="16"/>
  <c r="C60" i="16"/>
  <c r="C59" i="16"/>
  <c r="C58" i="16"/>
  <c r="C57" i="16"/>
  <c r="C56" i="16"/>
  <c r="C55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9" i="16"/>
  <c r="C8" i="16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9" i="10"/>
  <c r="C8" i="10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9" i="17"/>
  <c r="C8" i="17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8" i="8"/>
  <c r="Q7" i="19" l="1"/>
  <c r="C15" i="20"/>
  <c r="C18" i="20"/>
  <c r="C12" i="20"/>
  <c r="C24" i="20"/>
  <c r="C9" i="20"/>
  <c r="D3" i="17"/>
  <c r="D3" i="10"/>
  <c r="D3" i="12"/>
  <c r="D3" i="8"/>
  <c r="M8" i="17"/>
  <c r="L8" i="17"/>
  <c r="K8" i="17"/>
  <c r="J140" i="17"/>
  <c r="I140" i="17"/>
  <c r="H140" i="17"/>
  <c r="G140" i="17"/>
  <c r="F140" i="17"/>
  <c r="D140" i="17"/>
  <c r="B140" i="17"/>
  <c r="J139" i="17"/>
  <c r="I139" i="17"/>
  <c r="H139" i="17"/>
  <c r="G139" i="17"/>
  <c r="F139" i="17"/>
  <c r="D139" i="17"/>
  <c r="B139" i="17"/>
  <c r="J138" i="17"/>
  <c r="I138" i="17"/>
  <c r="H138" i="17"/>
  <c r="G138" i="17"/>
  <c r="F138" i="17"/>
  <c r="D138" i="17"/>
  <c r="B138" i="17"/>
  <c r="J137" i="17"/>
  <c r="I137" i="17"/>
  <c r="H137" i="17"/>
  <c r="G137" i="17"/>
  <c r="F137" i="17"/>
  <c r="D137" i="17"/>
  <c r="B137" i="17"/>
  <c r="J136" i="17"/>
  <c r="I136" i="17"/>
  <c r="H136" i="17"/>
  <c r="G136" i="17"/>
  <c r="F136" i="17"/>
  <c r="D136" i="17"/>
  <c r="B136" i="17"/>
  <c r="J135" i="17"/>
  <c r="I135" i="17"/>
  <c r="H135" i="17"/>
  <c r="G135" i="17"/>
  <c r="F135" i="17"/>
  <c r="D135" i="17"/>
  <c r="B135" i="17"/>
  <c r="J134" i="17"/>
  <c r="I134" i="17"/>
  <c r="H134" i="17"/>
  <c r="G134" i="17"/>
  <c r="F134" i="17"/>
  <c r="D134" i="17"/>
  <c r="B134" i="17"/>
  <c r="J133" i="17"/>
  <c r="I133" i="17"/>
  <c r="H133" i="17"/>
  <c r="G133" i="17"/>
  <c r="F133" i="17"/>
  <c r="D133" i="17"/>
  <c r="B133" i="17"/>
  <c r="J132" i="17"/>
  <c r="I132" i="17"/>
  <c r="H132" i="17"/>
  <c r="G132" i="17"/>
  <c r="F132" i="17"/>
  <c r="D132" i="17"/>
  <c r="B132" i="17"/>
  <c r="J131" i="17"/>
  <c r="I131" i="17"/>
  <c r="H131" i="17"/>
  <c r="G131" i="17"/>
  <c r="F131" i="17"/>
  <c r="D131" i="17"/>
  <c r="B131" i="17"/>
  <c r="J130" i="17"/>
  <c r="I130" i="17"/>
  <c r="H130" i="17"/>
  <c r="G130" i="17"/>
  <c r="F130" i="17"/>
  <c r="D130" i="17"/>
  <c r="B130" i="17"/>
  <c r="J129" i="17"/>
  <c r="I129" i="17"/>
  <c r="H129" i="17"/>
  <c r="G129" i="17"/>
  <c r="F129" i="17"/>
  <c r="D129" i="17"/>
  <c r="B129" i="17"/>
  <c r="J128" i="17"/>
  <c r="I128" i="17"/>
  <c r="H128" i="17"/>
  <c r="G128" i="17"/>
  <c r="F128" i="17"/>
  <c r="D128" i="17"/>
  <c r="B128" i="17"/>
  <c r="J127" i="17"/>
  <c r="I127" i="17"/>
  <c r="H127" i="17"/>
  <c r="G127" i="17"/>
  <c r="F127" i="17"/>
  <c r="D127" i="17"/>
  <c r="B127" i="17"/>
  <c r="J126" i="17"/>
  <c r="I126" i="17"/>
  <c r="H126" i="17"/>
  <c r="G126" i="17"/>
  <c r="F126" i="17"/>
  <c r="D126" i="17"/>
  <c r="B126" i="17"/>
  <c r="J125" i="17"/>
  <c r="I125" i="17"/>
  <c r="H125" i="17"/>
  <c r="G125" i="17"/>
  <c r="F125" i="17"/>
  <c r="D125" i="17"/>
  <c r="B125" i="17"/>
  <c r="J124" i="17"/>
  <c r="I124" i="17"/>
  <c r="H124" i="17"/>
  <c r="G124" i="17"/>
  <c r="F124" i="17"/>
  <c r="D124" i="17"/>
  <c r="B124" i="17"/>
  <c r="J123" i="17"/>
  <c r="I123" i="17"/>
  <c r="H123" i="17"/>
  <c r="G123" i="17"/>
  <c r="F123" i="17"/>
  <c r="D123" i="17"/>
  <c r="B123" i="17"/>
  <c r="J121" i="17"/>
  <c r="I121" i="17"/>
  <c r="H121" i="17"/>
  <c r="G121" i="17"/>
  <c r="F121" i="17"/>
  <c r="D121" i="17"/>
  <c r="B121" i="17"/>
  <c r="J120" i="17"/>
  <c r="I120" i="17"/>
  <c r="H120" i="17"/>
  <c r="G120" i="17"/>
  <c r="F120" i="17"/>
  <c r="D120" i="17"/>
  <c r="B120" i="17"/>
  <c r="J119" i="17"/>
  <c r="I119" i="17"/>
  <c r="H119" i="17"/>
  <c r="G119" i="17"/>
  <c r="F119" i="17"/>
  <c r="D119" i="17"/>
  <c r="B119" i="17"/>
  <c r="J118" i="17"/>
  <c r="I118" i="17"/>
  <c r="H118" i="17"/>
  <c r="G118" i="17"/>
  <c r="F118" i="17"/>
  <c r="D118" i="17"/>
  <c r="B118" i="17"/>
  <c r="J117" i="17"/>
  <c r="I117" i="17"/>
  <c r="H117" i="17"/>
  <c r="G117" i="17"/>
  <c r="F117" i="17"/>
  <c r="D117" i="17"/>
  <c r="B117" i="17"/>
  <c r="J116" i="17"/>
  <c r="I116" i="17"/>
  <c r="H116" i="17"/>
  <c r="G116" i="17"/>
  <c r="F116" i="17"/>
  <c r="D116" i="17"/>
  <c r="B116" i="17"/>
  <c r="J115" i="17"/>
  <c r="I115" i="17"/>
  <c r="H115" i="17"/>
  <c r="G115" i="17"/>
  <c r="F115" i="17"/>
  <c r="D115" i="17"/>
  <c r="B115" i="17"/>
  <c r="J114" i="17"/>
  <c r="I114" i="17"/>
  <c r="H114" i="17"/>
  <c r="G114" i="17"/>
  <c r="F114" i="17"/>
  <c r="D114" i="17"/>
  <c r="B114" i="17"/>
  <c r="J113" i="17"/>
  <c r="I113" i="17"/>
  <c r="H113" i="17"/>
  <c r="G113" i="17"/>
  <c r="F113" i="17"/>
  <c r="D113" i="17"/>
  <c r="B113" i="17"/>
  <c r="J112" i="17"/>
  <c r="I112" i="17"/>
  <c r="H112" i="17"/>
  <c r="G112" i="17"/>
  <c r="F112" i="17"/>
  <c r="D112" i="17"/>
  <c r="B112" i="17"/>
  <c r="J111" i="17"/>
  <c r="I111" i="17"/>
  <c r="H111" i="17"/>
  <c r="G111" i="17"/>
  <c r="F111" i="17"/>
  <c r="D111" i="17"/>
  <c r="B111" i="17"/>
  <c r="J110" i="17"/>
  <c r="I110" i="17"/>
  <c r="H110" i="17"/>
  <c r="G110" i="17"/>
  <c r="F110" i="17"/>
  <c r="D110" i="17"/>
  <c r="B110" i="17"/>
  <c r="J109" i="17"/>
  <c r="I109" i="17"/>
  <c r="H109" i="17"/>
  <c r="G109" i="17"/>
  <c r="F109" i="17"/>
  <c r="D109" i="17"/>
  <c r="B109" i="17"/>
  <c r="J108" i="17"/>
  <c r="I108" i="17"/>
  <c r="H108" i="17"/>
  <c r="G108" i="17"/>
  <c r="F108" i="17"/>
  <c r="D108" i="17"/>
  <c r="B108" i="17"/>
  <c r="J107" i="17"/>
  <c r="I107" i="17"/>
  <c r="H107" i="17"/>
  <c r="G107" i="17"/>
  <c r="F107" i="17"/>
  <c r="D107" i="17"/>
  <c r="B107" i="17"/>
  <c r="J106" i="17"/>
  <c r="I106" i="17"/>
  <c r="H106" i="17"/>
  <c r="G106" i="17"/>
  <c r="F106" i="17"/>
  <c r="D106" i="17"/>
  <c r="B106" i="17"/>
  <c r="J105" i="17"/>
  <c r="I105" i="17"/>
  <c r="H105" i="17"/>
  <c r="G105" i="17"/>
  <c r="F105" i="17"/>
  <c r="D105" i="17"/>
  <c r="B105" i="17"/>
  <c r="J104" i="17"/>
  <c r="I104" i="17"/>
  <c r="H104" i="17"/>
  <c r="G104" i="17"/>
  <c r="F104" i="17"/>
  <c r="D104" i="17"/>
  <c r="B104" i="17"/>
  <c r="J103" i="17"/>
  <c r="I103" i="17"/>
  <c r="H103" i="17"/>
  <c r="G103" i="17"/>
  <c r="F103" i="17"/>
  <c r="D103" i="17"/>
  <c r="B103" i="17"/>
  <c r="J102" i="17"/>
  <c r="I102" i="17"/>
  <c r="H102" i="17"/>
  <c r="G102" i="17"/>
  <c r="F102" i="17"/>
  <c r="D102" i="17"/>
  <c r="B102" i="17"/>
  <c r="J101" i="17"/>
  <c r="I101" i="17"/>
  <c r="H101" i="17"/>
  <c r="G101" i="17"/>
  <c r="F101" i="17"/>
  <c r="D101" i="17"/>
  <c r="B101" i="17"/>
  <c r="J100" i="17"/>
  <c r="I100" i="17"/>
  <c r="H100" i="17"/>
  <c r="G100" i="17"/>
  <c r="F100" i="17"/>
  <c r="D100" i="17"/>
  <c r="B100" i="17"/>
  <c r="J99" i="17"/>
  <c r="I99" i="17"/>
  <c r="H99" i="17"/>
  <c r="G99" i="17"/>
  <c r="F99" i="17"/>
  <c r="D99" i="17"/>
  <c r="B99" i="17"/>
  <c r="J98" i="17"/>
  <c r="I98" i="17"/>
  <c r="H98" i="17"/>
  <c r="G98" i="17"/>
  <c r="F98" i="17"/>
  <c r="D98" i="17"/>
  <c r="B98" i="17"/>
  <c r="J97" i="17"/>
  <c r="I97" i="17"/>
  <c r="H97" i="17"/>
  <c r="G97" i="17"/>
  <c r="F97" i="17"/>
  <c r="D97" i="17"/>
  <c r="B97" i="17"/>
  <c r="J96" i="17"/>
  <c r="I96" i="17"/>
  <c r="H96" i="17"/>
  <c r="G96" i="17"/>
  <c r="F96" i="17"/>
  <c r="D96" i="17"/>
  <c r="B96" i="17"/>
  <c r="J95" i="17"/>
  <c r="I95" i="17"/>
  <c r="H95" i="17"/>
  <c r="G95" i="17"/>
  <c r="F95" i="17"/>
  <c r="D95" i="17"/>
  <c r="B95" i="17"/>
  <c r="J94" i="17"/>
  <c r="I94" i="17"/>
  <c r="H94" i="17"/>
  <c r="G94" i="17"/>
  <c r="F94" i="17"/>
  <c r="D94" i="17"/>
  <c r="B94" i="17"/>
  <c r="J93" i="17"/>
  <c r="I93" i="17"/>
  <c r="H93" i="17"/>
  <c r="G93" i="17"/>
  <c r="F93" i="17"/>
  <c r="D93" i="17"/>
  <c r="B93" i="17"/>
  <c r="J92" i="17"/>
  <c r="I92" i="17"/>
  <c r="H92" i="17"/>
  <c r="G92" i="17"/>
  <c r="F92" i="17"/>
  <c r="D92" i="17"/>
  <c r="B92" i="17"/>
  <c r="J91" i="17"/>
  <c r="I91" i="17"/>
  <c r="H91" i="17"/>
  <c r="G91" i="17"/>
  <c r="F91" i="17"/>
  <c r="D91" i="17"/>
  <c r="B91" i="17"/>
  <c r="J90" i="17"/>
  <c r="I90" i="17"/>
  <c r="H90" i="17"/>
  <c r="G90" i="17"/>
  <c r="F90" i="17"/>
  <c r="D90" i="17"/>
  <c r="B90" i="17"/>
  <c r="J89" i="17"/>
  <c r="I89" i="17"/>
  <c r="H89" i="17"/>
  <c r="G89" i="17"/>
  <c r="F89" i="17"/>
  <c r="D89" i="17"/>
  <c r="B89" i="17"/>
  <c r="J88" i="17"/>
  <c r="I88" i="17"/>
  <c r="H88" i="17"/>
  <c r="G88" i="17"/>
  <c r="F88" i="17"/>
  <c r="D88" i="17"/>
  <c r="B88" i="17"/>
  <c r="J87" i="17"/>
  <c r="I87" i="17"/>
  <c r="H87" i="17"/>
  <c r="G87" i="17"/>
  <c r="F87" i="17"/>
  <c r="D87" i="17"/>
  <c r="B87" i="17"/>
  <c r="J86" i="17"/>
  <c r="I86" i="17"/>
  <c r="H86" i="17"/>
  <c r="G86" i="17"/>
  <c r="F86" i="17"/>
  <c r="D86" i="17"/>
  <c r="B86" i="17"/>
  <c r="J85" i="17"/>
  <c r="I85" i="17"/>
  <c r="H85" i="17"/>
  <c r="G85" i="17"/>
  <c r="F85" i="17"/>
  <c r="D85" i="17"/>
  <c r="B85" i="17"/>
  <c r="J84" i="17"/>
  <c r="I84" i="17"/>
  <c r="H84" i="17"/>
  <c r="G84" i="17"/>
  <c r="F84" i="17"/>
  <c r="D84" i="17"/>
  <c r="B84" i="17"/>
  <c r="J83" i="17"/>
  <c r="I83" i="17"/>
  <c r="H83" i="17"/>
  <c r="G83" i="17"/>
  <c r="F83" i="17"/>
  <c r="D83" i="17"/>
  <c r="B83" i="17"/>
  <c r="J82" i="17"/>
  <c r="I82" i="17"/>
  <c r="H82" i="17"/>
  <c r="G82" i="17"/>
  <c r="F82" i="17"/>
  <c r="D82" i="17"/>
  <c r="B82" i="17"/>
  <c r="J81" i="17"/>
  <c r="I81" i="17"/>
  <c r="H81" i="17"/>
  <c r="G81" i="17"/>
  <c r="F81" i="17"/>
  <c r="D81" i="17"/>
  <c r="B81" i="17"/>
  <c r="J80" i="17"/>
  <c r="I80" i="17"/>
  <c r="H80" i="17"/>
  <c r="G80" i="17"/>
  <c r="F80" i="17"/>
  <c r="D80" i="17"/>
  <c r="B80" i="17"/>
  <c r="J79" i="17"/>
  <c r="I79" i="17"/>
  <c r="H79" i="17"/>
  <c r="G79" i="17"/>
  <c r="F79" i="17"/>
  <c r="D79" i="17"/>
  <c r="B79" i="17"/>
  <c r="J78" i="17"/>
  <c r="I78" i="17"/>
  <c r="H78" i="17"/>
  <c r="G78" i="17"/>
  <c r="F78" i="17"/>
  <c r="D78" i="17"/>
  <c r="B78" i="17"/>
  <c r="J77" i="17"/>
  <c r="I77" i="17"/>
  <c r="H77" i="17"/>
  <c r="G77" i="17"/>
  <c r="F77" i="17"/>
  <c r="D77" i="17"/>
  <c r="B77" i="17"/>
  <c r="J76" i="17"/>
  <c r="I76" i="17"/>
  <c r="H76" i="17"/>
  <c r="G76" i="17"/>
  <c r="F76" i="17"/>
  <c r="D76" i="17"/>
  <c r="B76" i="17"/>
  <c r="J75" i="17"/>
  <c r="I75" i="17"/>
  <c r="H75" i="17"/>
  <c r="G75" i="17"/>
  <c r="F75" i="17"/>
  <c r="D75" i="17"/>
  <c r="B75" i="17"/>
  <c r="J74" i="17"/>
  <c r="I74" i="17"/>
  <c r="H74" i="17"/>
  <c r="G74" i="17"/>
  <c r="F74" i="17"/>
  <c r="D74" i="17"/>
  <c r="B74" i="17"/>
  <c r="J73" i="17"/>
  <c r="I73" i="17"/>
  <c r="H73" i="17"/>
  <c r="G73" i="17"/>
  <c r="F73" i="17"/>
  <c r="D73" i="17"/>
  <c r="B73" i="17"/>
  <c r="J72" i="17"/>
  <c r="I72" i="17"/>
  <c r="H72" i="17"/>
  <c r="G72" i="17"/>
  <c r="F72" i="17"/>
  <c r="D72" i="17"/>
  <c r="B72" i="17"/>
  <c r="J71" i="17"/>
  <c r="I71" i="17"/>
  <c r="H71" i="17"/>
  <c r="G71" i="17"/>
  <c r="F71" i="17"/>
  <c r="D71" i="17"/>
  <c r="B71" i="17"/>
  <c r="J70" i="17"/>
  <c r="I70" i="17"/>
  <c r="H70" i="17"/>
  <c r="G70" i="17"/>
  <c r="F70" i="17"/>
  <c r="D70" i="17"/>
  <c r="B70" i="17"/>
  <c r="J69" i="17"/>
  <c r="I69" i="17"/>
  <c r="H69" i="17"/>
  <c r="G69" i="17"/>
  <c r="F69" i="17"/>
  <c r="D69" i="17"/>
  <c r="B69" i="17"/>
  <c r="J68" i="17"/>
  <c r="I68" i="17"/>
  <c r="H68" i="17"/>
  <c r="G68" i="17"/>
  <c r="F68" i="17"/>
  <c r="D68" i="17"/>
  <c r="B68" i="17"/>
  <c r="J67" i="17"/>
  <c r="I67" i="17"/>
  <c r="H67" i="17"/>
  <c r="G67" i="17"/>
  <c r="F67" i="17"/>
  <c r="D67" i="17"/>
  <c r="B67" i="17"/>
  <c r="J66" i="17"/>
  <c r="I66" i="17"/>
  <c r="H66" i="17"/>
  <c r="G66" i="17"/>
  <c r="F66" i="17"/>
  <c r="D66" i="17"/>
  <c r="B66" i="17"/>
  <c r="J65" i="17"/>
  <c r="I65" i="17"/>
  <c r="H65" i="17"/>
  <c r="G65" i="17"/>
  <c r="F65" i="17"/>
  <c r="D65" i="17"/>
  <c r="B65" i="17"/>
  <c r="J64" i="17"/>
  <c r="I64" i="17"/>
  <c r="H64" i="17"/>
  <c r="G64" i="17"/>
  <c r="F64" i="17"/>
  <c r="D64" i="17"/>
  <c r="B64" i="17"/>
  <c r="J63" i="17"/>
  <c r="I63" i="17"/>
  <c r="H63" i="17"/>
  <c r="G63" i="17"/>
  <c r="F63" i="17"/>
  <c r="D63" i="17"/>
  <c r="B63" i="17"/>
  <c r="J62" i="17"/>
  <c r="I62" i="17"/>
  <c r="H62" i="17"/>
  <c r="G62" i="17"/>
  <c r="F62" i="17"/>
  <c r="D62" i="17"/>
  <c r="B62" i="17"/>
  <c r="J61" i="17"/>
  <c r="I61" i="17"/>
  <c r="H61" i="17"/>
  <c r="G61" i="17"/>
  <c r="F61" i="17"/>
  <c r="D61" i="17"/>
  <c r="B61" i="17"/>
  <c r="J60" i="17"/>
  <c r="I60" i="17"/>
  <c r="H60" i="17"/>
  <c r="G60" i="17"/>
  <c r="F60" i="17"/>
  <c r="D60" i="17"/>
  <c r="B60" i="17"/>
  <c r="J59" i="17"/>
  <c r="I59" i="17"/>
  <c r="H59" i="17"/>
  <c r="G59" i="17"/>
  <c r="F59" i="17"/>
  <c r="D59" i="17"/>
  <c r="B59" i="17"/>
  <c r="J58" i="17"/>
  <c r="I58" i="17"/>
  <c r="H58" i="17"/>
  <c r="G58" i="17"/>
  <c r="F58" i="17"/>
  <c r="D58" i="17"/>
  <c r="B58" i="17"/>
  <c r="J57" i="17"/>
  <c r="I57" i="17"/>
  <c r="H57" i="17"/>
  <c r="G57" i="17"/>
  <c r="F57" i="17"/>
  <c r="D57" i="17"/>
  <c r="B57" i="17"/>
  <c r="J56" i="17"/>
  <c r="I56" i="17"/>
  <c r="H56" i="17"/>
  <c r="G56" i="17"/>
  <c r="F56" i="17"/>
  <c r="D56" i="17"/>
  <c r="B56" i="17"/>
  <c r="J55" i="17"/>
  <c r="I55" i="17"/>
  <c r="H55" i="17"/>
  <c r="G55" i="17"/>
  <c r="F55" i="17"/>
  <c r="D55" i="17"/>
  <c r="B55" i="17"/>
  <c r="J54" i="17"/>
  <c r="I54" i="17"/>
  <c r="H54" i="17"/>
  <c r="G54" i="17"/>
  <c r="F54" i="17"/>
  <c r="D54" i="17"/>
  <c r="B54" i="17"/>
  <c r="J53" i="17"/>
  <c r="I53" i="17"/>
  <c r="H53" i="17"/>
  <c r="G53" i="17"/>
  <c r="F53" i="17"/>
  <c r="D53" i="17"/>
  <c r="B53" i="17"/>
  <c r="J52" i="17"/>
  <c r="I52" i="17"/>
  <c r="H52" i="17"/>
  <c r="G52" i="17"/>
  <c r="F52" i="17"/>
  <c r="D52" i="17"/>
  <c r="B52" i="17"/>
  <c r="J51" i="17"/>
  <c r="I51" i="17"/>
  <c r="H51" i="17"/>
  <c r="G51" i="17"/>
  <c r="F51" i="17"/>
  <c r="D51" i="17"/>
  <c r="B51" i="17"/>
  <c r="J50" i="17"/>
  <c r="I50" i="17"/>
  <c r="H50" i="17"/>
  <c r="G50" i="17"/>
  <c r="F50" i="17"/>
  <c r="D50" i="17"/>
  <c r="B50" i="17"/>
  <c r="J49" i="17"/>
  <c r="I49" i="17"/>
  <c r="H49" i="17"/>
  <c r="G49" i="17"/>
  <c r="F49" i="17"/>
  <c r="D49" i="17"/>
  <c r="B49" i="17"/>
  <c r="J48" i="17"/>
  <c r="I48" i="17"/>
  <c r="H48" i="17"/>
  <c r="G48" i="17"/>
  <c r="F48" i="17"/>
  <c r="D48" i="17"/>
  <c r="B48" i="17"/>
  <c r="J47" i="17"/>
  <c r="I47" i="17"/>
  <c r="H47" i="17"/>
  <c r="G47" i="17"/>
  <c r="F47" i="17"/>
  <c r="D47" i="17"/>
  <c r="B47" i="17"/>
  <c r="J46" i="17"/>
  <c r="I46" i="17"/>
  <c r="H46" i="17"/>
  <c r="G46" i="17"/>
  <c r="F46" i="17"/>
  <c r="D46" i="17"/>
  <c r="B46" i="17"/>
  <c r="J45" i="17"/>
  <c r="I45" i="17"/>
  <c r="H45" i="17"/>
  <c r="G45" i="17"/>
  <c r="F45" i="17"/>
  <c r="D45" i="17"/>
  <c r="B45" i="17"/>
  <c r="J44" i="17"/>
  <c r="I44" i="17"/>
  <c r="H44" i="17"/>
  <c r="G44" i="17"/>
  <c r="F44" i="17"/>
  <c r="D44" i="17"/>
  <c r="B44" i="17"/>
  <c r="J43" i="17"/>
  <c r="I43" i="17"/>
  <c r="H43" i="17"/>
  <c r="G43" i="17"/>
  <c r="F43" i="17"/>
  <c r="D43" i="17"/>
  <c r="B43" i="17"/>
  <c r="J42" i="17"/>
  <c r="I42" i="17"/>
  <c r="H42" i="17"/>
  <c r="G42" i="17"/>
  <c r="F42" i="17"/>
  <c r="D42" i="17"/>
  <c r="B42" i="17"/>
  <c r="J41" i="17"/>
  <c r="I41" i="17"/>
  <c r="H41" i="17"/>
  <c r="G41" i="17"/>
  <c r="F41" i="17"/>
  <c r="D41" i="17"/>
  <c r="B41" i="17"/>
  <c r="J40" i="17"/>
  <c r="I40" i="17"/>
  <c r="H40" i="17"/>
  <c r="G40" i="17"/>
  <c r="F40" i="17"/>
  <c r="D40" i="17"/>
  <c r="B40" i="17"/>
  <c r="J39" i="17"/>
  <c r="I39" i="17"/>
  <c r="H39" i="17"/>
  <c r="G39" i="17"/>
  <c r="F39" i="17"/>
  <c r="D39" i="17"/>
  <c r="B39" i="17"/>
  <c r="J38" i="17"/>
  <c r="I38" i="17"/>
  <c r="H38" i="17"/>
  <c r="G38" i="17"/>
  <c r="F38" i="17"/>
  <c r="D38" i="17"/>
  <c r="B38" i="17"/>
  <c r="J37" i="17"/>
  <c r="I37" i="17"/>
  <c r="H37" i="17"/>
  <c r="G37" i="17"/>
  <c r="F37" i="17"/>
  <c r="D37" i="17"/>
  <c r="B37" i="17"/>
  <c r="J36" i="17"/>
  <c r="I36" i="17"/>
  <c r="H36" i="17"/>
  <c r="G36" i="17"/>
  <c r="F36" i="17"/>
  <c r="D36" i="17"/>
  <c r="B36" i="17"/>
  <c r="J35" i="17"/>
  <c r="I35" i="17"/>
  <c r="H35" i="17"/>
  <c r="G35" i="17"/>
  <c r="F35" i="17"/>
  <c r="D35" i="17"/>
  <c r="B35" i="17"/>
  <c r="J34" i="17"/>
  <c r="I34" i="17"/>
  <c r="H34" i="17"/>
  <c r="G34" i="17"/>
  <c r="F34" i="17"/>
  <c r="D34" i="17"/>
  <c r="B34" i="17"/>
  <c r="J33" i="17"/>
  <c r="I33" i="17"/>
  <c r="H33" i="17"/>
  <c r="G33" i="17"/>
  <c r="F33" i="17"/>
  <c r="D33" i="17"/>
  <c r="B33" i="17"/>
  <c r="J32" i="17"/>
  <c r="I32" i="17"/>
  <c r="H32" i="17"/>
  <c r="G32" i="17"/>
  <c r="F32" i="17"/>
  <c r="D32" i="17"/>
  <c r="B32" i="17"/>
  <c r="J31" i="17"/>
  <c r="I31" i="17"/>
  <c r="H31" i="17"/>
  <c r="G31" i="17"/>
  <c r="F31" i="17"/>
  <c r="D31" i="17"/>
  <c r="B31" i="17"/>
  <c r="J30" i="17"/>
  <c r="I30" i="17"/>
  <c r="H30" i="17"/>
  <c r="G30" i="17"/>
  <c r="F30" i="17"/>
  <c r="D30" i="17"/>
  <c r="B30" i="17"/>
  <c r="J29" i="17"/>
  <c r="I29" i="17"/>
  <c r="H29" i="17"/>
  <c r="G29" i="17"/>
  <c r="F29" i="17"/>
  <c r="D29" i="17"/>
  <c r="B29" i="17"/>
  <c r="J28" i="17"/>
  <c r="I28" i="17"/>
  <c r="H28" i="17"/>
  <c r="G28" i="17"/>
  <c r="F28" i="17"/>
  <c r="D28" i="17"/>
  <c r="B28" i="17"/>
  <c r="J27" i="17"/>
  <c r="I27" i="17"/>
  <c r="H27" i="17"/>
  <c r="G27" i="17"/>
  <c r="F27" i="17"/>
  <c r="D27" i="17"/>
  <c r="B27" i="17"/>
  <c r="J26" i="17"/>
  <c r="I26" i="17"/>
  <c r="H26" i="17"/>
  <c r="G26" i="17"/>
  <c r="F26" i="17"/>
  <c r="D26" i="17"/>
  <c r="B26" i="17"/>
  <c r="J25" i="17"/>
  <c r="I25" i="17"/>
  <c r="H25" i="17"/>
  <c r="G25" i="17"/>
  <c r="F25" i="17"/>
  <c r="D25" i="17"/>
  <c r="B25" i="17"/>
  <c r="J24" i="17"/>
  <c r="I24" i="17"/>
  <c r="H24" i="17"/>
  <c r="G24" i="17"/>
  <c r="F24" i="17"/>
  <c r="D24" i="17"/>
  <c r="B24" i="17"/>
  <c r="J23" i="17"/>
  <c r="I23" i="17"/>
  <c r="H23" i="17"/>
  <c r="G23" i="17"/>
  <c r="F23" i="17"/>
  <c r="D23" i="17"/>
  <c r="B23" i="17"/>
  <c r="J22" i="17"/>
  <c r="I22" i="17"/>
  <c r="H22" i="17"/>
  <c r="G22" i="17"/>
  <c r="F22" i="17"/>
  <c r="D22" i="17"/>
  <c r="B22" i="17"/>
  <c r="J21" i="17"/>
  <c r="I21" i="17"/>
  <c r="H21" i="17"/>
  <c r="G21" i="17"/>
  <c r="F21" i="17"/>
  <c r="D21" i="17"/>
  <c r="B21" i="17"/>
  <c r="J20" i="17"/>
  <c r="I20" i="17"/>
  <c r="H20" i="17"/>
  <c r="G20" i="17"/>
  <c r="F20" i="17"/>
  <c r="D20" i="17"/>
  <c r="B20" i="17"/>
  <c r="J19" i="17"/>
  <c r="I19" i="17"/>
  <c r="H19" i="17"/>
  <c r="G19" i="17"/>
  <c r="F19" i="17"/>
  <c r="D19" i="17"/>
  <c r="B19" i="17"/>
  <c r="J18" i="17"/>
  <c r="I18" i="17"/>
  <c r="H18" i="17"/>
  <c r="G18" i="17"/>
  <c r="F18" i="17"/>
  <c r="D18" i="17"/>
  <c r="B18" i="17"/>
  <c r="J17" i="17"/>
  <c r="I17" i="17"/>
  <c r="H17" i="17"/>
  <c r="G17" i="17"/>
  <c r="F17" i="17"/>
  <c r="D17" i="17"/>
  <c r="B17" i="17"/>
  <c r="J16" i="17"/>
  <c r="I16" i="17"/>
  <c r="H16" i="17"/>
  <c r="G16" i="17"/>
  <c r="F16" i="17"/>
  <c r="D16" i="17"/>
  <c r="B16" i="17"/>
  <c r="J15" i="17"/>
  <c r="I15" i="17"/>
  <c r="H15" i="17"/>
  <c r="G15" i="17"/>
  <c r="F15" i="17"/>
  <c r="D15" i="17"/>
  <c r="B15" i="17"/>
  <c r="J14" i="17"/>
  <c r="I14" i="17"/>
  <c r="H14" i="17"/>
  <c r="G14" i="17"/>
  <c r="F14" i="17"/>
  <c r="D14" i="17"/>
  <c r="B14" i="17"/>
  <c r="J13" i="17"/>
  <c r="I13" i="17"/>
  <c r="H13" i="17"/>
  <c r="G13" i="17"/>
  <c r="F13" i="17"/>
  <c r="D13" i="17"/>
  <c r="B13" i="17"/>
  <c r="J9" i="17"/>
  <c r="I9" i="17"/>
  <c r="H9" i="17"/>
  <c r="G9" i="17"/>
  <c r="F9" i="17"/>
  <c r="D9" i="17"/>
  <c r="B9" i="17"/>
  <c r="J8" i="17"/>
  <c r="I8" i="17"/>
  <c r="H8" i="17"/>
  <c r="G8" i="17"/>
  <c r="F8" i="17"/>
  <c r="D8" i="17"/>
  <c r="B8" i="17"/>
  <c r="D12" i="20" l="1"/>
  <c r="F12" i="20"/>
  <c r="B12" i="20"/>
  <c r="B9" i="10"/>
  <c r="D9" i="10"/>
  <c r="F9" i="10"/>
  <c r="K9" i="10" s="1"/>
  <c r="G9" i="10"/>
  <c r="I9" i="10"/>
  <c r="J9" i="10"/>
  <c r="B13" i="10"/>
  <c r="D13" i="10"/>
  <c r="F13" i="10"/>
  <c r="L13" i="10" s="1"/>
  <c r="G13" i="10"/>
  <c r="I13" i="10"/>
  <c r="J13" i="10"/>
  <c r="B14" i="10"/>
  <c r="D14" i="10"/>
  <c r="F14" i="10"/>
  <c r="L14" i="10" s="1"/>
  <c r="O14" i="10" s="1"/>
  <c r="G14" i="10"/>
  <c r="I14" i="10"/>
  <c r="J14" i="10"/>
  <c r="B15" i="10"/>
  <c r="D15" i="10"/>
  <c r="F15" i="10"/>
  <c r="K15" i="10" s="1"/>
  <c r="G15" i="10"/>
  <c r="I15" i="10"/>
  <c r="J15" i="10"/>
  <c r="B16" i="10"/>
  <c r="D16" i="10"/>
  <c r="F16" i="10"/>
  <c r="G16" i="10"/>
  <c r="I16" i="10"/>
  <c r="J16" i="10"/>
  <c r="B17" i="10"/>
  <c r="D17" i="10"/>
  <c r="F17" i="10"/>
  <c r="K17" i="10" s="1"/>
  <c r="G17" i="10"/>
  <c r="I17" i="10"/>
  <c r="J17" i="10"/>
  <c r="B18" i="10"/>
  <c r="D18" i="10"/>
  <c r="F18" i="10"/>
  <c r="K18" i="10" s="1"/>
  <c r="G18" i="10"/>
  <c r="I18" i="10"/>
  <c r="J18" i="10"/>
  <c r="B19" i="10"/>
  <c r="D19" i="10"/>
  <c r="F19" i="10"/>
  <c r="G19" i="10"/>
  <c r="I19" i="10"/>
  <c r="J19" i="10"/>
  <c r="B20" i="10"/>
  <c r="D20" i="10"/>
  <c r="F20" i="10"/>
  <c r="K20" i="10" s="1"/>
  <c r="G20" i="10"/>
  <c r="I20" i="10"/>
  <c r="J20" i="10"/>
  <c r="B21" i="10"/>
  <c r="D21" i="10"/>
  <c r="F21" i="10"/>
  <c r="L21" i="10" s="1"/>
  <c r="O21" i="10" s="1"/>
  <c r="G21" i="10"/>
  <c r="I21" i="10"/>
  <c r="J21" i="10"/>
  <c r="B22" i="10"/>
  <c r="D22" i="10"/>
  <c r="F22" i="10"/>
  <c r="K22" i="10" s="1"/>
  <c r="G22" i="10"/>
  <c r="I22" i="10"/>
  <c r="J22" i="10"/>
  <c r="B23" i="10"/>
  <c r="D23" i="10"/>
  <c r="F23" i="10"/>
  <c r="K23" i="10" s="1"/>
  <c r="G23" i="10"/>
  <c r="I23" i="10"/>
  <c r="J23" i="10"/>
  <c r="B24" i="10"/>
  <c r="D24" i="10"/>
  <c r="F24" i="10"/>
  <c r="L24" i="10" s="1"/>
  <c r="G24" i="10"/>
  <c r="I24" i="10"/>
  <c r="J24" i="10"/>
  <c r="B25" i="10"/>
  <c r="D25" i="10"/>
  <c r="F25" i="10"/>
  <c r="K25" i="10" s="1"/>
  <c r="G25" i="10"/>
  <c r="I25" i="10"/>
  <c r="J25" i="10"/>
  <c r="B26" i="10"/>
  <c r="D26" i="10"/>
  <c r="F26" i="10"/>
  <c r="G26" i="10"/>
  <c r="I26" i="10"/>
  <c r="J26" i="10"/>
  <c r="B27" i="10"/>
  <c r="D27" i="10"/>
  <c r="F27" i="10"/>
  <c r="K27" i="10" s="1"/>
  <c r="Q27" i="10" s="1"/>
  <c r="G27" i="10"/>
  <c r="I27" i="10"/>
  <c r="J27" i="10"/>
  <c r="B28" i="10"/>
  <c r="D28" i="10"/>
  <c r="F28" i="10"/>
  <c r="K28" i="10" s="1"/>
  <c r="G28" i="10"/>
  <c r="I28" i="10"/>
  <c r="J28" i="10"/>
  <c r="B29" i="10"/>
  <c r="D29" i="10"/>
  <c r="F29" i="10"/>
  <c r="G29" i="10"/>
  <c r="I29" i="10"/>
  <c r="J29" i="10"/>
  <c r="B30" i="10"/>
  <c r="D30" i="10"/>
  <c r="F30" i="10"/>
  <c r="K30" i="10" s="1"/>
  <c r="G30" i="10"/>
  <c r="I30" i="10"/>
  <c r="J30" i="10"/>
  <c r="B31" i="10"/>
  <c r="D31" i="10"/>
  <c r="F31" i="10"/>
  <c r="L31" i="10" s="1"/>
  <c r="O31" i="10" s="1"/>
  <c r="G31" i="10"/>
  <c r="I31" i="10"/>
  <c r="J31" i="10"/>
  <c r="B32" i="10"/>
  <c r="D32" i="10"/>
  <c r="F32" i="10"/>
  <c r="K32" i="10" s="1"/>
  <c r="G32" i="10"/>
  <c r="I32" i="10"/>
  <c r="J32" i="10"/>
  <c r="B33" i="10"/>
  <c r="D33" i="10"/>
  <c r="F33" i="10"/>
  <c r="K33" i="10" s="1"/>
  <c r="G33" i="10"/>
  <c r="I33" i="10"/>
  <c r="J33" i="10"/>
  <c r="B34" i="10"/>
  <c r="D34" i="10"/>
  <c r="F34" i="10"/>
  <c r="L34" i="10" s="1"/>
  <c r="G34" i="10"/>
  <c r="I34" i="10"/>
  <c r="J34" i="10"/>
  <c r="B35" i="10"/>
  <c r="D35" i="10"/>
  <c r="F35" i="10"/>
  <c r="K35" i="10" s="1"/>
  <c r="G35" i="10"/>
  <c r="I35" i="10"/>
  <c r="J35" i="10"/>
  <c r="B36" i="10"/>
  <c r="D36" i="10"/>
  <c r="F36" i="10"/>
  <c r="G36" i="10"/>
  <c r="I36" i="10"/>
  <c r="J36" i="10"/>
  <c r="B37" i="10"/>
  <c r="D37" i="10"/>
  <c r="F37" i="10"/>
  <c r="K37" i="10" s="1"/>
  <c r="G37" i="10"/>
  <c r="I37" i="10"/>
  <c r="J37" i="10"/>
  <c r="B38" i="10"/>
  <c r="D38" i="10"/>
  <c r="F38" i="10"/>
  <c r="L38" i="10" s="1"/>
  <c r="O38" i="10" s="1"/>
  <c r="G38" i="10"/>
  <c r="I38" i="10"/>
  <c r="J38" i="10"/>
  <c r="B39" i="10"/>
  <c r="D39" i="10"/>
  <c r="F39" i="10"/>
  <c r="G39" i="10"/>
  <c r="I39" i="10"/>
  <c r="J39" i="10"/>
  <c r="B40" i="10"/>
  <c r="D40" i="10"/>
  <c r="F40" i="10"/>
  <c r="K40" i="10" s="1"/>
  <c r="G40" i="10"/>
  <c r="I40" i="10"/>
  <c r="J40" i="10"/>
  <c r="B41" i="10"/>
  <c r="D41" i="10"/>
  <c r="F41" i="10"/>
  <c r="L41" i="10" s="1"/>
  <c r="O41" i="10" s="1"/>
  <c r="G41" i="10"/>
  <c r="I41" i="10"/>
  <c r="J41" i="10"/>
  <c r="B42" i="10"/>
  <c r="D42" i="10"/>
  <c r="F42" i="10"/>
  <c r="K42" i="10" s="1"/>
  <c r="G42" i="10"/>
  <c r="I42" i="10"/>
  <c r="J42" i="10"/>
  <c r="B43" i="10"/>
  <c r="D43" i="10"/>
  <c r="F43" i="10"/>
  <c r="K43" i="10" s="1"/>
  <c r="G43" i="10"/>
  <c r="I43" i="10"/>
  <c r="J43" i="10"/>
  <c r="B44" i="10"/>
  <c r="D44" i="10"/>
  <c r="F44" i="10"/>
  <c r="G44" i="10"/>
  <c r="I44" i="10"/>
  <c r="J44" i="10"/>
  <c r="B45" i="10"/>
  <c r="D45" i="10"/>
  <c r="F45" i="10"/>
  <c r="K45" i="10" s="1"/>
  <c r="G45" i="10"/>
  <c r="I45" i="10"/>
  <c r="J45" i="10"/>
  <c r="B46" i="10"/>
  <c r="D46" i="10"/>
  <c r="F46" i="10"/>
  <c r="L46" i="10" s="1"/>
  <c r="O46" i="10" s="1"/>
  <c r="G46" i="10"/>
  <c r="I46" i="10"/>
  <c r="J46" i="10"/>
  <c r="B47" i="10"/>
  <c r="D47" i="10"/>
  <c r="F47" i="10"/>
  <c r="K47" i="10" s="1"/>
  <c r="G47" i="10"/>
  <c r="I47" i="10"/>
  <c r="J47" i="10"/>
  <c r="B48" i="10"/>
  <c r="D48" i="10"/>
  <c r="F48" i="10"/>
  <c r="K48" i="10" s="1"/>
  <c r="G48" i="10"/>
  <c r="I48" i="10"/>
  <c r="J48" i="10"/>
  <c r="B49" i="10"/>
  <c r="D49" i="10"/>
  <c r="F49" i="10"/>
  <c r="L49" i="10" s="1"/>
  <c r="G49" i="10"/>
  <c r="I49" i="10"/>
  <c r="J49" i="10"/>
  <c r="B50" i="10"/>
  <c r="D50" i="10"/>
  <c r="F50" i="10"/>
  <c r="K50" i="10" s="1"/>
  <c r="G50" i="10"/>
  <c r="I50" i="10"/>
  <c r="J50" i="10"/>
  <c r="B51" i="10"/>
  <c r="D51" i="10"/>
  <c r="F51" i="10"/>
  <c r="K51" i="10" s="1"/>
  <c r="G51" i="10"/>
  <c r="I51" i="10"/>
  <c r="J51" i="10"/>
  <c r="B52" i="10"/>
  <c r="D52" i="10"/>
  <c r="F52" i="10"/>
  <c r="K52" i="10" s="1"/>
  <c r="G52" i="10"/>
  <c r="I52" i="10"/>
  <c r="J52" i="10"/>
  <c r="B53" i="10"/>
  <c r="D53" i="10"/>
  <c r="F53" i="10"/>
  <c r="K53" i="10" s="1"/>
  <c r="G53" i="10"/>
  <c r="I53" i="10"/>
  <c r="J53" i="10"/>
  <c r="B54" i="10"/>
  <c r="D54" i="10"/>
  <c r="F54" i="10"/>
  <c r="L54" i="10" s="1"/>
  <c r="G54" i="10"/>
  <c r="I54" i="10"/>
  <c r="J54" i="10"/>
  <c r="B55" i="10"/>
  <c r="D55" i="10"/>
  <c r="F55" i="10"/>
  <c r="K55" i="10" s="1"/>
  <c r="G55" i="10"/>
  <c r="I55" i="10"/>
  <c r="J55" i="10"/>
  <c r="B56" i="10"/>
  <c r="D56" i="10"/>
  <c r="F56" i="10"/>
  <c r="L56" i="10" s="1"/>
  <c r="O56" i="10" s="1"/>
  <c r="G56" i="10"/>
  <c r="I56" i="10"/>
  <c r="J56" i="10"/>
  <c r="B57" i="10"/>
  <c r="D57" i="10"/>
  <c r="F57" i="10"/>
  <c r="K57" i="10" s="1"/>
  <c r="G57" i="10"/>
  <c r="I57" i="10"/>
  <c r="J57" i="10"/>
  <c r="B58" i="10"/>
  <c r="D58" i="10"/>
  <c r="F58" i="10"/>
  <c r="K58" i="10" s="1"/>
  <c r="G58" i="10"/>
  <c r="I58" i="10"/>
  <c r="J58" i="10"/>
  <c r="B59" i="10"/>
  <c r="D59" i="10"/>
  <c r="F59" i="10"/>
  <c r="L59" i="10" s="1"/>
  <c r="G59" i="10"/>
  <c r="I59" i="10"/>
  <c r="J59" i="10"/>
  <c r="B60" i="10"/>
  <c r="D60" i="10"/>
  <c r="F60" i="10"/>
  <c r="K60" i="10" s="1"/>
  <c r="G60" i="10"/>
  <c r="I60" i="10"/>
  <c r="J60" i="10"/>
  <c r="B61" i="10"/>
  <c r="D61" i="10"/>
  <c r="F61" i="10"/>
  <c r="G61" i="10"/>
  <c r="I61" i="10"/>
  <c r="J61" i="10"/>
  <c r="B62" i="10"/>
  <c r="D62" i="10"/>
  <c r="F62" i="10"/>
  <c r="K62" i="10" s="1"/>
  <c r="G62" i="10"/>
  <c r="I62" i="10"/>
  <c r="J62" i="10"/>
  <c r="B63" i="10"/>
  <c r="D63" i="10"/>
  <c r="F63" i="10"/>
  <c r="K63" i="10" s="1"/>
  <c r="G63" i="10"/>
  <c r="I63" i="10"/>
  <c r="J63" i="10"/>
  <c r="B64" i="10"/>
  <c r="D64" i="10"/>
  <c r="F64" i="10"/>
  <c r="G64" i="10"/>
  <c r="I64" i="10"/>
  <c r="J64" i="10"/>
  <c r="B65" i="10"/>
  <c r="D65" i="10"/>
  <c r="F65" i="10"/>
  <c r="K65" i="10" s="1"/>
  <c r="G65" i="10"/>
  <c r="I65" i="10"/>
  <c r="J65" i="10"/>
  <c r="B66" i="10"/>
  <c r="D66" i="10"/>
  <c r="F66" i="10"/>
  <c r="L66" i="10" s="1"/>
  <c r="O66" i="10" s="1"/>
  <c r="G66" i="10"/>
  <c r="I66" i="10"/>
  <c r="J66" i="10"/>
  <c r="B67" i="10"/>
  <c r="D67" i="10"/>
  <c r="F67" i="10"/>
  <c r="K67" i="10" s="1"/>
  <c r="G67" i="10"/>
  <c r="I67" i="10"/>
  <c r="J67" i="10"/>
  <c r="B68" i="10"/>
  <c r="D68" i="10"/>
  <c r="F68" i="10"/>
  <c r="K68" i="10" s="1"/>
  <c r="G68" i="10"/>
  <c r="I68" i="10"/>
  <c r="J68" i="10"/>
  <c r="B69" i="10"/>
  <c r="D69" i="10"/>
  <c r="F69" i="10"/>
  <c r="G69" i="10"/>
  <c r="I69" i="10"/>
  <c r="J69" i="10"/>
  <c r="B70" i="10"/>
  <c r="D70" i="10"/>
  <c r="F70" i="10"/>
  <c r="K70" i="10" s="1"/>
  <c r="G70" i="10"/>
  <c r="I70" i="10"/>
  <c r="J70" i="10"/>
  <c r="B71" i="10"/>
  <c r="D71" i="10"/>
  <c r="F71" i="10"/>
  <c r="L71" i="10" s="1"/>
  <c r="O71" i="10" s="1"/>
  <c r="G71" i="10"/>
  <c r="I71" i="10"/>
  <c r="J71" i="10"/>
  <c r="B72" i="10"/>
  <c r="D72" i="10"/>
  <c r="F72" i="10"/>
  <c r="L72" i="10" s="1"/>
  <c r="G72" i="10"/>
  <c r="I72" i="10"/>
  <c r="J72" i="10"/>
  <c r="B73" i="10"/>
  <c r="D73" i="10"/>
  <c r="F73" i="10"/>
  <c r="K73" i="10" s="1"/>
  <c r="G73" i="10"/>
  <c r="I73" i="10"/>
  <c r="J73" i="10"/>
  <c r="B74" i="10"/>
  <c r="D74" i="10"/>
  <c r="F74" i="10"/>
  <c r="L74" i="10" s="1"/>
  <c r="G74" i="10"/>
  <c r="I74" i="10"/>
  <c r="J74" i="10"/>
  <c r="B75" i="10"/>
  <c r="D75" i="10"/>
  <c r="F75" i="10"/>
  <c r="K75" i="10" s="1"/>
  <c r="G75" i="10"/>
  <c r="I75" i="10"/>
  <c r="J75" i="10"/>
  <c r="B76" i="10"/>
  <c r="D76" i="10"/>
  <c r="F76" i="10"/>
  <c r="L76" i="10" s="1"/>
  <c r="O76" i="10" s="1"/>
  <c r="G76" i="10"/>
  <c r="I76" i="10"/>
  <c r="J76" i="10"/>
  <c r="B77" i="10"/>
  <c r="D77" i="10"/>
  <c r="F77" i="10"/>
  <c r="K77" i="10" s="1"/>
  <c r="G77" i="10"/>
  <c r="I77" i="10"/>
  <c r="J77" i="10"/>
  <c r="B78" i="10"/>
  <c r="D78" i="10"/>
  <c r="F78" i="10"/>
  <c r="K78" i="10" s="1"/>
  <c r="G78" i="10"/>
  <c r="I78" i="10"/>
  <c r="J78" i="10"/>
  <c r="B79" i="10"/>
  <c r="D79" i="10"/>
  <c r="F79" i="10"/>
  <c r="G79" i="10"/>
  <c r="I79" i="10"/>
  <c r="J79" i="10"/>
  <c r="B80" i="10"/>
  <c r="D80" i="10"/>
  <c r="F80" i="10"/>
  <c r="K80" i="10" s="1"/>
  <c r="G80" i="10"/>
  <c r="I80" i="10"/>
  <c r="J80" i="10"/>
  <c r="B81" i="10"/>
  <c r="D81" i="10"/>
  <c r="F81" i="10"/>
  <c r="L81" i="10" s="1"/>
  <c r="O81" i="10" s="1"/>
  <c r="G81" i="10"/>
  <c r="I81" i="10"/>
  <c r="J81" i="10"/>
  <c r="B82" i="10"/>
  <c r="D82" i="10"/>
  <c r="F82" i="10"/>
  <c r="L82" i="10" s="1"/>
  <c r="G82" i="10"/>
  <c r="I82" i="10"/>
  <c r="J82" i="10"/>
  <c r="B83" i="10"/>
  <c r="D83" i="10"/>
  <c r="F83" i="10"/>
  <c r="K83" i="10" s="1"/>
  <c r="Q83" i="10" s="1"/>
  <c r="G83" i="10"/>
  <c r="I83" i="10"/>
  <c r="J83" i="10"/>
  <c r="B84" i="10"/>
  <c r="D84" i="10"/>
  <c r="F84" i="10"/>
  <c r="K84" i="10" s="1"/>
  <c r="G84" i="10"/>
  <c r="I84" i="10"/>
  <c r="J84" i="10"/>
  <c r="B85" i="10"/>
  <c r="D85" i="10"/>
  <c r="F85" i="10"/>
  <c r="K85" i="10" s="1"/>
  <c r="G85" i="10"/>
  <c r="I85" i="10"/>
  <c r="J85" i="10"/>
  <c r="B86" i="10"/>
  <c r="D86" i="10"/>
  <c r="F86" i="10"/>
  <c r="G86" i="10"/>
  <c r="I86" i="10"/>
  <c r="J86" i="10"/>
  <c r="B87" i="10"/>
  <c r="D87" i="10"/>
  <c r="F87" i="10"/>
  <c r="L87" i="10" s="1"/>
  <c r="G87" i="10"/>
  <c r="I87" i="10"/>
  <c r="J87" i="10"/>
  <c r="B88" i="10"/>
  <c r="D88" i="10"/>
  <c r="F88" i="10"/>
  <c r="G88" i="10"/>
  <c r="I88" i="10"/>
  <c r="J88" i="10"/>
  <c r="B89" i="10"/>
  <c r="D89" i="10"/>
  <c r="F89" i="10"/>
  <c r="L89" i="10" s="1"/>
  <c r="G89" i="10"/>
  <c r="I89" i="10"/>
  <c r="J89" i="10"/>
  <c r="B90" i="10"/>
  <c r="D90" i="10"/>
  <c r="F90" i="10"/>
  <c r="G90" i="10"/>
  <c r="I90" i="10"/>
  <c r="J90" i="10"/>
  <c r="B91" i="10"/>
  <c r="D91" i="10"/>
  <c r="F91" i="10"/>
  <c r="G91" i="10"/>
  <c r="I91" i="10"/>
  <c r="J91" i="10"/>
  <c r="B92" i="10"/>
  <c r="D92" i="10"/>
  <c r="F92" i="10"/>
  <c r="K92" i="10" s="1"/>
  <c r="G92" i="10"/>
  <c r="I92" i="10"/>
  <c r="J92" i="10"/>
  <c r="B93" i="10"/>
  <c r="D93" i="10"/>
  <c r="F93" i="10"/>
  <c r="K93" i="10" s="1"/>
  <c r="Q93" i="10" s="1"/>
  <c r="G93" i="10"/>
  <c r="I93" i="10"/>
  <c r="J93" i="10"/>
  <c r="B94" i="10"/>
  <c r="D94" i="10"/>
  <c r="F94" i="10"/>
  <c r="K94" i="10" s="1"/>
  <c r="G94" i="10"/>
  <c r="I94" i="10"/>
  <c r="J94" i="10"/>
  <c r="B95" i="10"/>
  <c r="D95" i="10"/>
  <c r="F95" i="10"/>
  <c r="K95" i="10" s="1"/>
  <c r="G95" i="10"/>
  <c r="I95" i="10"/>
  <c r="J95" i="10"/>
  <c r="B96" i="10"/>
  <c r="D96" i="10"/>
  <c r="F96" i="10"/>
  <c r="K96" i="10" s="1"/>
  <c r="G96" i="10"/>
  <c r="I96" i="10"/>
  <c r="J96" i="10"/>
  <c r="B97" i="10"/>
  <c r="D97" i="10"/>
  <c r="F97" i="10"/>
  <c r="K97" i="10" s="1"/>
  <c r="Q97" i="10" s="1"/>
  <c r="G97" i="10"/>
  <c r="I97" i="10"/>
  <c r="J97" i="10"/>
  <c r="B98" i="10"/>
  <c r="D98" i="10"/>
  <c r="F98" i="10"/>
  <c r="K98" i="10" s="1"/>
  <c r="G98" i="10"/>
  <c r="I98" i="10"/>
  <c r="J98" i="10"/>
  <c r="B99" i="10"/>
  <c r="D99" i="10"/>
  <c r="F99" i="10"/>
  <c r="K99" i="10" s="1"/>
  <c r="G99" i="10"/>
  <c r="I99" i="10"/>
  <c r="J99" i="10"/>
  <c r="B100" i="10"/>
  <c r="D100" i="10"/>
  <c r="F100" i="10"/>
  <c r="L100" i="10" s="1"/>
  <c r="G100" i="10"/>
  <c r="I100" i="10"/>
  <c r="J100" i="10"/>
  <c r="B101" i="10"/>
  <c r="D101" i="10"/>
  <c r="F101" i="10"/>
  <c r="K101" i="10" s="1"/>
  <c r="G101" i="10"/>
  <c r="I101" i="10"/>
  <c r="J101" i="10"/>
  <c r="B102" i="10"/>
  <c r="D102" i="10"/>
  <c r="F102" i="10"/>
  <c r="K102" i="10" s="1"/>
  <c r="Q102" i="10" s="1"/>
  <c r="G102" i="10"/>
  <c r="I102" i="10"/>
  <c r="J102" i="10"/>
  <c r="B103" i="10"/>
  <c r="D103" i="10"/>
  <c r="F103" i="10"/>
  <c r="G103" i="10"/>
  <c r="I103" i="10"/>
  <c r="J103" i="10"/>
  <c r="B104" i="10"/>
  <c r="D104" i="10"/>
  <c r="F104" i="10"/>
  <c r="K104" i="10" s="1"/>
  <c r="Q104" i="10" s="1"/>
  <c r="G104" i="10"/>
  <c r="I104" i="10"/>
  <c r="J104" i="10"/>
  <c r="B105" i="10"/>
  <c r="D105" i="10"/>
  <c r="F105" i="10"/>
  <c r="K105" i="10" s="1"/>
  <c r="Q105" i="10" s="1"/>
  <c r="G105" i="10"/>
  <c r="I105" i="10"/>
  <c r="J105" i="10"/>
  <c r="B106" i="10"/>
  <c r="D106" i="10"/>
  <c r="F106" i="10"/>
  <c r="L106" i="10" s="1"/>
  <c r="G106" i="10"/>
  <c r="I106" i="10"/>
  <c r="J106" i="10"/>
  <c r="B107" i="10"/>
  <c r="D107" i="10"/>
  <c r="F107" i="10"/>
  <c r="G107" i="10"/>
  <c r="I107" i="10"/>
  <c r="J107" i="10"/>
  <c r="B108" i="10"/>
  <c r="D108" i="10"/>
  <c r="F108" i="10"/>
  <c r="K108" i="10" s="1"/>
  <c r="G108" i="10"/>
  <c r="I108" i="10"/>
  <c r="J108" i="10"/>
  <c r="B109" i="10"/>
  <c r="D109" i="10"/>
  <c r="F109" i="10"/>
  <c r="K109" i="10" s="1"/>
  <c r="G109" i="10"/>
  <c r="I109" i="10"/>
  <c r="J109" i="10"/>
  <c r="B110" i="10"/>
  <c r="D110" i="10"/>
  <c r="F110" i="10"/>
  <c r="L110" i="10" s="1"/>
  <c r="G110" i="10"/>
  <c r="I110" i="10"/>
  <c r="J110" i="10"/>
  <c r="B111" i="10"/>
  <c r="D111" i="10"/>
  <c r="F111" i="10"/>
  <c r="K111" i="10" s="1"/>
  <c r="G111" i="10"/>
  <c r="I111" i="10"/>
  <c r="J111" i="10"/>
  <c r="B112" i="10"/>
  <c r="D112" i="10"/>
  <c r="F112" i="10"/>
  <c r="K112" i="10" s="1"/>
  <c r="Q112" i="10" s="1"/>
  <c r="G112" i="10"/>
  <c r="I112" i="10"/>
  <c r="J112" i="10"/>
  <c r="B113" i="10"/>
  <c r="D113" i="10"/>
  <c r="F113" i="10"/>
  <c r="G113" i="10"/>
  <c r="I113" i="10"/>
  <c r="J113" i="10"/>
  <c r="B114" i="10"/>
  <c r="D114" i="10"/>
  <c r="F114" i="10"/>
  <c r="K114" i="10" s="1"/>
  <c r="Q114" i="10" s="1"/>
  <c r="G114" i="10"/>
  <c r="I114" i="10"/>
  <c r="J114" i="10"/>
  <c r="B115" i="10"/>
  <c r="D115" i="10"/>
  <c r="F115" i="10"/>
  <c r="K115" i="10" s="1"/>
  <c r="Q115" i="10" s="1"/>
  <c r="G115" i="10"/>
  <c r="I115" i="10"/>
  <c r="J115" i="10"/>
  <c r="B116" i="10"/>
  <c r="D116" i="10"/>
  <c r="F116" i="10"/>
  <c r="K116" i="10" s="1"/>
  <c r="Q116" i="10" s="1"/>
  <c r="G116" i="10"/>
  <c r="I116" i="10"/>
  <c r="J116" i="10"/>
  <c r="B117" i="10"/>
  <c r="D117" i="10"/>
  <c r="F117" i="10"/>
  <c r="G117" i="10"/>
  <c r="I117" i="10"/>
  <c r="J117" i="10"/>
  <c r="B118" i="10"/>
  <c r="D118" i="10"/>
  <c r="F118" i="10"/>
  <c r="K118" i="10" s="1"/>
  <c r="G118" i="10"/>
  <c r="I118" i="10"/>
  <c r="J118" i="10"/>
  <c r="B119" i="10"/>
  <c r="D119" i="10"/>
  <c r="F119" i="10"/>
  <c r="K119" i="10" s="1"/>
  <c r="G119" i="10"/>
  <c r="I119" i="10"/>
  <c r="J119" i="10"/>
  <c r="B120" i="10"/>
  <c r="D120" i="10"/>
  <c r="F120" i="10"/>
  <c r="K120" i="10" s="1"/>
  <c r="G120" i="10"/>
  <c r="I120" i="10"/>
  <c r="J120" i="10"/>
  <c r="B121" i="10"/>
  <c r="D121" i="10"/>
  <c r="F121" i="10"/>
  <c r="K121" i="10" s="1"/>
  <c r="G121" i="10"/>
  <c r="I121" i="10"/>
  <c r="J121" i="10"/>
  <c r="B123" i="10"/>
  <c r="D123" i="10"/>
  <c r="F123" i="10"/>
  <c r="L123" i="10" s="1"/>
  <c r="G123" i="10"/>
  <c r="I123" i="10"/>
  <c r="J123" i="10"/>
  <c r="B124" i="10"/>
  <c r="D124" i="10"/>
  <c r="F124" i="10"/>
  <c r="K124" i="10" s="1"/>
  <c r="Q124" i="10" s="1"/>
  <c r="G124" i="10"/>
  <c r="I124" i="10"/>
  <c r="J124" i="10"/>
  <c r="B125" i="10"/>
  <c r="D125" i="10"/>
  <c r="F125" i="10"/>
  <c r="K125" i="10" s="1"/>
  <c r="G125" i="10"/>
  <c r="I125" i="10"/>
  <c r="J125" i="10"/>
  <c r="B126" i="10"/>
  <c r="D126" i="10"/>
  <c r="F126" i="10"/>
  <c r="L126" i="10" s="1"/>
  <c r="G126" i="10"/>
  <c r="I126" i="10"/>
  <c r="J126" i="10"/>
  <c r="B127" i="10"/>
  <c r="D127" i="10"/>
  <c r="F127" i="10"/>
  <c r="K127" i="10" s="1"/>
  <c r="Q127" i="10" s="1"/>
  <c r="G127" i="10"/>
  <c r="I127" i="10"/>
  <c r="J127" i="10"/>
  <c r="B128" i="10"/>
  <c r="D128" i="10"/>
  <c r="F128" i="10"/>
  <c r="K128" i="10" s="1"/>
  <c r="G128" i="10"/>
  <c r="I128" i="10"/>
  <c r="J128" i="10"/>
  <c r="B129" i="10"/>
  <c r="D129" i="10"/>
  <c r="F129" i="10"/>
  <c r="G129" i="10"/>
  <c r="I129" i="10"/>
  <c r="J129" i="10"/>
  <c r="B130" i="10"/>
  <c r="D130" i="10"/>
  <c r="F130" i="10"/>
  <c r="K130" i="10" s="1"/>
  <c r="G130" i="10"/>
  <c r="I130" i="10"/>
  <c r="J130" i="10"/>
  <c r="B131" i="10"/>
  <c r="D131" i="10"/>
  <c r="F131" i="10"/>
  <c r="G131" i="10"/>
  <c r="I131" i="10"/>
  <c r="J131" i="10"/>
  <c r="B132" i="10"/>
  <c r="D132" i="10"/>
  <c r="F132" i="10"/>
  <c r="K132" i="10" s="1"/>
  <c r="G132" i="10"/>
  <c r="I132" i="10"/>
  <c r="J132" i="10"/>
  <c r="B133" i="10"/>
  <c r="D133" i="10"/>
  <c r="F133" i="10"/>
  <c r="K133" i="10" s="1"/>
  <c r="Q133" i="10" s="1"/>
  <c r="G133" i="10"/>
  <c r="I133" i="10"/>
  <c r="J133" i="10"/>
  <c r="B134" i="10"/>
  <c r="D134" i="10"/>
  <c r="F134" i="10"/>
  <c r="K134" i="10" s="1"/>
  <c r="G134" i="10"/>
  <c r="I134" i="10"/>
  <c r="J134" i="10"/>
  <c r="B135" i="10"/>
  <c r="D135" i="10"/>
  <c r="F135" i="10"/>
  <c r="K135" i="10" s="1"/>
  <c r="G135" i="10"/>
  <c r="I135" i="10"/>
  <c r="J135" i="10"/>
  <c r="B136" i="10"/>
  <c r="D136" i="10"/>
  <c r="F136" i="10"/>
  <c r="L136" i="10" s="1"/>
  <c r="G136" i="10"/>
  <c r="I136" i="10"/>
  <c r="J136" i="10"/>
  <c r="B137" i="10"/>
  <c r="D137" i="10"/>
  <c r="F137" i="10"/>
  <c r="K137" i="10" s="1"/>
  <c r="G137" i="10"/>
  <c r="I137" i="10"/>
  <c r="J137" i="10"/>
  <c r="B138" i="10"/>
  <c r="D138" i="10"/>
  <c r="F138" i="10"/>
  <c r="G138" i="10"/>
  <c r="I138" i="10"/>
  <c r="J138" i="10"/>
  <c r="B139" i="10"/>
  <c r="D139" i="10"/>
  <c r="F139" i="10"/>
  <c r="K139" i="10" s="1"/>
  <c r="G139" i="10"/>
  <c r="I139" i="10"/>
  <c r="J139" i="10"/>
  <c r="B140" i="10"/>
  <c r="D140" i="10"/>
  <c r="F140" i="10"/>
  <c r="L140" i="10" s="1"/>
  <c r="O140" i="10" s="1"/>
  <c r="G140" i="10"/>
  <c r="I140" i="10"/>
  <c r="J140" i="10"/>
  <c r="B9" i="12"/>
  <c r="D9" i="12"/>
  <c r="F9" i="12"/>
  <c r="G9" i="12"/>
  <c r="H9" i="12"/>
  <c r="I9" i="12"/>
  <c r="J9" i="12"/>
  <c r="B13" i="12"/>
  <c r="D13" i="12"/>
  <c r="F13" i="12"/>
  <c r="G13" i="12"/>
  <c r="H13" i="12"/>
  <c r="I13" i="12"/>
  <c r="J13" i="12"/>
  <c r="B14" i="12"/>
  <c r="D14" i="12"/>
  <c r="F14" i="12"/>
  <c r="G14" i="12"/>
  <c r="H14" i="12"/>
  <c r="I14" i="12"/>
  <c r="J14" i="12"/>
  <c r="B15" i="12"/>
  <c r="D15" i="12"/>
  <c r="F15" i="12"/>
  <c r="G15" i="12"/>
  <c r="H15" i="12"/>
  <c r="I15" i="12"/>
  <c r="J15" i="12"/>
  <c r="B16" i="12"/>
  <c r="D16" i="12"/>
  <c r="F16" i="12"/>
  <c r="G16" i="12"/>
  <c r="H16" i="12"/>
  <c r="I16" i="12"/>
  <c r="J16" i="12"/>
  <c r="B17" i="12"/>
  <c r="D17" i="12"/>
  <c r="F17" i="12"/>
  <c r="G17" i="12"/>
  <c r="H17" i="12"/>
  <c r="I17" i="12"/>
  <c r="J17" i="12"/>
  <c r="B18" i="12"/>
  <c r="D18" i="12"/>
  <c r="F18" i="12"/>
  <c r="G18" i="12"/>
  <c r="H18" i="12"/>
  <c r="I18" i="12"/>
  <c r="J18" i="12"/>
  <c r="B19" i="12"/>
  <c r="D19" i="12"/>
  <c r="F19" i="12"/>
  <c r="G19" i="12"/>
  <c r="H19" i="12"/>
  <c r="I19" i="12"/>
  <c r="J19" i="12"/>
  <c r="B20" i="12"/>
  <c r="D20" i="12"/>
  <c r="F20" i="12"/>
  <c r="G20" i="12"/>
  <c r="H20" i="12"/>
  <c r="I20" i="12"/>
  <c r="J20" i="12"/>
  <c r="B21" i="12"/>
  <c r="D21" i="12"/>
  <c r="F21" i="12"/>
  <c r="G21" i="12"/>
  <c r="H21" i="12"/>
  <c r="I21" i="12"/>
  <c r="J21" i="12"/>
  <c r="B22" i="12"/>
  <c r="D22" i="12"/>
  <c r="F22" i="12"/>
  <c r="G22" i="12"/>
  <c r="H22" i="12"/>
  <c r="I22" i="12"/>
  <c r="J22" i="12"/>
  <c r="B23" i="12"/>
  <c r="D23" i="12"/>
  <c r="F23" i="12"/>
  <c r="G23" i="12"/>
  <c r="H23" i="12"/>
  <c r="I23" i="12"/>
  <c r="J23" i="12"/>
  <c r="B24" i="12"/>
  <c r="D24" i="12"/>
  <c r="F24" i="12"/>
  <c r="G24" i="12"/>
  <c r="H24" i="12"/>
  <c r="I24" i="12"/>
  <c r="J24" i="12"/>
  <c r="B25" i="12"/>
  <c r="D25" i="12"/>
  <c r="F25" i="12"/>
  <c r="G25" i="12"/>
  <c r="H25" i="12"/>
  <c r="I25" i="12"/>
  <c r="J25" i="12"/>
  <c r="B26" i="12"/>
  <c r="D26" i="12"/>
  <c r="F26" i="12"/>
  <c r="G26" i="12"/>
  <c r="H26" i="12"/>
  <c r="I26" i="12"/>
  <c r="J26" i="12"/>
  <c r="B27" i="12"/>
  <c r="D27" i="12"/>
  <c r="F27" i="12"/>
  <c r="G27" i="12"/>
  <c r="H27" i="12"/>
  <c r="I27" i="12"/>
  <c r="J27" i="12"/>
  <c r="B28" i="12"/>
  <c r="D28" i="12"/>
  <c r="F28" i="12"/>
  <c r="G28" i="12"/>
  <c r="H28" i="12"/>
  <c r="I28" i="12"/>
  <c r="J28" i="12"/>
  <c r="B29" i="12"/>
  <c r="D29" i="12"/>
  <c r="F29" i="12"/>
  <c r="G29" i="12"/>
  <c r="H29" i="12"/>
  <c r="I29" i="12"/>
  <c r="J29" i="12"/>
  <c r="B30" i="12"/>
  <c r="D30" i="12"/>
  <c r="F30" i="12"/>
  <c r="G30" i="12"/>
  <c r="H30" i="12"/>
  <c r="I30" i="12"/>
  <c r="J30" i="12"/>
  <c r="B31" i="12"/>
  <c r="D31" i="12"/>
  <c r="F31" i="12"/>
  <c r="G31" i="12"/>
  <c r="H31" i="12"/>
  <c r="I31" i="12"/>
  <c r="J31" i="12"/>
  <c r="B32" i="12"/>
  <c r="D32" i="12"/>
  <c r="F32" i="12"/>
  <c r="G32" i="12"/>
  <c r="H32" i="12"/>
  <c r="I32" i="12"/>
  <c r="J32" i="12"/>
  <c r="B33" i="12"/>
  <c r="D33" i="12"/>
  <c r="F33" i="12"/>
  <c r="G33" i="12"/>
  <c r="H33" i="12"/>
  <c r="I33" i="12"/>
  <c r="J33" i="12"/>
  <c r="B34" i="12"/>
  <c r="D34" i="12"/>
  <c r="F34" i="12"/>
  <c r="G34" i="12"/>
  <c r="H34" i="12"/>
  <c r="I34" i="12"/>
  <c r="J34" i="12"/>
  <c r="B35" i="12"/>
  <c r="D35" i="12"/>
  <c r="F35" i="12"/>
  <c r="G35" i="12"/>
  <c r="H35" i="12"/>
  <c r="I35" i="12"/>
  <c r="J35" i="12"/>
  <c r="B36" i="12"/>
  <c r="D36" i="12"/>
  <c r="F36" i="12"/>
  <c r="G36" i="12"/>
  <c r="H36" i="12"/>
  <c r="I36" i="12"/>
  <c r="J36" i="12"/>
  <c r="B37" i="12"/>
  <c r="D37" i="12"/>
  <c r="F37" i="12"/>
  <c r="G37" i="12"/>
  <c r="H37" i="12"/>
  <c r="I37" i="12"/>
  <c r="J37" i="12"/>
  <c r="B38" i="12"/>
  <c r="D38" i="12"/>
  <c r="F38" i="12"/>
  <c r="G38" i="12"/>
  <c r="H38" i="12"/>
  <c r="I38" i="12"/>
  <c r="J38" i="12"/>
  <c r="B39" i="12"/>
  <c r="D39" i="12"/>
  <c r="F39" i="12"/>
  <c r="G39" i="12"/>
  <c r="H39" i="12"/>
  <c r="I39" i="12"/>
  <c r="J39" i="12"/>
  <c r="B40" i="12"/>
  <c r="D40" i="12"/>
  <c r="F40" i="12"/>
  <c r="G40" i="12"/>
  <c r="H40" i="12"/>
  <c r="I40" i="12"/>
  <c r="J40" i="12"/>
  <c r="B41" i="12"/>
  <c r="D41" i="12"/>
  <c r="F41" i="12"/>
  <c r="G41" i="12"/>
  <c r="H41" i="12"/>
  <c r="I41" i="12"/>
  <c r="J41" i="12"/>
  <c r="B42" i="12"/>
  <c r="D42" i="12"/>
  <c r="F42" i="12"/>
  <c r="G42" i="12"/>
  <c r="H42" i="12"/>
  <c r="I42" i="12"/>
  <c r="J42" i="12"/>
  <c r="B43" i="12"/>
  <c r="D43" i="12"/>
  <c r="F43" i="12"/>
  <c r="G43" i="12"/>
  <c r="H43" i="12"/>
  <c r="I43" i="12"/>
  <c r="J43" i="12"/>
  <c r="B44" i="12"/>
  <c r="D44" i="12"/>
  <c r="F44" i="12"/>
  <c r="G44" i="12"/>
  <c r="H44" i="12"/>
  <c r="I44" i="12"/>
  <c r="J44" i="12"/>
  <c r="B45" i="12"/>
  <c r="D45" i="12"/>
  <c r="F45" i="12"/>
  <c r="G45" i="12"/>
  <c r="H45" i="12"/>
  <c r="I45" i="12"/>
  <c r="J45" i="12"/>
  <c r="B46" i="12"/>
  <c r="D46" i="12"/>
  <c r="F46" i="12"/>
  <c r="G46" i="12"/>
  <c r="H46" i="12"/>
  <c r="I46" i="12"/>
  <c r="J46" i="12"/>
  <c r="B47" i="12"/>
  <c r="D47" i="12"/>
  <c r="F47" i="12"/>
  <c r="G47" i="12"/>
  <c r="H47" i="12"/>
  <c r="I47" i="12"/>
  <c r="J47" i="12"/>
  <c r="B48" i="12"/>
  <c r="D48" i="12"/>
  <c r="F48" i="12"/>
  <c r="G48" i="12"/>
  <c r="H48" i="12"/>
  <c r="I48" i="12"/>
  <c r="J48" i="12"/>
  <c r="B49" i="12"/>
  <c r="D49" i="12"/>
  <c r="F49" i="12"/>
  <c r="G49" i="12"/>
  <c r="H49" i="12"/>
  <c r="I49" i="12"/>
  <c r="J49" i="12"/>
  <c r="B50" i="12"/>
  <c r="D50" i="12"/>
  <c r="F50" i="12"/>
  <c r="G50" i="12"/>
  <c r="H50" i="12"/>
  <c r="I50" i="12"/>
  <c r="J50" i="12"/>
  <c r="B51" i="12"/>
  <c r="D51" i="12"/>
  <c r="F51" i="12"/>
  <c r="G51" i="12"/>
  <c r="H51" i="12"/>
  <c r="I51" i="12"/>
  <c r="J51" i="12"/>
  <c r="B52" i="12"/>
  <c r="D52" i="12"/>
  <c r="F52" i="12"/>
  <c r="G52" i="12"/>
  <c r="H52" i="12"/>
  <c r="I52" i="12"/>
  <c r="J52" i="12"/>
  <c r="B53" i="12"/>
  <c r="D53" i="12"/>
  <c r="F53" i="12"/>
  <c r="G53" i="12"/>
  <c r="H53" i="12"/>
  <c r="I53" i="12"/>
  <c r="J53" i="12"/>
  <c r="B54" i="12"/>
  <c r="D54" i="12"/>
  <c r="F54" i="12"/>
  <c r="G54" i="12"/>
  <c r="H54" i="12"/>
  <c r="I54" i="12"/>
  <c r="J54" i="12"/>
  <c r="B55" i="12"/>
  <c r="D55" i="12"/>
  <c r="F55" i="12"/>
  <c r="G55" i="12"/>
  <c r="H55" i="12"/>
  <c r="I55" i="12"/>
  <c r="J55" i="12"/>
  <c r="B56" i="12"/>
  <c r="D56" i="12"/>
  <c r="F56" i="12"/>
  <c r="G56" i="12"/>
  <c r="H56" i="12"/>
  <c r="I56" i="12"/>
  <c r="J56" i="12"/>
  <c r="B57" i="12"/>
  <c r="D57" i="12"/>
  <c r="F57" i="12"/>
  <c r="G57" i="12"/>
  <c r="H57" i="12"/>
  <c r="I57" i="12"/>
  <c r="J57" i="12"/>
  <c r="B58" i="12"/>
  <c r="D58" i="12"/>
  <c r="F58" i="12"/>
  <c r="G58" i="12"/>
  <c r="H58" i="12"/>
  <c r="I58" i="12"/>
  <c r="J58" i="12"/>
  <c r="B59" i="12"/>
  <c r="D59" i="12"/>
  <c r="F59" i="12"/>
  <c r="G59" i="12"/>
  <c r="H59" i="12"/>
  <c r="I59" i="12"/>
  <c r="J59" i="12"/>
  <c r="B60" i="12"/>
  <c r="D60" i="12"/>
  <c r="F60" i="12"/>
  <c r="G60" i="12"/>
  <c r="H60" i="12"/>
  <c r="I60" i="12"/>
  <c r="J60" i="12"/>
  <c r="B61" i="12"/>
  <c r="D61" i="12"/>
  <c r="F61" i="12"/>
  <c r="G61" i="12"/>
  <c r="H61" i="12"/>
  <c r="I61" i="12"/>
  <c r="J61" i="12"/>
  <c r="B62" i="12"/>
  <c r="D62" i="12"/>
  <c r="F62" i="12"/>
  <c r="G62" i="12"/>
  <c r="H62" i="12"/>
  <c r="I62" i="12"/>
  <c r="J62" i="12"/>
  <c r="B63" i="12"/>
  <c r="D63" i="12"/>
  <c r="F63" i="12"/>
  <c r="G63" i="12"/>
  <c r="H63" i="12"/>
  <c r="I63" i="12"/>
  <c r="J63" i="12"/>
  <c r="B64" i="12"/>
  <c r="D64" i="12"/>
  <c r="F64" i="12"/>
  <c r="G64" i="12"/>
  <c r="H64" i="12"/>
  <c r="I64" i="12"/>
  <c r="J64" i="12"/>
  <c r="B65" i="12"/>
  <c r="D65" i="12"/>
  <c r="F65" i="12"/>
  <c r="G65" i="12"/>
  <c r="H65" i="12"/>
  <c r="I65" i="12"/>
  <c r="J65" i="12"/>
  <c r="B66" i="12"/>
  <c r="D66" i="12"/>
  <c r="F66" i="12"/>
  <c r="G66" i="12"/>
  <c r="H66" i="12"/>
  <c r="I66" i="12"/>
  <c r="J66" i="12"/>
  <c r="B67" i="12"/>
  <c r="D67" i="12"/>
  <c r="F67" i="12"/>
  <c r="G67" i="12"/>
  <c r="H67" i="12"/>
  <c r="I67" i="12"/>
  <c r="J67" i="12"/>
  <c r="B68" i="12"/>
  <c r="D68" i="12"/>
  <c r="F68" i="12"/>
  <c r="G68" i="12"/>
  <c r="H68" i="12"/>
  <c r="I68" i="12"/>
  <c r="J68" i="12"/>
  <c r="B69" i="12"/>
  <c r="D69" i="12"/>
  <c r="F69" i="12"/>
  <c r="G69" i="12"/>
  <c r="H69" i="12"/>
  <c r="I69" i="12"/>
  <c r="J69" i="12"/>
  <c r="B70" i="12"/>
  <c r="D70" i="12"/>
  <c r="F70" i="12"/>
  <c r="G70" i="12"/>
  <c r="H70" i="12"/>
  <c r="I70" i="12"/>
  <c r="J70" i="12"/>
  <c r="B71" i="12"/>
  <c r="D71" i="12"/>
  <c r="F71" i="12"/>
  <c r="G71" i="12"/>
  <c r="H71" i="12"/>
  <c r="I71" i="12"/>
  <c r="J71" i="12"/>
  <c r="B72" i="12"/>
  <c r="D72" i="12"/>
  <c r="F72" i="12"/>
  <c r="G72" i="12"/>
  <c r="H72" i="12"/>
  <c r="I72" i="12"/>
  <c r="J72" i="12"/>
  <c r="B73" i="12"/>
  <c r="D73" i="12"/>
  <c r="F73" i="12"/>
  <c r="G73" i="12"/>
  <c r="H73" i="12"/>
  <c r="I73" i="12"/>
  <c r="J73" i="12"/>
  <c r="B74" i="12"/>
  <c r="D74" i="12"/>
  <c r="F74" i="12"/>
  <c r="G74" i="12"/>
  <c r="H74" i="12"/>
  <c r="I74" i="12"/>
  <c r="J74" i="12"/>
  <c r="B75" i="12"/>
  <c r="D75" i="12"/>
  <c r="F75" i="12"/>
  <c r="G75" i="12"/>
  <c r="H75" i="12"/>
  <c r="I75" i="12"/>
  <c r="J75" i="12"/>
  <c r="B76" i="12"/>
  <c r="D76" i="12"/>
  <c r="F76" i="12"/>
  <c r="G76" i="12"/>
  <c r="H76" i="12"/>
  <c r="I76" i="12"/>
  <c r="J76" i="12"/>
  <c r="B77" i="12"/>
  <c r="D77" i="12"/>
  <c r="F77" i="12"/>
  <c r="G77" i="12"/>
  <c r="H77" i="12"/>
  <c r="I77" i="12"/>
  <c r="J77" i="12"/>
  <c r="B78" i="12"/>
  <c r="D78" i="12"/>
  <c r="F78" i="12"/>
  <c r="G78" i="12"/>
  <c r="H78" i="12"/>
  <c r="I78" i="12"/>
  <c r="J78" i="12"/>
  <c r="B79" i="12"/>
  <c r="D79" i="12"/>
  <c r="F79" i="12"/>
  <c r="G79" i="12"/>
  <c r="H79" i="12"/>
  <c r="I79" i="12"/>
  <c r="J79" i="12"/>
  <c r="B80" i="12"/>
  <c r="D80" i="12"/>
  <c r="F80" i="12"/>
  <c r="G80" i="12"/>
  <c r="H80" i="12"/>
  <c r="I80" i="12"/>
  <c r="J80" i="12"/>
  <c r="B81" i="12"/>
  <c r="D81" i="12"/>
  <c r="F81" i="12"/>
  <c r="G81" i="12"/>
  <c r="H81" i="12"/>
  <c r="I81" i="12"/>
  <c r="J81" i="12"/>
  <c r="B82" i="12"/>
  <c r="D82" i="12"/>
  <c r="F82" i="12"/>
  <c r="G82" i="12"/>
  <c r="H82" i="12"/>
  <c r="I82" i="12"/>
  <c r="J82" i="12"/>
  <c r="B83" i="12"/>
  <c r="D83" i="12"/>
  <c r="F83" i="12"/>
  <c r="G83" i="12"/>
  <c r="H83" i="12"/>
  <c r="I83" i="12"/>
  <c r="J83" i="12"/>
  <c r="B84" i="12"/>
  <c r="D84" i="12"/>
  <c r="F84" i="12"/>
  <c r="G84" i="12"/>
  <c r="H84" i="12"/>
  <c r="I84" i="12"/>
  <c r="J84" i="12"/>
  <c r="B85" i="12"/>
  <c r="D85" i="12"/>
  <c r="F85" i="12"/>
  <c r="G85" i="12"/>
  <c r="H85" i="12"/>
  <c r="I85" i="12"/>
  <c r="J85" i="12"/>
  <c r="B86" i="12"/>
  <c r="D86" i="12"/>
  <c r="F86" i="12"/>
  <c r="G86" i="12"/>
  <c r="H86" i="12"/>
  <c r="I86" i="12"/>
  <c r="J86" i="12"/>
  <c r="B87" i="12"/>
  <c r="D87" i="12"/>
  <c r="F87" i="12"/>
  <c r="G87" i="12"/>
  <c r="H87" i="12"/>
  <c r="I87" i="12"/>
  <c r="J87" i="12"/>
  <c r="B88" i="12"/>
  <c r="D88" i="12"/>
  <c r="F88" i="12"/>
  <c r="G88" i="12"/>
  <c r="H88" i="12"/>
  <c r="I88" i="12"/>
  <c r="J88" i="12"/>
  <c r="B89" i="12"/>
  <c r="D89" i="12"/>
  <c r="F89" i="12"/>
  <c r="G89" i="12"/>
  <c r="H89" i="12"/>
  <c r="I89" i="12"/>
  <c r="J89" i="12"/>
  <c r="B90" i="12"/>
  <c r="D90" i="12"/>
  <c r="F90" i="12"/>
  <c r="G90" i="12"/>
  <c r="H90" i="12"/>
  <c r="I90" i="12"/>
  <c r="J90" i="12"/>
  <c r="B91" i="12"/>
  <c r="D91" i="12"/>
  <c r="F91" i="12"/>
  <c r="G91" i="12"/>
  <c r="H91" i="12"/>
  <c r="I91" i="12"/>
  <c r="J91" i="12"/>
  <c r="B92" i="12"/>
  <c r="D92" i="12"/>
  <c r="F92" i="12"/>
  <c r="G92" i="12"/>
  <c r="H92" i="12"/>
  <c r="I92" i="12"/>
  <c r="J92" i="12"/>
  <c r="B93" i="12"/>
  <c r="D93" i="12"/>
  <c r="F93" i="12"/>
  <c r="G93" i="12"/>
  <c r="H93" i="12"/>
  <c r="I93" i="12"/>
  <c r="J93" i="12"/>
  <c r="B94" i="12"/>
  <c r="D94" i="12"/>
  <c r="F94" i="12"/>
  <c r="G94" i="12"/>
  <c r="H94" i="12"/>
  <c r="I94" i="12"/>
  <c r="J94" i="12"/>
  <c r="B95" i="12"/>
  <c r="D95" i="12"/>
  <c r="F95" i="12"/>
  <c r="G95" i="12"/>
  <c r="H95" i="12"/>
  <c r="I95" i="12"/>
  <c r="J95" i="12"/>
  <c r="B96" i="12"/>
  <c r="D96" i="12"/>
  <c r="F96" i="12"/>
  <c r="G96" i="12"/>
  <c r="H96" i="12"/>
  <c r="I96" i="12"/>
  <c r="J96" i="12"/>
  <c r="B97" i="12"/>
  <c r="D97" i="12"/>
  <c r="F97" i="12"/>
  <c r="G97" i="12"/>
  <c r="H97" i="12"/>
  <c r="I97" i="12"/>
  <c r="J97" i="12"/>
  <c r="B98" i="12"/>
  <c r="D98" i="12"/>
  <c r="F98" i="12"/>
  <c r="G98" i="12"/>
  <c r="H98" i="12"/>
  <c r="I98" i="12"/>
  <c r="J98" i="12"/>
  <c r="B99" i="12"/>
  <c r="D99" i="12"/>
  <c r="F99" i="12"/>
  <c r="G99" i="12"/>
  <c r="H99" i="12"/>
  <c r="I99" i="12"/>
  <c r="J99" i="12"/>
  <c r="B100" i="12"/>
  <c r="D100" i="12"/>
  <c r="F100" i="12"/>
  <c r="G100" i="12"/>
  <c r="H100" i="12"/>
  <c r="I100" i="12"/>
  <c r="J100" i="12"/>
  <c r="B101" i="12"/>
  <c r="D101" i="12"/>
  <c r="F101" i="12"/>
  <c r="G101" i="12"/>
  <c r="H101" i="12"/>
  <c r="I101" i="12"/>
  <c r="J101" i="12"/>
  <c r="B102" i="12"/>
  <c r="D102" i="12"/>
  <c r="F102" i="12"/>
  <c r="G102" i="12"/>
  <c r="H102" i="12"/>
  <c r="I102" i="12"/>
  <c r="J102" i="12"/>
  <c r="B103" i="12"/>
  <c r="D103" i="12"/>
  <c r="F103" i="12"/>
  <c r="G103" i="12"/>
  <c r="H103" i="12"/>
  <c r="I103" i="12"/>
  <c r="J103" i="12"/>
  <c r="B104" i="12"/>
  <c r="D104" i="12"/>
  <c r="F104" i="12"/>
  <c r="G104" i="12"/>
  <c r="H104" i="12"/>
  <c r="I104" i="12"/>
  <c r="J104" i="12"/>
  <c r="B105" i="12"/>
  <c r="D105" i="12"/>
  <c r="F105" i="12"/>
  <c r="G105" i="12"/>
  <c r="H105" i="12"/>
  <c r="I105" i="12"/>
  <c r="J105" i="12"/>
  <c r="B106" i="12"/>
  <c r="D106" i="12"/>
  <c r="F106" i="12"/>
  <c r="G106" i="12"/>
  <c r="H106" i="12"/>
  <c r="I106" i="12"/>
  <c r="J106" i="12"/>
  <c r="B107" i="12"/>
  <c r="D107" i="12"/>
  <c r="F107" i="12"/>
  <c r="G107" i="12"/>
  <c r="H107" i="12"/>
  <c r="I107" i="12"/>
  <c r="J107" i="12"/>
  <c r="B108" i="12"/>
  <c r="D108" i="12"/>
  <c r="F108" i="12"/>
  <c r="G108" i="12"/>
  <c r="H108" i="12"/>
  <c r="I108" i="12"/>
  <c r="J108" i="12"/>
  <c r="B109" i="12"/>
  <c r="D109" i="12"/>
  <c r="F109" i="12"/>
  <c r="G109" i="12"/>
  <c r="H109" i="12"/>
  <c r="I109" i="12"/>
  <c r="J109" i="12"/>
  <c r="B110" i="12"/>
  <c r="D110" i="12"/>
  <c r="F110" i="12"/>
  <c r="G110" i="12"/>
  <c r="H110" i="12"/>
  <c r="I110" i="12"/>
  <c r="J110" i="12"/>
  <c r="B111" i="12"/>
  <c r="D111" i="12"/>
  <c r="F111" i="12"/>
  <c r="G111" i="12"/>
  <c r="H111" i="12"/>
  <c r="I111" i="12"/>
  <c r="J111" i="12"/>
  <c r="B112" i="12"/>
  <c r="D112" i="12"/>
  <c r="F112" i="12"/>
  <c r="G112" i="12"/>
  <c r="H112" i="12"/>
  <c r="I112" i="12"/>
  <c r="J112" i="12"/>
  <c r="B113" i="12"/>
  <c r="D113" i="12"/>
  <c r="F113" i="12"/>
  <c r="G113" i="12"/>
  <c r="H113" i="12"/>
  <c r="I113" i="12"/>
  <c r="J113" i="12"/>
  <c r="B114" i="12"/>
  <c r="D114" i="12"/>
  <c r="F114" i="12"/>
  <c r="G114" i="12"/>
  <c r="H114" i="12"/>
  <c r="I114" i="12"/>
  <c r="J114" i="12"/>
  <c r="B115" i="12"/>
  <c r="D115" i="12"/>
  <c r="F115" i="12"/>
  <c r="G115" i="12"/>
  <c r="H115" i="12"/>
  <c r="I115" i="12"/>
  <c r="J115" i="12"/>
  <c r="B116" i="12"/>
  <c r="D116" i="12"/>
  <c r="F116" i="12"/>
  <c r="G116" i="12"/>
  <c r="H116" i="12"/>
  <c r="I116" i="12"/>
  <c r="J116" i="12"/>
  <c r="B117" i="12"/>
  <c r="D117" i="12"/>
  <c r="F117" i="12"/>
  <c r="G117" i="12"/>
  <c r="H117" i="12"/>
  <c r="I117" i="12"/>
  <c r="J117" i="12"/>
  <c r="B118" i="12"/>
  <c r="D118" i="12"/>
  <c r="F118" i="12"/>
  <c r="G118" i="12"/>
  <c r="H118" i="12"/>
  <c r="I118" i="12"/>
  <c r="J118" i="12"/>
  <c r="B119" i="12"/>
  <c r="D119" i="12"/>
  <c r="F119" i="12"/>
  <c r="G119" i="12"/>
  <c r="H119" i="12"/>
  <c r="I119" i="12"/>
  <c r="J119" i="12"/>
  <c r="B120" i="12"/>
  <c r="D120" i="12"/>
  <c r="F120" i="12"/>
  <c r="G120" i="12"/>
  <c r="H120" i="12"/>
  <c r="I120" i="12"/>
  <c r="J120" i="12"/>
  <c r="B121" i="12"/>
  <c r="D121" i="12"/>
  <c r="F121" i="12"/>
  <c r="G121" i="12"/>
  <c r="H121" i="12"/>
  <c r="I121" i="12"/>
  <c r="J121" i="12"/>
  <c r="B123" i="12"/>
  <c r="D123" i="12"/>
  <c r="F123" i="12"/>
  <c r="G123" i="12"/>
  <c r="H123" i="12"/>
  <c r="I123" i="12"/>
  <c r="J123" i="12"/>
  <c r="B124" i="12"/>
  <c r="D124" i="12"/>
  <c r="F124" i="12"/>
  <c r="G124" i="12"/>
  <c r="H124" i="12"/>
  <c r="I124" i="12"/>
  <c r="J124" i="12"/>
  <c r="B125" i="12"/>
  <c r="D125" i="12"/>
  <c r="F125" i="12"/>
  <c r="G125" i="12"/>
  <c r="H125" i="12"/>
  <c r="I125" i="12"/>
  <c r="J125" i="12"/>
  <c r="B126" i="12"/>
  <c r="D126" i="12"/>
  <c r="F126" i="12"/>
  <c r="G126" i="12"/>
  <c r="H126" i="12"/>
  <c r="I126" i="12"/>
  <c r="J126" i="12"/>
  <c r="B127" i="12"/>
  <c r="D127" i="12"/>
  <c r="F127" i="12"/>
  <c r="G127" i="12"/>
  <c r="H127" i="12"/>
  <c r="I127" i="12"/>
  <c r="J127" i="12"/>
  <c r="B128" i="12"/>
  <c r="D128" i="12"/>
  <c r="F128" i="12"/>
  <c r="G128" i="12"/>
  <c r="H128" i="12"/>
  <c r="I128" i="12"/>
  <c r="J128" i="12"/>
  <c r="B129" i="12"/>
  <c r="D129" i="12"/>
  <c r="F129" i="12"/>
  <c r="G129" i="12"/>
  <c r="H129" i="12"/>
  <c r="I129" i="12"/>
  <c r="J129" i="12"/>
  <c r="B130" i="12"/>
  <c r="D130" i="12"/>
  <c r="F130" i="12"/>
  <c r="G130" i="12"/>
  <c r="H130" i="12"/>
  <c r="I130" i="12"/>
  <c r="J130" i="12"/>
  <c r="B131" i="12"/>
  <c r="D131" i="12"/>
  <c r="F131" i="12"/>
  <c r="G131" i="12"/>
  <c r="H131" i="12"/>
  <c r="I131" i="12"/>
  <c r="J131" i="12"/>
  <c r="B132" i="12"/>
  <c r="D132" i="12"/>
  <c r="F132" i="12"/>
  <c r="G132" i="12"/>
  <c r="H132" i="12"/>
  <c r="I132" i="12"/>
  <c r="J132" i="12"/>
  <c r="B133" i="12"/>
  <c r="D133" i="12"/>
  <c r="F133" i="12"/>
  <c r="G133" i="12"/>
  <c r="H133" i="12"/>
  <c r="I133" i="12"/>
  <c r="J133" i="12"/>
  <c r="B134" i="12"/>
  <c r="D134" i="12"/>
  <c r="F134" i="12"/>
  <c r="G134" i="12"/>
  <c r="H134" i="12"/>
  <c r="I134" i="12"/>
  <c r="J134" i="12"/>
  <c r="B135" i="12"/>
  <c r="D135" i="12"/>
  <c r="F135" i="12"/>
  <c r="G135" i="12"/>
  <c r="H135" i="12"/>
  <c r="I135" i="12"/>
  <c r="J135" i="12"/>
  <c r="B136" i="12"/>
  <c r="D136" i="12"/>
  <c r="F136" i="12"/>
  <c r="G136" i="12"/>
  <c r="H136" i="12"/>
  <c r="I136" i="12"/>
  <c r="J136" i="12"/>
  <c r="B137" i="12"/>
  <c r="D137" i="12"/>
  <c r="F137" i="12"/>
  <c r="G137" i="12"/>
  <c r="H137" i="12"/>
  <c r="I137" i="12"/>
  <c r="J137" i="12"/>
  <c r="B138" i="12"/>
  <c r="D138" i="12"/>
  <c r="F138" i="12"/>
  <c r="G138" i="12"/>
  <c r="H138" i="12"/>
  <c r="I138" i="12"/>
  <c r="J138" i="12"/>
  <c r="B139" i="12"/>
  <c r="D139" i="12"/>
  <c r="F139" i="12"/>
  <c r="G139" i="12"/>
  <c r="H139" i="12"/>
  <c r="I139" i="12"/>
  <c r="J139" i="12"/>
  <c r="B140" i="12"/>
  <c r="D140" i="12"/>
  <c r="F140" i="12"/>
  <c r="G140" i="12"/>
  <c r="H140" i="12"/>
  <c r="I140" i="12"/>
  <c r="J140" i="12"/>
  <c r="B9" i="16"/>
  <c r="D9" i="16"/>
  <c r="F9" i="16"/>
  <c r="G9" i="16"/>
  <c r="H9" i="16"/>
  <c r="I9" i="16"/>
  <c r="J9" i="16"/>
  <c r="B13" i="16"/>
  <c r="D13" i="16"/>
  <c r="F13" i="16"/>
  <c r="G13" i="16"/>
  <c r="H13" i="16"/>
  <c r="I13" i="16"/>
  <c r="J13" i="16"/>
  <c r="B14" i="16"/>
  <c r="D14" i="16"/>
  <c r="F14" i="16"/>
  <c r="G14" i="16"/>
  <c r="H14" i="16"/>
  <c r="I14" i="16"/>
  <c r="J14" i="16"/>
  <c r="B15" i="16"/>
  <c r="D15" i="16"/>
  <c r="F15" i="16"/>
  <c r="G15" i="16"/>
  <c r="H15" i="16"/>
  <c r="I15" i="16"/>
  <c r="V15" i="16" s="1"/>
  <c r="K15" i="16" s="1"/>
  <c r="Q15" i="16" s="1"/>
  <c r="J15" i="16"/>
  <c r="B16" i="16"/>
  <c r="D16" i="16"/>
  <c r="F16" i="16"/>
  <c r="G16" i="16"/>
  <c r="H16" i="16"/>
  <c r="I16" i="16"/>
  <c r="V16" i="16" s="1"/>
  <c r="K16" i="16" s="1"/>
  <c r="Q16" i="16" s="1"/>
  <c r="J16" i="16"/>
  <c r="B17" i="16"/>
  <c r="D17" i="16"/>
  <c r="F17" i="16"/>
  <c r="G17" i="16"/>
  <c r="H17" i="16"/>
  <c r="I17" i="16"/>
  <c r="V17" i="16" s="1"/>
  <c r="K17" i="16" s="1"/>
  <c r="Q17" i="16" s="1"/>
  <c r="J17" i="16"/>
  <c r="B18" i="16"/>
  <c r="D18" i="16"/>
  <c r="F18" i="16"/>
  <c r="G18" i="16"/>
  <c r="H18" i="16"/>
  <c r="I18" i="16"/>
  <c r="V18" i="16" s="1"/>
  <c r="K18" i="16" s="1"/>
  <c r="Q18" i="16" s="1"/>
  <c r="J18" i="16"/>
  <c r="B19" i="16"/>
  <c r="D19" i="16"/>
  <c r="F19" i="16"/>
  <c r="G19" i="16"/>
  <c r="H19" i="16"/>
  <c r="I19" i="16"/>
  <c r="V19" i="16" s="1"/>
  <c r="K19" i="16" s="1"/>
  <c r="Q19" i="16" s="1"/>
  <c r="J19" i="16"/>
  <c r="B20" i="16"/>
  <c r="D20" i="16"/>
  <c r="F20" i="16"/>
  <c r="G20" i="16"/>
  <c r="H20" i="16"/>
  <c r="I20" i="16"/>
  <c r="V20" i="16" s="1"/>
  <c r="K20" i="16" s="1"/>
  <c r="Q20" i="16" s="1"/>
  <c r="J20" i="16"/>
  <c r="B21" i="16"/>
  <c r="D21" i="16"/>
  <c r="F21" i="16"/>
  <c r="G21" i="16"/>
  <c r="H21" i="16"/>
  <c r="I21" i="16"/>
  <c r="V21" i="16" s="1"/>
  <c r="K21" i="16" s="1"/>
  <c r="Q21" i="16" s="1"/>
  <c r="J21" i="16"/>
  <c r="B22" i="16"/>
  <c r="D22" i="16"/>
  <c r="F22" i="16"/>
  <c r="G22" i="16"/>
  <c r="H22" i="16"/>
  <c r="I22" i="16"/>
  <c r="J22" i="16"/>
  <c r="B23" i="16"/>
  <c r="D23" i="16"/>
  <c r="F23" i="16"/>
  <c r="G23" i="16"/>
  <c r="H23" i="16"/>
  <c r="I23" i="16"/>
  <c r="J23" i="16"/>
  <c r="B24" i="16"/>
  <c r="D24" i="16"/>
  <c r="F24" i="16"/>
  <c r="G24" i="16"/>
  <c r="H24" i="16"/>
  <c r="I24" i="16"/>
  <c r="J24" i="16"/>
  <c r="B25" i="16"/>
  <c r="D25" i="16"/>
  <c r="F25" i="16"/>
  <c r="G25" i="16"/>
  <c r="H25" i="16"/>
  <c r="I25" i="16"/>
  <c r="J25" i="16"/>
  <c r="B26" i="16"/>
  <c r="D26" i="16"/>
  <c r="F26" i="16"/>
  <c r="G26" i="16"/>
  <c r="H26" i="16"/>
  <c r="I26" i="16"/>
  <c r="J26" i="16"/>
  <c r="B27" i="16"/>
  <c r="D27" i="16"/>
  <c r="F27" i="16"/>
  <c r="G27" i="16"/>
  <c r="H27" i="16"/>
  <c r="I27" i="16"/>
  <c r="J27" i="16"/>
  <c r="B28" i="16"/>
  <c r="D28" i="16"/>
  <c r="F28" i="16"/>
  <c r="G28" i="16"/>
  <c r="H28" i="16"/>
  <c r="I28" i="16"/>
  <c r="J28" i="16"/>
  <c r="B29" i="16"/>
  <c r="D29" i="16"/>
  <c r="F29" i="16"/>
  <c r="G29" i="16"/>
  <c r="H29" i="16"/>
  <c r="I29" i="16"/>
  <c r="V29" i="16" s="1"/>
  <c r="K29" i="16" s="1"/>
  <c r="Q29" i="16" s="1"/>
  <c r="J29" i="16"/>
  <c r="B30" i="16"/>
  <c r="D30" i="16"/>
  <c r="F30" i="16"/>
  <c r="G30" i="16"/>
  <c r="H30" i="16"/>
  <c r="I30" i="16"/>
  <c r="J30" i="16"/>
  <c r="B31" i="16"/>
  <c r="D31" i="16"/>
  <c r="F31" i="16"/>
  <c r="G31" i="16"/>
  <c r="H31" i="16"/>
  <c r="I31" i="16"/>
  <c r="J31" i="16"/>
  <c r="B32" i="16"/>
  <c r="D32" i="16"/>
  <c r="F32" i="16"/>
  <c r="G32" i="16"/>
  <c r="H32" i="16"/>
  <c r="I32" i="16"/>
  <c r="J32" i="16"/>
  <c r="B33" i="16"/>
  <c r="D33" i="16"/>
  <c r="F33" i="16"/>
  <c r="G33" i="16"/>
  <c r="H33" i="16"/>
  <c r="I33" i="16"/>
  <c r="J33" i="16"/>
  <c r="B34" i="16"/>
  <c r="D34" i="16"/>
  <c r="F34" i="16"/>
  <c r="G34" i="16"/>
  <c r="H34" i="16"/>
  <c r="I34" i="16"/>
  <c r="V34" i="16" s="1"/>
  <c r="K34" i="16" s="1"/>
  <c r="J34" i="16"/>
  <c r="B35" i="16"/>
  <c r="D35" i="16"/>
  <c r="F35" i="16"/>
  <c r="G35" i="16"/>
  <c r="H35" i="16"/>
  <c r="I35" i="16"/>
  <c r="V35" i="16" s="1"/>
  <c r="K35" i="16" s="1"/>
  <c r="J35" i="16"/>
  <c r="B36" i="16"/>
  <c r="D36" i="16"/>
  <c r="F36" i="16"/>
  <c r="G36" i="16"/>
  <c r="H36" i="16"/>
  <c r="I36" i="16"/>
  <c r="V36" i="16" s="1"/>
  <c r="K36" i="16" s="1"/>
  <c r="J36" i="16"/>
  <c r="B37" i="16"/>
  <c r="D37" i="16"/>
  <c r="F37" i="16"/>
  <c r="G37" i="16"/>
  <c r="H37" i="16"/>
  <c r="I37" i="16"/>
  <c r="V37" i="16" s="1"/>
  <c r="K37" i="16" s="1"/>
  <c r="Q37" i="16" s="1"/>
  <c r="J37" i="16"/>
  <c r="B38" i="16"/>
  <c r="D38" i="16"/>
  <c r="F38" i="16"/>
  <c r="G38" i="16"/>
  <c r="H38" i="16"/>
  <c r="I38" i="16"/>
  <c r="V38" i="16" s="1"/>
  <c r="K38" i="16" s="1"/>
  <c r="Q38" i="16" s="1"/>
  <c r="J38" i="16"/>
  <c r="B39" i="16"/>
  <c r="D39" i="16"/>
  <c r="F39" i="16"/>
  <c r="G39" i="16"/>
  <c r="H39" i="16"/>
  <c r="I39" i="16"/>
  <c r="V39" i="16" s="1"/>
  <c r="K39" i="16" s="1"/>
  <c r="J39" i="16"/>
  <c r="B40" i="16"/>
  <c r="D40" i="16"/>
  <c r="F40" i="16"/>
  <c r="G40" i="16"/>
  <c r="H40" i="16"/>
  <c r="I40" i="16"/>
  <c r="J40" i="16"/>
  <c r="B41" i="16"/>
  <c r="D41" i="16"/>
  <c r="F41" i="16"/>
  <c r="G41" i="16"/>
  <c r="H41" i="16"/>
  <c r="I41" i="16"/>
  <c r="J41" i="16"/>
  <c r="B42" i="16"/>
  <c r="D42" i="16"/>
  <c r="F42" i="16"/>
  <c r="G42" i="16"/>
  <c r="H42" i="16"/>
  <c r="I42" i="16"/>
  <c r="V42" i="16" s="1"/>
  <c r="K42" i="16" s="1"/>
  <c r="Q42" i="16" s="1"/>
  <c r="J42" i="16"/>
  <c r="B43" i="16"/>
  <c r="D43" i="16"/>
  <c r="F43" i="16"/>
  <c r="G43" i="16"/>
  <c r="H43" i="16"/>
  <c r="I43" i="16"/>
  <c r="V43" i="16" s="1"/>
  <c r="K43" i="16" s="1"/>
  <c r="Q43" i="16" s="1"/>
  <c r="J43" i="16"/>
  <c r="B44" i="16"/>
  <c r="D44" i="16"/>
  <c r="F44" i="16"/>
  <c r="G44" i="16"/>
  <c r="H44" i="16"/>
  <c r="I44" i="16"/>
  <c r="J44" i="16"/>
  <c r="B45" i="16"/>
  <c r="D45" i="16"/>
  <c r="F45" i="16"/>
  <c r="G45" i="16"/>
  <c r="H45" i="16"/>
  <c r="I45" i="16"/>
  <c r="J45" i="16"/>
  <c r="B46" i="16"/>
  <c r="D46" i="16"/>
  <c r="F46" i="16"/>
  <c r="G46" i="16"/>
  <c r="H46" i="16"/>
  <c r="I46" i="16"/>
  <c r="J46" i="16"/>
  <c r="B47" i="16"/>
  <c r="D47" i="16"/>
  <c r="F47" i="16"/>
  <c r="G47" i="16"/>
  <c r="H47" i="16"/>
  <c r="I47" i="16"/>
  <c r="J47" i="16"/>
  <c r="B48" i="16"/>
  <c r="D48" i="16"/>
  <c r="F48" i="16"/>
  <c r="G48" i="16"/>
  <c r="H48" i="16"/>
  <c r="I48" i="16"/>
  <c r="V48" i="16" s="1"/>
  <c r="K48" i="16" s="1"/>
  <c r="J48" i="16"/>
  <c r="B49" i="16"/>
  <c r="D49" i="16"/>
  <c r="F49" i="16"/>
  <c r="G49" i="16"/>
  <c r="H49" i="16"/>
  <c r="I49" i="16"/>
  <c r="J49" i="16"/>
  <c r="B50" i="16"/>
  <c r="D50" i="16"/>
  <c r="F50" i="16"/>
  <c r="G50" i="16"/>
  <c r="H50" i="16"/>
  <c r="I50" i="16"/>
  <c r="V50" i="16" s="1"/>
  <c r="K50" i="16" s="1"/>
  <c r="Q50" i="16" s="1"/>
  <c r="J50" i="16"/>
  <c r="B51" i="16"/>
  <c r="D51" i="16"/>
  <c r="F51" i="16"/>
  <c r="G51" i="16"/>
  <c r="H51" i="16"/>
  <c r="I51" i="16"/>
  <c r="J51" i="16"/>
  <c r="B52" i="16"/>
  <c r="D52" i="16"/>
  <c r="F52" i="16"/>
  <c r="G52" i="16"/>
  <c r="H52" i="16"/>
  <c r="I52" i="16"/>
  <c r="V52" i="16" s="1"/>
  <c r="K52" i="16" s="1"/>
  <c r="Q52" i="16" s="1"/>
  <c r="J52" i="16"/>
  <c r="B53" i="16"/>
  <c r="D53" i="16"/>
  <c r="F53" i="16"/>
  <c r="G53" i="16"/>
  <c r="H53" i="16"/>
  <c r="I53" i="16"/>
  <c r="J53" i="16"/>
  <c r="B54" i="16"/>
  <c r="D54" i="16"/>
  <c r="F54" i="16"/>
  <c r="G54" i="16"/>
  <c r="H54" i="16"/>
  <c r="I54" i="16"/>
  <c r="J54" i="16"/>
  <c r="B55" i="16"/>
  <c r="D55" i="16"/>
  <c r="F55" i="16"/>
  <c r="G55" i="16"/>
  <c r="H55" i="16"/>
  <c r="I55" i="16"/>
  <c r="J55" i="16"/>
  <c r="B56" i="16"/>
  <c r="D56" i="16"/>
  <c r="F56" i="16"/>
  <c r="G56" i="16"/>
  <c r="H56" i="16"/>
  <c r="I56" i="16"/>
  <c r="V56" i="16" s="1"/>
  <c r="K56" i="16" s="1"/>
  <c r="Q56" i="16" s="1"/>
  <c r="J56" i="16"/>
  <c r="B57" i="16"/>
  <c r="D57" i="16"/>
  <c r="F57" i="16"/>
  <c r="G57" i="16"/>
  <c r="H57" i="16"/>
  <c r="I57" i="16"/>
  <c r="J57" i="16"/>
  <c r="B58" i="16"/>
  <c r="D58" i="16"/>
  <c r="F58" i="16"/>
  <c r="G58" i="16"/>
  <c r="H58" i="16"/>
  <c r="I58" i="16"/>
  <c r="J58" i="16"/>
  <c r="B59" i="16"/>
  <c r="D59" i="16"/>
  <c r="F59" i="16"/>
  <c r="G59" i="16"/>
  <c r="H59" i="16"/>
  <c r="I59" i="16"/>
  <c r="V59" i="16" s="1"/>
  <c r="K59" i="16" s="1"/>
  <c r="J59" i="16"/>
  <c r="B60" i="16"/>
  <c r="D60" i="16"/>
  <c r="F60" i="16"/>
  <c r="G60" i="16"/>
  <c r="H60" i="16"/>
  <c r="I60" i="16"/>
  <c r="V60" i="16" s="1"/>
  <c r="K60" i="16" s="1"/>
  <c r="J60" i="16"/>
  <c r="B61" i="16"/>
  <c r="D61" i="16"/>
  <c r="F61" i="16"/>
  <c r="G61" i="16"/>
  <c r="H61" i="16"/>
  <c r="I61" i="16"/>
  <c r="V61" i="16" s="1"/>
  <c r="K61" i="16" s="1"/>
  <c r="J61" i="16"/>
  <c r="B62" i="16"/>
  <c r="D62" i="16"/>
  <c r="F62" i="16"/>
  <c r="G62" i="16"/>
  <c r="H62" i="16"/>
  <c r="I62" i="16"/>
  <c r="V62" i="16" s="1"/>
  <c r="K62" i="16" s="1"/>
  <c r="J62" i="16"/>
  <c r="B63" i="16"/>
  <c r="D63" i="16"/>
  <c r="F63" i="16"/>
  <c r="G63" i="16"/>
  <c r="H63" i="16"/>
  <c r="I63" i="16"/>
  <c r="J63" i="16"/>
  <c r="B64" i="16"/>
  <c r="D64" i="16"/>
  <c r="F64" i="16"/>
  <c r="G64" i="16"/>
  <c r="H64" i="16"/>
  <c r="I64" i="16"/>
  <c r="V64" i="16" s="1"/>
  <c r="K64" i="16" s="1"/>
  <c r="J64" i="16"/>
  <c r="B65" i="16"/>
  <c r="D65" i="16"/>
  <c r="F65" i="16"/>
  <c r="G65" i="16"/>
  <c r="H65" i="16"/>
  <c r="I65" i="16"/>
  <c r="V65" i="16" s="1"/>
  <c r="K65" i="16" s="1"/>
  <c r="J65" i="16"/>
  <c r="B66" i="16"/>
  <c r="D66" i="16"/>
  <c r="F66" i="16"/>
  <c r="G66" i="16"/>
  <c r="H66" i="16"/>
  <c r="I66" i="16"/>
  <c r="V66" i="16" s="1"/>
  <c r="K66" i="16" s="1"/>
  <c r="J66" i="16"/>
  <c r="B67" i="16"/>
  <c r="D67" i="16"/>
  <c r="F67" i="16"/>
  <c r="G67" i="16"/>
  <c r="H67" i="16"/>
  <c r="I67" i="16"/>
  <c r="V67" i="16" s="1"/>
  <c r="K67" i="16" s="1"/>
  <c r="J67" i="16"/>
  <c r="B68" i="16"/>
  <c r="D68" i="16"/>
  <c r="F68" i="16"/>
  <c r="G68" i="16"/>
  <c r="H68" i="16"/>
  <c r="I68" i="16"/>
  <c r="V68" i="16" s="1"/>
  <c r="K68" i="16" s="1"/>
  <c r="J68" i="16"/>
  <c r="B69" i="16"/>
  <c r="D69" i="16"/>
  <c r="F69" i="16"/>
  <c r="G69" i="16"/>
  <c r="H69" i="16"/>
  <c r="I69" i="16"/>
  <c r="J69" i="16"/>
  <c r="B70" i="16"/>
  <c r="D70" i="16"/>
  <c r="F70" i="16"/>
  <c r="G70" i="16"/>
  <c r="H70" i="16"/>
  <c r="I70" i="16"/>
  <c r="J70" i="16"/>
  <c r="B71" i="16"/>
  <c r="D71" i="16"/>
  <c r="F71" i="16"/>
  <c r="G71" i="16"/>
  <c r="H71" i="16"/>
  <c r="I71" i="16"/>
  <c r="J71" i="16"/>
  <c r="B72" i="16"/>
  <c r="D72" i="16"/>
  <c r="F72" i="16"/>
  <c r="G72" i="16"/>
  <c r="H72" i="16"/>
  <c r="I72" i="16"/>
  <c r="J72" i="16"/>
  <c r="B73" i="16"/>
  <c r="D73" i="16"/>
  <c r="F73" i="16"/>
  <c r="G73" i="16"/>
  <c r="H73" i="16"/>
  <c r="I73" i="16"/>
  <c r="V73" i="16" s="1"/>
  <c r="K73" i="16" s="1"/>
  <c r="J73" i="16"/>
  <c r="B74" i="16"/>
  <c r="D74" i="16"/>
  <c r="F74" i="16"/>
  <c r="G74" i="16"/>
  <c r="H74" i="16"/>
  <c r="I74" i="16"/>
  <c r="V74" i="16" s="1"/>
  <c r="K74" i="16" s="1"/>
  <c r="J74" i="16"/>
  <c r="B75" i="16"/>
  <c r="D75" i="16"/>
  <c r="F75" i="16"/>
  <c r="G75" i="16"/>
  <c r="H75" i="16"/>
  <c r="I75" i="16"/>
  <c r="V75" i="16" s="1"/>
  <c r="K75" i="16" s="1"/>
  <c r="J75" i="16"/>
  <c r="B76" i="16"/>
  <c r="D76" i="16"/>
  <c r="F76" i="16"/>
  <c r="G76" i="16"/>
  <c r="H76" i="16"/>
  <c r="I76" i="16"/>
  <c r="J76" i="16"/>
  <c r="B77" i="16"/>
  <c r="D77" i="16"/>
  <c r="F77" i="16"/>
  <c r="G77" i="16"/>
  <c r="H77" i="16"/>
  <c r="I77" i="16"/>
  <c r="V77" i="16" s="1"/>
  <c r="K77" i="16" s="1"/>
  <c r="J77" i="16"/>
  <c r="B78" i="16"/>
  <c r="D78" i="16"/>
  <c r="F78" i="16"/>
  <c r="G78" i="16"/>
  <c r="H78" i="16"/>
  <c r="I78" i="16"/>
  <c r="J78" i="16"/>
  <c r="B79" i="16"/>
  <c r="D79" i="16"/>
  <c r="F79" i="16"/>
  <c r="G79" i="16"/>
  <c r="H79" i="16"/>
  <c r="I79" i="16"/>
  <c r="V79" i="16" s="1"/>
  <c r="K79" i="16" s="1"/>
  <c r="J79" i="16"/>
  <c r="B80" i="16"/>
  <c r="D80" i="16"/>
  <c r="F80" i="16"/>
  <c r="G80" i="16"/>
  <c r="H80" i="16"/>
  <c r="I80" i="16"/>
  <c r="V80" i="16" s="1"/>
  <c r="K80" i="16" s="1"/>
  <c r="J80" i="16"/>
  <c r="B81" i="16"/>
  <c r="D81" i="16"/>
  <c r="F81" i="16"/>
  <c r="G81" i="16"/>
  <c r="H81" i="16"/>
  <c r="I81" i="16"/>
  <c r="V81" i="16" s="1"/>
  <c r="K81" i="16" s="1"/>
  <c r="J81" i="16"/>
  <c r="B82" i="16"/>
  <c r="D82" i="16"/>
  <c r="F82" i="16"/>
  <c r="G82" i="16"/>
  <c r="H82" i="16"/>
  <c r="I82" i="16"/>
  <c r="V82" i="16" s="1"/>
  <c r="K82" i="16" s="1"/>
  <c r="J82" i="16"/>
  <c r="B83" i="16"/>
  <c r="D83" i="16"/>
  <c r="F83" i="16"/>
  <c r="G83" i="16"/>
  <c r="H83" i="16"/>
  <c r="I83" i="16"/>
  <c r="J83" i="16"/>
  <c r="B84" i="16"/>
  <c r="D84" i="16"/>
  <c r="F84" i="16"/>
  <c r="G84" i="16"/>
  <c r="H84" i="16"/>
  <c r="I84" i="16"/>
  <c r="J84" i="16"/>
  <c r="B85" i="16"/>
  <c r="D85" i="16"/>
  <c r="F85" i="16"/>
  <c r="G85" i="16"/>
  <c r="H85" i="16"/>
  <c r="I85" i="16"/>
  <c r="J85" i="16"/>
  <c r="B86" i="16"/>
  <c r="D86" i="16"/>
  <c r="F86" i="16"/>
  <c r="G86" i="16"/>
  <c r="H86" i="16"/>
  <c r="I86" i="16"/>
  <c r="J86" i="16"/>
  <c r="B87" i="16"/>
  <c r="D87" i="16"/>
  <c r="F87" i="16"/>
  <c r="G87" i="16"/>
  <c r="H87" i="16"/>
  <c r="I87" i="16"/>
  <c r="J87" i="16"/>
  <c r="B88" i="16"/>
  <c r="D88" i="16"/>
  <c r="F88" i="16"/>
  <c r="G88" i="16"/>
  <c r="H88" i="16"/>
  <c r="I88" i="16"/>
  <c r="J88" i="16"/>
  <c r="B89" i="16"/>
  <c r="D89" i="16"/>
  <c r="F89" i="16"/>
  <c r="G89" i="16"/>
  <c r="H89" i="16"/>
  <c r="I89" i="16"/>
  <c r="J89" i="16"/>
  <c r="B90" i="16"/>
  <c r="D90" i="16"/>
  <c r="F90" i="16"/>
  <c r="G90" i="16"/>
  <c r="H90" i="16"/>
  <c r="I90" i="16"/>
  <c r="V90" i="16" s="1"/>
  <c r="K90" i="16" s="1"/>
  <c r="Q90" i="16" s="1"/>
  <c r="J90" i="16"/>
  <c r="B91" i="16"/>
  <c r="D91" i="16"/>
  <c r="F91" i="16"/>
  <c r="G91" i="16"/>
  <c r="H91" i="16"/>
  <c r="I91" i="16"/>
  <c r="V91" i="16" s="1"/>
  <c r="K91" i="16" s="1"/>
  <c r="Q91" i="16" s="1"/>
  <c r="J91" i="16"/>
  <c r="B92" i="16"/>
  <c r="D92" i="16"/>
  <c r="F92" i="16"/>
  <c r="G92" i="16"/>
  <c r="H92" i="16"/>
  <c r="I92" i="16"/>
  <c r="V92" i="16" s="1"/>
  <c r="K92" i="16" s="1"/>
  <c r="Q92" i="16" s="1"/>
  <c r="J92" i="16"/>
  <c r="B93" i="16"/>
  <c r="D93" i="16"/>
  <c r="F93" i="16"/>
  <c r="G93" i="16"/>
  <c r="H93" i="16"/>
  <c r="I93" i="16"/>
  <c r="J93" i="16"/>
  <c r="B94" i="16"/>
  <c r="D94" i="16"/>
  <c r="F94" i="16"/>
  <c r="G94" i="16"/>
  <c r="H94" i="16"/>
  <c r="I94" i="16"/>
  <c r="J94" i="16"/>
  <c r="B95" i="16"/>
  <c r="D95" i="16"/>
  <c r="F95" i="16"/>
  <c r="G95" i="16"/>
  <c r="H95" i="16"/>
  <c r="I95" i="16"/>
  <c r="J95" i="16"/>
  <c r="B96" i="16"/>
  <c r="D96" i="16"/>
  <c r="F96" i="16"/>
  <c r="G96" i="16"/>
  <c r="H96" i="16"/>
  <c r="I96" i="16"/>
  <c r="J96" i="16"/>
  <c r="B97" i="16"/>
  <c r="D97" i="16"/>
  <c r="F97" i="16"/>
  <c r="G97" i="16"/>
  <c r="H97" i="16"/>
  <c r="I97" i="16"/>
  <c r="J97" i="16"/>
  <c r="B98" i="16"/>
  <c r="D98" i="16"/>
  <c r="F98" i="16"/>
  <c r="G98" i="16"/>
  <c r="H98" i="16"/>
  <c r="I98" i="16"/>
  <c r="J98" i="16"/>
  <c r="B99" i="16"/>
  <c r="D99" i="16"/>
  <c r="F99" i="16"/>
  <c r="G99" i="16"/>
  <c r="H99" i="16"/>
  <c r="I99" i="16"/>
  <c r="V99" i="16" s="1"/>
  <c r="K99" i="16" s="1"/>
  <c r="Q99" i="16" s="1"/>
  <c r="J99" i="16"/>
  <c r="B100" i="16"/>
  <c r="D100" i="16"/>
  <c r="F100" i="16"/>
  <c r="G100" i="16"/>
  <c r="H100" i="16"/>
  <c r="I100" i="16"/>
  <c r="V100" i="16" s="1"/>
  <c r="K100" i="16" s="1"/>
  <c r="Q100" i="16" s="1"/>
  <c r="J100" i="16"/>
  <c r="B101" i="16"/>
  <c r="D101" i="16"/>
  <c r="F101" i="16"/>
  <c r="G101" i="16"/>
  <c r="H101" i="16"/>
  <c r="I101" i="16"/>
  <c r="V101" i="16" s="1"/>
  <c r="K101" i="16" s="1"/>
  <c r="Q101" i="16" s="1"/>
  <c r="J101" i="16"/>
  <c r="B102" i="16"/>
  <c r="D102" i="16"/>
  <c r="F102" i="16"/>
  <c r="G102" i="16"/>
  <c r="H102" i="16"/>
  <c r="I102" i="16"/>
  <c r="J102" i="16"/>
  <c r="B103" i="16"/>
  <c r="D103" i="16"/>
  <c r="F103" i="16"/>
  <c r="G103" i="16"/>
  <c r="H103" i="16"/>
  <c r="I103" i="16"/>
  <c r="J103" i="16"/>
  <c r="B104" i="16"/>
  <c r="D104" i="16"/>
  <c r="F104" i="16"/>
  <c r="G104" i="16"/>
  <c r="H104" i="16"/>
  <c r="I104" i="16"/>
  <c r="J104" i="16"/>
  <c r="B105" i="16"/>
  <c r="D105" i="16"/>
  <c r="F105" i="16"/>
  <c r="G105" i="16"/>
  <c r="H105" i="16"/>
  <c r="I105" i="16"/>
  <c r="J105" i="16"/>
  <c r="B106" i="16"/>
  <c r="D106" i="16"/>
  <c r="F106" i="16"/>
  <c r="G106" i="16"/>
  <c r="H106" i="16"/>
  <c r="I106" i="16"/>
  <c r="J106" i="16"/>
  <c r="B107" i="16"/>
  <c r="D107" i="16"/>
  <c r="F107" i="16"/>
  <c r="G107" i="16"/>
  <c r="H107" i="16"/>
  <c r="I107" i="16"/>
  <c r="J107" i="16"/>
  <c r="B108" i="16"/>
  <c r="D108" i="16"/>
  <c r="F108" i="16"/>
  <c r="G108" i="16"/>
  <c r="H108" i="16"/>
  <c r="I108" i="16"/>
  <c r="J108" i="16"/>
  <c r="B109" i="16"/>
  <c r="D109" i="16"/>
  <c r="F109" i="16"/>
  <c r="G109" i="16"/>
  <c r="H109" i="16"/>
  <c r="I109" i="16"/>
  <c r="J109" i="16"/>
  <c r="B110" i="16"/>
  <c r="D110" i="16"/>
  <c r="F110" i="16"/>
  <c r="G110" i="16"/>
  <c r="H110" i="16"/>
  <c r="I110" i="16"/>
  <c r="J110" i="16"/>
  <c r="B111" i="16"/>
  <c r="D111" i="16"/>
  <c r="F111" i="16"/>
  <c r="G111" i="16"/>
  <c r="H111" i="16"/>
  <c r="I111" i="16"/>
  <c r="J111" i="16"/>
  <c r="B112" i="16"/>
  <c r="D112" i="16"/>
  <c r="F112" i="16"/>
  <c r="G112" i="16"/>
  <c r="H112" i="16"/>
  <c r="I112" i="16"/>
  <c r="J112" i="16"/>
  <c r="B113" i="16"/>
  <c r="D113" i="16"/>
  <c r="F113" i="16"/>
  <c r="G113" i="16"/>
  <c r="H113" i="16"/>
  <c r="I113" i="16"/>
  <c r="J113" i="16"/>
  <c r="B114" i="16"/>
  <c r="D114" i="16"/>
  <c r="F114" i="16"/>
  <c r="G114" i="16"/>
  <c r="H114" i="16"/>
  <c r="I114" i="16"/>
  <c r="J114" i="16"/>
  <c r="B115" i="16"/>
  <c r="D115" i="16"/>
  <c r="F115" i="16"/>
  <c r="G115" i="16"/>
  <c r="H115" i="16"/>
  <c r="I115" i="16"/>
  <c r="J115" i="16"/>
  <c r="B116" i="16"/>
  <c r="D116" i="16"/>
  <c r="F116" i="16"/>
  <c r="G116" i="16"/>
  <c r="H116" i="16"/>
  <c r="I116" i="16"/>
  <c r="J116" i="16"/>
  <c r="B117" i="16"/>
  <c r="D117" i="16"/>
  <c r="F117" i="16"/>
  <c r="G117" i="16"/>
  <c r="H117" i="16"/>
  <c r="I117" i="16"/>
  <c r="J117" i="16"/>
  <c r="B118" i="16"/>
  <c r="D118" i="16"/>
  <c r="F118" i="16"/>
  <c r="G118" i="16"/>
  <c r="H118" i="16"/>
  <c r="I118" i="16"/>
  <c r="V118" i="16" s="1"/>
  <c r="K118" i="16" s="1"/>
  <c r="J118" i="16"/>
  <c r="B119" i="16"/>
  <c r="D119" i="16"/>
  <c r="F119" i="16"/>
  <c r="G119" i="16"/>
  <c r="H119" i="16"/>
  <c r="I119" i="16"/>
  <c r="V119" i="16" s="1"/>
  <c r="K119" i="16" s="1"/>
  <c r="J119" i="16"/>
  <c r="B120" i="16"/>
  <c r="D120" i="16"/>
  <c r="F120" i="16"/>
  <c r="G120" i="16"/>
  <c r="H120" i="16"/>
  <c r="I120" i="16"/>
  <c r="V120" i="16" s="1"/>
  <c r="K120" i="16" s="1"/>
  <c r="J120" i="16"/>
  <c r="B121" i="16"/>
  <c r="D121" i="16"/>
  <c r="F121" i="16"/>
  <c r="G121" i="16"/>
  <c r="H121" i="16"/>
  <c r="I121" i="16"/>
  <c r="J121" i="16"/>
  <c r="B123" i="16"/>
  <c r="D123" i="16"/>
  <c r="F123" i="16"/>
  <c r="G123" i="16"/>
  <c r="H123" i="16"/>
  <c r="I123" i="16"/>
  <c r="J123" i="16"/>
  <c r="B124" i="16"/>
  <c r="D124" i="16"/>
  <c r="F124" i="16"/>
  <c r="G124" i="16"/>
  <c r="H124" i="16"/>
  <c r="I124" i="16"/>
  <c r="J124" i="16"/>
  <c r="B125" i="16"/>
  <c r="D125" i="16"/>
  <c r="F125" i="16"/>
  <c r="G125" i="16"/>
  <c r="H125" i="16"/>
  <c r="I125" i="16"/>
  <c r="V125" i="16" s="1"/>
  <c r="K125" i="16" s="1"/>
  <c r="J125" i="16"/>
  <c r="B126" i="16"/>
  <c r="D126" i="16"/>
  <c r="F126" i="16"/>
  <c r="G126" i="16"/>
  <c r="H126" i="16"/>
  <c r="I126" i="16"/>
  <c r="J126" i="16"/>
  <c r="B127" i="16"/>
  <c r="D127" i="16"/>
  <c r="F127" i="16"/>
  <c r="G127" i="16"/>
  <c r="H127" i="16"/>
  <c r="I127" i="16"/>
  <c r="J127" i="16"/>
  <c r="B128" i="16"/>
  <c r="D128" i="16"/>
  <c r="F128" i="16"/>
  <c r="G128" i="16"/>
  <c r="H128" i="16"/>
  <c r="I128" i="16"/>
  <c r="J128" i="16"/>
  <c r="B129" i="16"/>
  <c r="D129" i="16"/>
  <c r="F129" i="16"/>
  <c r="G129" i="16"/>
  <c r="H129" i="16"/>
  <c r="I129" i="16"/>
  <c r="J129" i="16"/>
  <c r="B130" i="16"/>
  <c r="D130" i="16"/>
  <c r="F130" i="16"/>
  <c r="G130" i="16"/>
  <c r="H130" i="16"/>
  <c r="I130" i="16"/>
  <c r="J130" i="16"/>
  <c r="B131" i="16"/>
  <c r="D131" i="16"/>
  <c r="F131" i="16"/>
  <c r="G131" i="16"/>
  <c r="H131" i="16"/>
  <c r="I131" i="16"/>
  <c r="J131" i="16"/>
  <c r="B132" i="16"/>
  <c r="D132" i="16"/>
  <c r="F132" i="16"/>
  <c r="G132" i="16"/>
  <c r="H132" i="16"/>
  <c r="I132" i="16"/>
  <c r="J132" i="16"/>
  <c r="B133" i="16"/>
  <c r="D133" i="16"/>
  <c r="F133" i="16"/>
  <c r="G133" i="16"/>
  <c r="H133" i="16"/>
  <c r="I133" i="16"/>
  <c r="J133" i="16"/>
  <c r="B134" i="16"/>
  <c r="D134" i="16"/>
  <c r="F134" i="16"/>
  <c r="G134" i="16"/>
  <c r="H134" i="16"/>
  <c r="I134" i="16"/>
  <c r="J134" i="16"/>
  <c r="B135" i="16"/>
  <c r="D135" i="16"/>
  <c r="F135" i="16"/>
  <c r="G135" i="16"/>
  <c r="H135" i="16"/>
  <c r="I135" i="16"/>
  <c r="J135" i="16"/>
  <c r="B136" i="16"/>
  <c r="D136" i="16"/>
  <c r="F136" i="16"/>
  <c r="G136" i="16"/>
  <c r="H136" i="16"/>
  <c r="I136" i="16"/>
  <c r="J136" i="16"/>
  <c r="B137" i="16"/>
  <c r="D137" i="16"/>
  <c r="F137" i="16"/>
  <c r="G137" i="16"/>
  <c r="H137" i="16"/>
  <c r="I137" i="16"/>
  <c r="J137" i="16"/>
  <c r="B138" i="16"/>
  <c r="D138" i="16"/>
  <c r="F138" i="16"/>
  <c r="G138" i="16"/>
  <c r="H138" i="16"/>
  <c r="I138" i="16"/>
  <c r="J138" i="16"/>
  <c r="B139" i="16"/>
  <c r="D139" i="16"/>
  <c r="F139" i="16"/>
  <c r="G139" i="16"/>
  <c r="H139" i="16"/>
  <c r="I139" i="16"/>
  <c r="J139" i="16"/>
  <c r="B140" i="16"/>
  <c r="D140" i="16"/>
  <c r="F140" i="16"/>
  <c r="G140" i="16"/>
  <c r="H140" i="16"/>
  <c r="I140" i="16"/>
  <c r="J140" i="16"/>
  <c r="B13" i="8"/>
  <c r="D13" i="8"/>
  <c r="F13" i="8"/>
  <c r="G13" i="8"/>
  <c r="H13" i="8"/>
  <c r="I13" i="8"/>
  <c r="J13" i="8"/>
  <c r="B14" i="8"/>
  <c r="D14" i="8"/>
  <c r="F14" i="8"/>
  <c r="G14" i="8"/>
  <c r="H14" i="8"/>
  <c r="I14" i="8"/>
  <c r="J14" i="8"/>
  <c r="B15" i="8"/>
  <c r="D15" i="8"/>
  <c r="F15" i="8"/>
  <c r="G15" i="8"/>
  <c r="H15" i="8"/>
  <c r="I15" i="8"/>
  <c r="J15" i="8"/>
  <c r="B16" i="8"/>
  <c r="D16" i="8"/>
  <c r="F16" i="8"/>
  <c r="G16" i="8"/>
  <c r="H16" i="8"/>
  <c r="I16" i="8"/>
  <c r="J16" i="8"/>
  <c r="B17" i="8"/>
  <c r="D17" i="8"/>
  <c r="F17" i="8"/>
  <c r="G17" i="8"/>
  <c r="H17" i="8"/>
  <c r="I17" i="8"/>
  <c r="J17" i="8"/>
  <c r="B18" i="8"/>
  <c r="D18" i="8"/>
  <c r="F18" i="8"/>
  <c r="G18" i="8"/>
  <c r="H18" i="8"/>
  <c r="I18" i="8"/>
  <c r="J18" i="8"/>
  <c r="B19" i="8"/>
  <c r="D19" i="8"/>
  <c r="F19" i="8"/>
  <c r="G19" i="8"/>
  <c r="H19" i="8"/>
  <c r="I19" i="8"/>
  <c r="J19" i="8"/>
  <c r="B20" i="8"/>
  <c r="D20" i="8"/>
  <c r="F20" i="8"/>
  <c r="G20" i="8"/>
  <c r="H20" i="8"/>
  <c r="I20" i="8"/>
  <c r="J20" i="8"/>
  <c r="B21" i="8"/>
  <c r="D21" i="8"/>
  <c r="F21" i="8"/>
  <c r="G21" i="8"/>
  <c r="H21" i="8"/>
  <c r="I21" i="8"/>
  <c r="J21" i="8"/>
  <c r="B22" i="8"/>
  <c r="D22" i="8"/>
  <c r="F22" i="8"/>
  <c r="G22" i="8"/>
  <c r="H22" i="8"/>
  <c r="I22" i="8"/>
  <c r="J22" i="8"/>
  <c r="B23" i="8"/>
  <c r="D23" i="8"/>
  <c r="F23" i="8"/>
  <c r="G23" i="8"/>
  <c r="H23" i="8"/>
  <c r="I23" i="8"/>
  <c r="J23" i="8"/>
  <c r="B24" i="8"/>
  <c r="D24" i="8"/>
  <c r="F24" i="8"/>
  <c r="G24" i="8"/>
  <c r="H24" i="8"/>
  <c r="I24" i="8"/>
  <c r="J24" i="8"/>
  <c r="B25" i="8"/>
  <c r="D25" i="8"/>
  <c r="F25" i="8"/>
  <c r="G25" i="8"/>
  <c r="H25" i="8"/>
  <c r="I25" i="8"/>
  <c r="J25" i="8"/>
  <c r="B26" i="8"/>
  <c r="D26" i="8"/>
  <c r="F26" i="8"/>
  <c r="G26" i="8"/>
  <c r="H26" i="8"/>
  <c r="I26" i="8"/>
  <c r="J26" i="8"/>
  <c r="B27" i="8"/>
  <c r="D27" i="8"/>
  <c r="F27" i="8"/>
  <c r="G27" i="8"/>
  <c r="H27" i="8"/>
  <c r="I27" i="8"/>
  <c r="J27" i="8"/>
  <c r="B28" i="8"/>
  <c r="D28" i="8"/>
  <c r="F28" i="8"/>
  <c r="G28" i="8"/>
  <c r="H28" i="8"/>
  <c r="I28" i="8"/>
  <c r="J28" i="8"/>
  <c r="B29" i="8"/>
  <c r="D29" i="8"/>
  <c r="F29" i="8"/>
  <c r="G29" i="8"/>
  <c r="H29" i="8"/>
  <c r="I29" i="8"/>
  <c r="J29" i="8"/>
  <c r="B30" i="8"/>
  <c r="D30" i="8"/>
  <c r="F30" i="8"/>
  <c r="G30" i="8"/>
  <c r="H30" i="8"/>
  <c r="I30" i="8"/>
  <c r="J30" i="8"/>
  <c r="B31" i="8"/>
  <c r="D31" i="8"/>
  <c r="F31" i="8"/>
  <c r="G31" i="8"/>
  <c r="H31" i="8"/>
  <c r="I31" i="8"/>
  <c r="J31" i="8"/>
  <c r="B32" i="8"/>
  <c r="D32" i="8"/>
  <c r="F32" i="8"/>
  <c r="G32" i="8"/>
  <c r="H32" i="8"/>
  <c r="I32" i="8"/>
  <c r="J32" i="8"/>
  <c r="B33" i="8"/>
  <c r="D33" i="8"/>
  <c r="F33" i="8"/>
  <c r="G33" i="8"/>
  <c r="H33" i="8"/>
  <c r="I33" i="8"/>
  <c r="J33" i="8"/>
  <c r="B34" i="8"/>
  <c r="D34" i="8"/>
  <c r="F34" i="8"/>
  <c r="G34" i="8"/>
  <c r="H34" i="8"/>
  <c r="I34" i="8"/>
  <c r="J34" i="8"/>
  <c r="B35" i="8"/>
  <c r="D35" i="8"/>
  <c r="F35" i="8"/>
  <c r="G35" i="8"/>
  <c r="H35" i="8"/>
  <c r="I35" i="8"/>
  <c r="J35" i="8"/>
  <c r="B36" i="8"/>
  <c r="D36" i="8"/>
  <c r="F36" i="8"/>
  <c r="G36" i="8"/>
  <c r="H36" i="8"/>
  <c r="I36" i="8"/>
  <c r="J36" i="8"/>
  <c r="B37" i="8"/>
  <c r="D37" i="8"/>
  <c r="F37" i="8"/>
  <c r="G37" i="8"/>
  <c r="H37" i="8"/>
  <c r="I37" i="8"/>
  <c r="J37" i="8"/>
  <c r="B38" i="8"/>
  <c r="D38" i="8"/>
  <c r="F38" i="8"/>
  <c r="G38" i="8"/>
  <c r="H38" i="8"/>
  <c r="I38" i="8"/>
  <c r="J38" i="8"/>
  <c r="B39" i="8"/>
  <c r="D39" i="8"/>
  <c r="F39" i="8"/>
  <c r="G39" i="8"/>
  <c r="H39" i="8"/>
  <c r="I39" i="8"/>
  <c r="J39" i="8"/>
  <c r="B40" i="8"/>
  <c r="D40" i="8"/>
  <c r="F40" i="8"/>
  <c r="G40" i="8"/>
  <c r="H40" i="8"/>
  <c r="I40" i="8"/>
  <c r="J40" i="8"/>
  <c r="B41" i="8"/>
  <c r="D41" i="8"/>
  <c r="F41" i="8"/>
  <c r="G41" i="8"/>
  <c r="H41" i="8"/>
  <c r="I41" i="8"/>
  <c r="J41" i="8"/>
  <c r="B42" i="8"/>
  <c r="D42" i="8"/>
  <c r="F42" i="8"/>
  <c r="G42" i="8"/>
  <c r="H42" i="8"/>
  <c r="I42" i="8"/>
  <c r="J42" i="8"/>
  <c r="B43" i="8"/>
  <c r="D43" i="8"/>
  <c r="F43" i="8"/>
  <c r="G43" i="8"/>
  <c r="H43" i="8"/>
  <c r="I43" i="8"/>
  <c r="J43" i="8"/>
  <c r="B44" i="8"/>
  <c r="D44" i="8"/>
  <c r="F44" i="8"/>
  <c r="G44" i="8"/>
  <c r="H44" i="8"/>
  <c r="I44" i="8"/>
  <c r="J44" i="8"/>
  <c r="B45" i="8"/>
  <c r="D45" i="8"/>
  <c r="F45" i="8"/>
  <c r="G45" i="8"/>
  <c r="H45" i="8"/>
  <c r="I45" i="8"/>
  <c r="J45" i="8"/>
  <c r="B46" i="8"/>
  <c r="D46" i="8"/>
  <c r="F46" i="8"/>
  <c r="G46" i="8"/>
  <c r="H46" i="8"/>
  <c r="I46" i="8"/>
  <c r="J46" i="8"/>
  <c r="B47" i="8"/>
  <c r="D47" i="8"/>
  <c r="F47" i="8"/>
  <c r="G47" i="8"/>
  <c r="H47" i="8"/>
  <c r="I47" i="8"/>
  <c r="J47" i="8"/>
  <c r="B48" i="8"/>
  <c r="D48" i="8"/>
  <c r="F48" i="8"/>
  <c r="G48" i="8"/>
  <c r="H48" i="8"/>
  <c r="I48" i="8"/>
  <c r="J48" i="8"/>
  <c r="B49" i="8"/>
  <c r="D49" i="8"/>
  <c r="F49" i="8"/>
  <c r="G49" i="8"/>
  <c r="H49" i="8"/>
  <c r="I49" i="8"/>
  <c r="J49" i="8"/>
  <c r="B50" i="8"/>
  <c r="D50" i="8"/>
  <c r="F50" i="8"/>
  <c r="G50" i="8"/>
  <c r="H50" i="8"/>
  <c r="I50" i="8"/>
  <c r="J50" i="8"/>
  <c r="B51" i="8"/>
  <c r="D51" i="8"/>
  <c r="F51" i="8"/>
  <c r="G51" i="8"/>
  <c r="H51" i="8"/>
  <c r="I51" i="8"/>
  <c r="J51" i="8"/>
  <c r="B52" i="8"/>
  <c r="D52" i="8"/>
  <c r="F52" i="8"/>
  <c r="G52" i="8"/>
  <c r="H52" i="8"/>
  <c r="I52" i="8"/>
  <c r="J52" i="8"/>
  <c r="B53" i="8"/>
  <c r="D53" i="8"/>
  <c r="F53" i="8"/>
  <c r="G53" i="8"/>
  <c r="H53" i="8"/>
  <c r="I53" i="8"/>
  <c r="J53" i="8"/>
  <c r="B54" i="8"/>
  <c r="D54" i="8"/>
  <c r="F54" i="8"/>
  <c r="G54" i="8"/>
  <c r="H54" i="8"/>
  <c r="I54" i="8"/>
  <c r="J54" i="8"/>
  <c r="B55" i="8"/>
  <c r="D55" i="8"/>
  <c r="F55" i="8"/>
  <c r="G55" i="8"/>
  <c r="H55" i="8"/>
  <c r="I55" i="8"/>
  <c r="J55" i="8"/>
  <c r="B56" i="8"/>
  <c r="D56" i="8"/>
  <c r="F56" i="8"/>
  <c r="G56" i="8"/>
  <c r="H56" i="8"/>
  <c r="I56" i="8"/>
  <c r="J56" i="8"/>
  <c r="B57" i="8"/>
  <c r="D57" i="8"/>
  <c r="F57" i="8"/>
  <c r="G57" i="8"/>
  <c r="H57" i="8"/>
  <c r="I57" i="8"/>
  <c r="J57" i="8"/>
  <c r="B58" i="8"/>
  <c r="D58" i="8"/>
  <c r="F58" i="8"/>
  <c r="G58" i="8"/>
  <c r="H58" i="8"/>
  <c r="I58" i="8"/>
  <c r="J58" i="8"/>
  <c r="B59" i="8"/>
  <c r="D59" i="8"/>
  <c r="F59" i="8"/>
  <c r="G59" i="8"/>
  <c r="H59" i="8"/>
  <c r="I59" i="8"/>
  <c r="J59" i="8"/>
  <c r="B60" i="8"/>
  <c r="D60" i="8"/>
  <c r="F60" i="8"/>
  <c r="G60" i="8"/>
  <c r="H60" i="8"/>
  <c r="I60" i="8"/>
  <c r="J60" i="8"/>
  <c r="B61" i="8"/>
  <c r="D61" i="8"/>
  <c r="F61" i="8"/>
  <c r="G61" i="8"/>
  <c r="H61" i="8"/>
  <c r="I61" i="8"/>
  <c r="J61" i="8"/>
  <c r="B62" i="8"/>
  <c r="D62" i="8"/>
  <c r="F62" i="8"/>
  <c r="G62" i="8"/>
  <c r="H62" i="8"/>
  <c r="I62" i="8"/>
  <c r="J62" i="8"/>
  <c r="B63" i="8"/>
  <c r="D63" i="8"/>
  <c r="F63" i="8"/>
  <c r="G63" i="8"/>
  <c r="H63" i="8"/>
  <c r="I63" i="8"/>
  <c r="J63" i="8"/>
  <c r="B64" i="8"/>
  <c r="D64" i="8"/>
  <c r="F64" i="8"/>
  <c r="G64" i="8"/>
  <c r="H64" i="8"/>
  <c r="I64" i="8"/>
  <c r="J64" i="8"/>
  <c r="B65" i="8"/>
  <c r="D65" i="8"/>
  <c r="F65" i="8"/>
  <c r="G65" i="8"/>
  <c r="H65" i="8"/>
  <c r="I65" i="8"/>
  <c r="J65" i="8"/>
  <c r="B66" i="8"/>
  <c r="D66" i="8"/>
  <c r="F66" i="8"/>
  <c r="G66" i="8"/>
  <c r="H66" i="8"/>
  <c r="I66" i="8"/>
  <c r="J66" i="8"/>
  <c r="B67" i="8"/>
  <c r="D67" i="8"/>
  <c r="F67" i="8"/>
  <c r="G67" i="8"/>
  <c r="H67" i="8"/>
  <c r="I67" i="8"/>
  <c r="J67" i="8"/>
  <c r="B68" i="8"/>
  <c r="D68" i="8"/>
  <c r="F68" i="8"/>
  <c r="G68" i="8"/>
  <c r="H68" i="8"/>
  <c r="I68" i="8"/>
  <c r="J68" i="8"/>
  <c r="B69" i="8"/>
  <c r="D69" i="8"/>
  <c r="F69" i="8"/>
  <c r="G69" i="8"/>
  <c r="H69" i="8"/>
  <c r="I69" i="8"/>
  <c r="J69" i="8"/>
  <c r="B70" i="8"/>
  <c r="D70" i="8"/>
  <c r="F70" i="8"/>
  <c r="G70" i="8"/>
  <c r="H70" i="8"/>
  <c r="I70" i="8"/>
  <c r="J70" i="8"/>
  <c r="B71" i="8"/>
  <c r="D71" i="8"/>
  <c r="F71" i="8"/>
  <c r="G71" i="8"/>
  <c r="H71" i="8"/>
  <c r="I71" i="8"/>
  <c r="J71" i="8"/>
  <c r="B72" i="8"/>
  <c r="D72" i="8"/>
  <c r="F72" i="8"/>
  <c r="G72" i="8"/>
  <c r="H72" i="8"/>
  <c r="I72" i="8"/>
  <c r="J72" i="8"/>
  <c r="B73" i="8"/>
  <c r="D73" i="8"/>
  <c r="F73" i="8"/>
  <c r="G73" i="8"/>
  <c r="H73" i="8"/>
  <c r="I73" i="8"/>
  <c r="J73" i="8"/>
  <c r="B74" i="8"/>
  <c r="D74" i="8"/>
  <c r="F74" i="8"/>
  <c r="G74" i="8"/>
  <c r="H74" i="8"/>
  <c r="I74" i="8"/>
  <c r="J74" i="8"/>
  <c r="B75" i="8"/>
  <c r="D75" i="8"/>
  <c r="F75" i="8"/>
  <c r="G75" i="8"/>
  <c r="H75" i="8"/>
  <c r="I75" i="8"/>
  <c r="J75" i="8"/>
  <c r="B76" i="8"/>
  <c r="D76" i="8"/>
  <c r="F76" i="8"/>
  <c r="G76" i="8"/>
  <c r="H76" i="8"/>
  <c r="I76" i="8"/>
  <c r="J76" i="8"/>
  <c r="B77" i="8"/>
  <c r="D77" i="8"/>
  <c r="F77" i="8"/>
  <c r="G77" i="8"/>
  <c r="H77" i="8"/>
  <c r="I77" i="8"/>
  <c r="J77" i="8"/>
  <c r="B78" i="8"/>
  <c r="D78" i="8"/>
  <c r="F78" i="8"/>
  <c r="G78" i="8"/>
  <c r="H78" i="8"/>
  <c r="I78" i="8"/>
  <c r="J78" i="8"/>
  <c r="B79" i="8"/>
  <c r="D79" i="8"/>
  <c r="F79" i="8"/>
  <c r="G79" i="8"/>
  <c r="H79" i="8"/>
  <c r="I79" i="8"/>
  <c r="J79" i="8"/>
  <c r="B80" i="8"/>
  <c r="D80" i="8"/>
  <c r="F80" i="8"/>
  <c r="G80" i="8"/>
  <c r="H80" i="8"/>
  <c r="I80" i="8"/>
  <c r="J80" i="8"/>
  <c r="B81" i="8"/>
  <c r="D81" i="8"/>
  <c r="F81" i="8"/>
  <c r="G81" i="8"/>
  <c r="H81" i="8"/>
  <c r="I81" i="8"/>
  <c r="J81" i="8"/>
  <c r="B82" i="8"/>
  <c r="D82" i="8"/>
  <c r="F82" i="8"/>
  <c r="G82" i="8"/>
  <c r="H82" i="8"/>
  <c r="I82" i="8"/>
  <c r="J82" i="8"/>
  <c r="B83" i="8"/>
  <c r="D83" i="8"/>
  <c r="F83" i="8"/>
  <c r="G83" i="8"/>
  <c r="H83" i="8"/>
  <c r="I83" i="8"/>
  <c r="J83" i="8"/>
  <c r="B84" i="8"/>
  <c r="D84" i="8"/>
  <c r="F84" i="8"/>
  <c r="G84" i="8"/>
  <c r="H84" i="8"/>
  <c r="I84" i="8"/>
  <c r="J84" i="8"/>
  <c r="B85" i="8"/>
  <c r="D85" i="8"/>
  <c r="F85" i="8"/>
  <c r="G85" i="8"/>
  <c r="H85" i="8"/>
  <c r="I85" i="8"/>
  <c r="J85" i="8"/>
  <c r="B86" i="8"/>
  <c r="D86" i="8"/>
  <c r="F86" i="8"/>
  <c r="G86" i="8"/>
  <c r="H86" i="8"/>
  <c r="I86" i="8"/>
  <c r="J86" i="8"/>
  <c r="B87" i="8"/>
  <c r="D87" i="8"/>
  <c r="F87" i="8"/>
  <c r="G87" i="8"/>
  <c r="H87" i="8"/>
  <c r="I87" i="8"/>
  <c r="J87" i="8"/>
  <c r="B88" i="8"/>
  <c r="D88" i="8"/>
  <c r="F88" i="8"/>
  <c r="G88" i="8"/>
  <c r="H88" i="8"/>
  <c r="I88" i="8"/>
  <c r="J88" i="8"/>
  <c r="B89" i="8"/>
  <c r="D89" i="8"/>
  <c r="F89" i="8"/>
  <c r="G89" i="8"/>
  <c r="H89" i="8"/>
  <c r="I89" i="8"/>
  <c r="J89" i="8"/>
  <c r="B90" i="8"/>
  <c r="D90" i="8"/>
  <c r="F90" i="8"/>
  <c r="G90" i="8"/>
  <c r="H90" i="8"/>
  <c r="I90" i="8"/>
  <c r="J90" i="8"/>
  <c r="B91" i="8"/>
  <c r="D91" i="8"/>
  <c r="F91" i="8"/>
  <c r="G91" i="8"/>
  <c r="H91" i="8"/>
  <c r="I91" i="8"/>
  <c r="J91" i="8"/>
  <c r="B92" i="8"/>
  <c r="D92" i="8"/>
  <c r="F92" i="8"/>
  <c r="G92" i="8"/>
  <c r="H92" i="8"/>
  <c r="I92" i="8"/>
  <c r="J92" i="8"/>
  <c r="B93" i="8"/>
  <c r="D93" i="8"/>
  <c r="F93" i="8"/>
  <c r="G93" i="8"/>
  <c r="H93" i="8"/>
  <c r="I93" i="8"/>
  <c r="J93" i="8"/>
  <c r="B94" i="8"/>
  <c r="D94" i="8"/>
  <c r="F94" i="8"/>
  <c r="G94" i="8"/>
  <c r="H94" i="8"/>
  <c r="I94" i="8"/>
  <c r="J94" i="8"/>
  <c r="B95" i="8"/>
  <c r="D95" i="8"/>
  <c r="F95" i="8"/>
  <c r="G95" i="8"/>
  <c r="H95" i="8"/>
  <c r="I95" i="8"/>
  <c r="J95" i="8"/>
  <c r="B96" i="8"/>
  <c r="D96" i="8"/>
  <c r="F96" i="8"/>
  <c r="G96" i="8"/>
  <c r="H96" i="8"/>
  <c r="I96" i="8"/>
  <c r="J96" i="8"/>
  <c r="B97" i="8"/>
  <c r="D97" i="8"/>
  <c r="F97" i="8"/>
  <c r="G97" i="8"/>
  <c r="H97" i="8"/>
  <c r="I97" i="8"/>
  <c r="J97" i="8"/>
  <c r="B98" i="8"/>
  <c r="D98" i="8"/>
  <c r="F98" i="8"/>
  <c r="G98" i="8"/>
  <c r="H98" i="8"/>
  <c r="I98" i="8"/>
  <c r="J98" i="8"/>
  <c r="B99" i="8"/>
  <c r="D99" i="8"/>
  <c r="F99" i="8"/>
  <c r="G99" i="8"/>
  <c r="H99" i="8"/>
  <c r="I99" i="8"/>
  <c r="J99" i="8"/>
  <c r="B100" i="8"/>
  <c r="D100" i="8"/>
  <c r="F100" i="8"/>
  <c r="G100" i="8"/>
  <c r="H100" i="8"/>
  <c r="I100" i="8"/>
  <c r="J100" i="8"/>
  <c r="B101" i="8"/>
  <c r="D101" i="8"/>
  <c r="F101" i="8"/>
  <c r="G101" i="8"/>
  <c r="H101" i="8"/>
  <c r="I101" i="8"/>
  <c r="J101" i="8"/>
  <c r="B102" i="8"/>
  <c r="D102" i="8"/>
  <c r="F102" i="8"/>
  <c r="G102" i="8"/>
  <c r="H102" i="8"/>
  <c r="I102" i="8"/>
  <c r="J102" i="8"/>
  <c r="B103" i="8"/>
  <c r="D103" i="8"/>
  <c r="F103" i="8"/>
  <c r="G103" i="8"/>
  <c r="H103" i="8"/>
  <c r="I103" i="8"/>
  <c r="J103" i="8"/>
  <c r="B104" i="8"/>
  <c r="D104" i="8"/>
  <c r="F104" i="8"/>
  <c r="G104" i="8"/>
  <c r="H104" i="8"/>
  <c r="I104" i="8"/>
  <c r="J104" i="8"/>
  <c r="B105" i="8"/>
  <c r="D105" i="8"/>
  <c r="F105" i="8"/>
  <c r="G105" i="8"/>
  <c r="H105" i="8"/>
  <c r="I105" i="8"/>
  <c r="J105" i="8"/>
  <c r="B106" i="8"/>
  <c r="D106" i="8"/>
  <c r="F106" i="8"/>
  <c r="G106" i="8"/>
  <c r="H106" i="8"/>
  <c r="I106" i="8"/>
  <c r="J106" i="8"/>
  <c r="B107" i="8"/>
  <c r="D107" i="8"/>
  <c r="F107" i="8"/>
  <c r="G107" i="8"/>
  <c r="H107" i="8"/>
  <c r="I107" i="8"/>
  <c r="J107" i="8"/>
  <c r="B108" i="8"/>
  <c r="D108" i="8"/>
  <c r="F108" i="8"/>
  <c r="G108" i="8"/>
  <c r="H108" i="8"/>
  <c r="I108" i="8"/>
  <c r="J108" i="8"/>
  <c r="B109" i="8"/>
  <c r="D109" i="8"/>
  <c r="F109" i="8"/>
  <c r="G109" i="8"/>
  <c r="H109" i="8"/>
  <c r="I109" i="8"/>
  <c r="J109" i="8"/>
  <c r="B110" i="8"/>
  <c r="D110" i="8"/>
  <c r="F110" i="8"/>
  <c r="G110" i="8"/>
  <c r="H110" i="8"/>
  <c r="I110" i="8"/>
  <c r="J110" i="8"/>
  <c r="B111" i="8"/>
  <c r="D111" i="8"/>
  <c r="F111" i="8"/>
  <c r="G111" i="8"/>
  <c r="H111" i="8"/>
  <c r="I111" i="8"/>
  <c r="J111" i="8"/>
  <c r="B112" i="8"/>
  <c r="D112" i="8"/>
  <c r="F112" i="8"/>
  <c r="G112" i="8"/>
  <c r="H112" i="8"/>
  <c r="I112" i="8"/>
  <c r="J112" i="8"/>
  <c r="B113" i="8"/>
  <c r="D113" i="8"/>
  <c r="F113" i="8"/>
  <c r="G113" i="8"/>
  <c r="H113" i="8"/>
  <c r="I113" i="8"/>
  <c r="J113" i="8"/>
  <c r="B114" i="8"/>
  <c r="D114" i="8"/>
  <c r="F114" i="8"/>
  <c r="G114" i="8"/>
  <c r="H114" i="8"/>
  <c r="I114" i="8"/>
  <c r="J114" i="8"/>
  <c r="B115" i="8"/>
  <c r="D115" i="8"/>
  <c r="F115" i="8"/>
  <c r="G115" i="8"/>
  <c r="H115" i="8"/>
  <c r="I115" i="8"/>
  <c r="J115" i="8"/>
  <c r="B116" i="8"/>
  <c r="D116" i="8"/>
  <c r="F116" i="8"/>
  <c r="G116" i="8"/>
  <c r="H116" i="8"/>
  <c r="I116" i="8"/>
  <c r="J116" i="8"/>
  <c r="B117" i="8"/>
  <c r="D117" i="8"/>
  <c r="F117" i="8"/>
  <c r="G117" i="8"/>
  <c r="H117" i="8"/>
  <c r="I117" i="8"/>
  <c r="J117" i="8"/>
  <c r="B118" i="8"/>
  <c r="D118" i="8"/>
  <c r="F118" i="8"/>
  <c r="G118" i="8"/>
  <c r="H118" i="8"/>
  <c r="I118" i="8"/>
  <c r="J118" i="8"/>
  <c r="B119" i="8"/>
  <c r="D119" i="8"/>
  <c r="F119" i="8"/>
  <c r="G119" i="8"/>
  <c r="H119" i="8"/>
  <c r="I119" i="8"/>
  <c r="J119" i="8"/>
  <c r="B120" i="8"/>
  <c r="D120" i="8"/>
  <c r="F120" i="8"/>
  <c r="G120" i="8"/>
  <c r="H120" i="8"/>
  <c r="I120" i="8"/>
  <c r="J120" i="8"/>
  <c r="B121" i="8"/>
  <c r="D121" i="8"/>
  <c r="F121" i="8"/>
  <c r="G121" i="8"/>
  <c r="H121" i="8"/>
  <c r="I121" i="8"/>
  <c r="J121" i="8"/>
  <c r="B123" i="8"/>
  <c r="D123" i="8"/>
  <c r="F123" i="8"/>
  <c r="G123" i="8"/>
  <c r="H123" i="8"/>
  <c r="I123" i="8"/>
  <c r="J123" i="8"/>
  <c r="B124" i="8"/>
  <c r="D124" i="8"/>
  <c r="F124" i="8"/>
  <c r="G124" i="8"/>
  <c r="H124" i="8"/>
  <c r="I124" i="8"/>
  <c r="J124" i="8"/>
  <c r="B125" i="8"/>
  <c r="D125" i="8"/>
  <c r="F125" i="8"/>
  <c r="G125" i="8"/>
  <c r="H125" i="8"/>
  <c r="I125" i="8"/>
  <c r="J125" i="8"/>
  <c r="B126" i="8"/>
  <c r="D126" i="8"/>
  <c r="F126" i="8"/>
  <c r="G126" i="8"/>
  <c r="H126" i="8"/>
  <c r="I126" i="8"/>
  <c r="J126" i="8"/>
  <c r="B127" i="8"/>
  <c r="D127" i="8"/>
  <c r="F127" i="8"/>
  <c r="G127" i="8"/>
  <c r="H127" i="8"/>
  <c r="I127" i="8"/>
  <c r="J127" i="8"/>
  <c r="B128" i="8"/>
  <c r="D128" i="8"/>
  <c r="F128" i="8"/>
  <c r="G128" i="8"/>
  <c r="H128" i="8"/>
  <c r="I128" i="8"/>
  <c r="J128" i="8"/>
  <c r="B129" i="8"/>
  <c r="D129" i="8"/>
  <c r="F129" i="8"/>
  <c r="G129" i="8"/>
  <c r="H129" i="8"/>
  <c r="I129" i="8"/>
  <c r="J129" i="8"/>
  <c r="B130" i="8"/>
  <c r="D130" i="8"/>
  <c r="F130" i="8"/>
  <c r="G130" i="8"/>
  <c r="H130" i="8"/>
  <c r="I130" i="8"/>
  <c r="J130" i="8"/>
  <c r="B131" i="8"/>
  <c r="D131" i="8"/>
  <c r="F131" i="8"/>
  <c r="G131" i="8"/>
  <c r="H131" i="8"/>
  <c r="I131" i="8"/>
  <c r="J131" i="8"/>
  <c r="B132" i="8"/>
  <c r="D132" i="8"/>
  <c r="F132" i="8"/>
  <c r="G132" i="8"/>
  <c r="H132" i="8"/>
  <c r="I132" i="8"/>
  <c r="J132" i="8"/>
  <c r="B133" i="8"/>
  <c r="D133" i="8"/>
  <c r="F133" i="8"/>
  <c r="G133" i="8"/>
  <c r="H133" i="8"/>
  <c r="I133" i="8"/>
  <c r="J133" i="8"/>
  <c r="B134" i="8"/>
  <c r="D134" i="8"/>
  <c r="F134" i="8"/>
  <c r="G134" i="8"/>
  <c r="H134" i="8"/>
  <c r="I134" i="8"/>
  <c r="J134" i="8"/>
  <c r="B135" i="8"/>
  <c r="D135" i="8"/>
  <c r="F135" i="8"/>
  <c r="G135" i="8"/>
  <c r="H135" i="8"/>
  <c r="I135" i="8"/>
  <c r="J135" i="8"/>
  <c r="B136" i="8"/>
  <c r="D136" i="8"/>
  <c r="F136" i="8"/>
  <c r="G136" i="8"/>
  <c r="H136" i="8"/>
  <c r="I136" i="8"/>
  <c r="J136" i="8"/>
  <c r="B137" i="8"/>
  <c r="D137" i="8"/>
  <c r="F137" i="8"/>
  <c r="G137" i="8"/>
  <c r="H137" i="8"/>
  <c r="I137" i="8"/>
  <c r="J137" i="8"/>
  <c r="B138" i="8"/>
  <c r="D138" i="8"/>
  <c r="F138" i="8"/>
  <c r="G138" i="8"/>
  <c r="H138" i="8"/>
  <c r="I138" i="8"/>
  <c r="J138" i="8"/>
  <c r="B139" i="8"/>
  <c r="D139" i="8"/>
  <c r="F139" i="8"/>
  <c r="G139" i="8"/>
  <c r="H139" i="8"/>
  <c r="I139" i="8"/>
  <c r="J139" i="8"/>
  <c r="B140" i="8"/>
  <c r="D140" i="8"/>
  <c r="F140" i="8"/>
  <c r="G140" i="8"/>
  <c r="H140" i="8"/>
  <c r="I140" i="8"/>
  <c r="J140" i="8"/>
  <c r="R137" i="10" l="1"/>
  <c r="S137" i="10" s="1"/>
  <c r="Q137" i="10"/>
  <c r="R111" i="10"/>
  <c r="S111" i="10" s="1"/>
  <c r="Q111" i="10"/>
  <c r="R130" i="10"/>
  <c r="Q130" i="10"/>
  <c r="R94" i="10"/>
  <c r="S94" i="10" s="1"/>
  <c r="Q94" i="10"/>
  <c r="R84" i="10"/>
  <c r="S84" i="10" s="1"/>
  <c r="Q84" i="10"/>
  <c r="R132" i="10"/>
  <c r="S132" i="10" s="1"/>
  <c r="Q132" i="10"/>
  <c r="R121" i="10"/>
  <c r="S121" i="10" s="1"/>
  <c r="Q121" i="10"/>
  <c r="R96" i="10"/>
  <c r="S96" i="10" s="1"/>
  <c r="Q96" i="10"/>
  <c r="R135" i="10"/>
  <c r="S135" i="10" s="1"/>
  <c r="Q135" i="10"/>
  <c r="R109" i="10"/>
  <c r="S109" i="10" s="1"/>
  <c r="Q109" i="10"/>
  <c r="R128" i="10"/>
  <c r="Q128" i="10"/>
  <c r="R47" i="10"/>
  <c r="S47" i="10" s="1"/>
  <c r="Q47" i="10"/>
  <c r="R32" i="10"/>
  <c r="S32" i="10" s="1"/>
  <c r="Q32" i="10"/>
  <c r="R22" i="10"/>
  <c r="S22" i="10" s="1"/>
  <c r="Q22" i="10"/>
  <c r="R9" i="10"/>
  <c r="S9" i="10" s="1"/>
  <c r="Q9" i="10"/>
  <c r="R45" i="10"/>
  <c r="S45" i="10" s="1"/>
  <c r="Q45" i="10"/>
  <c r="R40" i="10"/>
  <c r="S40" i="10" s="1"/>
  <c r="Q40" i="10"/>
  <c r="R30" i="10"/>
  <c r="Q30" i="10"/>
  <c r="R85" i="10"/>
  <c r="S85" i="10" s="1"/>
  <c r="Q85" i="10"/>
  <c r="R70" i="10"/>
  <c r="S70" i="10" s="1"/>
  <c r="Q70" i="10"/>
  <c r="R55" i="10"/>
  <c r="S55" i="10" s="1"/>
  <c r="Q55" i="10"/>
  <c r="R134" i="10"/>
  <c r="S134" i="10" s="1"/>
  <c r="Q134" i="10"/>
  <c r="R108" i="10"/>
  <c r="S108" i="10" s="1"/>
  <c r="Q108" i="10"/>
  <c r="R78" i="10"/>
  <c r="S78" i="10" s="1"/>
  <c r="Q78" i="10"/>
  <c r="R53" i="10"/>
  <c r="S53" i="10" s="1"/>
  <c r="Q53" i="10"/>
  <c r="R33" i="10"/>
  <c r="S33" i="10" s="1"/>
  <c r="Q33" i="10"/>
  <c r="R28" i="10"/>
  <c r="S28" i="10" s="1"/>
  <c r="Q28" i="10"/>
  <c r="R23" i="10"/>
  <c r="S23" i="10" s="1"/>
  <c r="Q23" i="10"/>
  <c r="R139" i="10"/>
  <c r="S139" i="10" s="1"/>
  <c r="Q139" i="10"/>
  <c r="R98" i="10"/>
  <c r="S98" i="10" s="1"/>
  <c r="Q98" i="10"/>
  <c r="R63" i="10"/>
  <c r="S63" i="10" s="1"/>
  <c r="Q63" i="10"/>
  <c r="R95" i="10"/>
  <c r="S95" i="10" s="1"/>
  <c r="R25" i="10"/>
  <c r="S25" i="10" s="1"/>
  <c r="R73" i="10"/>
  <c r="S73" i="10" s="1"/>
  <c r="R118" i="10"/>
  <c r="S118" i="10" s="1"/>
  <c r="P99" i="16"/>
  <c r="P79" i="16"/>
  <c r="P59" i="16"/>
  <c r="P39" i="16"/>
  <c r="P29" i="16"/>
  <c r="P19" i="16"/>
  <c r="R120" i="10"/>
  <c r="R80" i="10"/>
  <c r="S80" i="10" s="1"/>
  <c r="R65" i="10"/>
  <c r="S65" i="10" s="1"/>
  <c r="R77" i="10"/>
  <c r="S77" i="10" s="1"/>
  <c r="R62" i="10"/>
  <c r="S62" i="10" s="1"/>
  <c r="R57" i="10"/>
  <c r="S57" i="10" s="1"/>
  <c r="R48" i="10"/>
  <c r="S48" i="10" s="1"/>
  <c r="P73" i="16"/>
  <c r="P100" i="16"/>
  <c r="P90" i="16"/>
  <c r="P80" i="16"/>
  <c r="P43" i="16"/>
  <c r="P60" i="16"/>
  <c r="P20" i="16"/>
  <c r="P75" i="16"/>
  <c r="P65" i="16"/>
  <c r="P92" i="16"/>
  <c r="P82" i="16"/>
  <c r="P62" i="16"/>
  <c r="P42" i="16"/>
  <c r="P118" i="16"/>
  <c r="P48" i="16"/>
  <c r="P38" i="16"/>
  <c r="P66" i="16"/>
  <c r="P36" i="16"/>
  <c r="P77" i="16"/>
  <c r="M57" i="16"/>
  <c r="P37" i="16"/>
  <c r="P125" i="16"/>
  <c r="P74" i="16"/>
  <c r="P64" i="16"/>
  <c r="P34" i="16"/>
  <c r="P101" i="16"/>
  <c r="P91" i="16"/>
  <c r="M51" i="16"/>
  <c r="P21" i="16"/>
  <c r="R75" i="10"/>
  <c r="S75" i="10" s="1"/>
  <c r="R67" i="10"/>
  <c r="R35" i="10"/>
  <c r="R50" i="10"/>
  <c r="R18" i="10"/>
  <c r="R15" i="10"/>
  <c r="S15" i="10" s="1"/>
  <c r="R92" i="10"/>
  <c r="S92" i="10" s="1"/>
  <c r="R68" i="10"/>
  <c r="R60" i="10"/>
  <c r="S60" i="10" s="1"/>
  <c r="R20" i="10"/>
  <c r="S20" i="10" s="1"/>
  <c r="R52" i="10"/>
  <c r="R42" i="10"/>
  <c r="S42" i="10" s="1"/>
  <c r="R37" i="10"/>
  <c r="R17" i="10"/>
  <c r="S17" i="10" s="1"/>
  <c r="R58" i="10"/>
  <c r="S58" i="10" s="1"/>
  <c r="R51" i="10"/>
  <c r="R125" i="10"/>
  <c r="S125" i="10" s="1"/>
  <c r="R119" i="10"/>
  <c r="R99" i="10"/>
  <c r="S99" i="10" s="1"/>
  <c r="R127" i="10"/>
  <c r="S127" i="10" s="1"/>
  <c r="R116" i="10"/>
  <c r="S116" i="10" s="1"/>
  <c r="R114" i="10"/>
  <c r="S114" i="10" s="1"/>
  <c r="R104" i="10"/>
  <c r="S104" i="10" s="1"/>
  <c r="R112" i="10"/>
  <c r="S112" i="10" s="1"/>
  <c r="R102" i="10"/>
  <c r="S102" i="10" s="1"/>
  <c r="R27" i="10"/>
  <c r="S27" i="10" s="1"/>
  <c r="R133" i="10"/>
  <c r="S133" i="10" s="1"/>
  <c r="R97" i="10"/>
  <c r="S97" i="10" s="1"/>
  <c r="R115" i="10"/>
  <c r="S115" i="10" s="1"/>
  <c r="R105" i="10"/>
  <c r="S105" i="10" s="1"/>
  <c r="R93" i="10"/>
  <c r="S93" i="10" s="1"/>
  <c r="R124" i="10"/>
  <c r="S124" i="10" s="1"/>
  <c r="R83" i="10"/>
  <c r="S83" i="10" s="1"/>
  <c r="N136" i="10"/>
  <c r="O136" i="10"/>
  <c r="M106" i="10"/>
  <c r="O106" i="10"/>
  <c r="M89" i="10"/>
  <c r="O89" i="10"/>
  <c r="P59" i="10"/>
  <c r="O59" i="10"/>
  <c r="N54" i="10"/>
  <c r="O54" i="10"/>
  <c r="N24" i="10"/>
  <c r="O24" i="10"/>
  <c r="N74" i="10"/>
  <c r="O74" i="10"/>
  <c r="N49" i="10"/>
  <c r="O49" i="10"/>
  <c r="N34" i="10"/>
  <c r="O34" i="10"/>
  <c r="M87" i="10"/>
  <c r="O87" i="10"/>
  <c r="P82" i="10"/>
  <c r="O82" i="10"/>
  <c r="P123" i="10"/>
  <c r="O123" i="10"/>
  <c r="N72" i="10"/>
  <c r="O72" i="10"/>
  <c r="M126" i="10"/>
  <c r="O126" i="10"/>
  <c r="M13" i="10"/>
  <c r="O13" i="10"/>
  <c r="P110" i="10"/>
  <c r="O110" i="10"/>
  <c r="N100" i="10"/>
  <c r="O100" i="10"/>
  <c r="D15" i="20"/>
  <c r="D18" i="20"/>
  <c r="B15" i="20"/>
  <c r="B18" i="20"/>
  <c r="D24" i="20"/>
  <c r="B24" i="20"/>
  <c r="D9" i="20"/>
  <c r="B9" i="20"/>
  <c r="L65" i="10"/>
  <c r="O65" i="10" s="1"/>
  <c r="K87" i="10"/>
  <c r="Q87" i="10" s="1"/>
  <c r="L42" i="10"/>
  <c r="Q42" i="10" s="1"/>
  <c r="K76" i="10"/>
  <c r="Q76" i="10" s="1"/>
  <c r="L98" i="10"/>
  <c r="L120" i="10"/>
  <c r="Q120" i="10" s="1"/>
  <c r="L27" i="10"/>
  <c r="K38" i="10"/>
  <c r="Q38" i="10" s="1"/>
  <c r="K82" i="10"/>
  <c r="Q82" i="10" s="1"/>
  <c r="L15" i="10"/>
  <c r="Q15" i="10" s="1"/>
  <c r="K110" i="10"/>
  <c r="Q110" i="10" s="1"/>
  <c r="L70" i="10"/>
  <c r="L28" i="10"/>
  <c r="O28" i="10" s="1"/>
  <c r="L32" i="10"/>
  <c r="L78" i="10"/>
  <c r="L104" i="10"/>
  <c r="O104" i="10" s="1"/>
  <c r="L108" i="10"/>
  <c r="K72" i="10"/>
  <c r="Q72" i="10" s="1"/>
  <c r="L109" i="10"/>
  <c r="L77" i="10"/>
  <c r="Q77" i="10" s="1"/>
  <c r="L37" i="10"/>
  <c r="Q37" i="10" s="1"/>
  <c r="L33" i="10"/>
  <c r="L20" i="10"/>
  <c r="Q20" i="10" s="1"/>
  <c r="K21" i="10"/>
  <c r="Q21" i="10" s="1"/>
  <c r="L9" i="10"/>
  <c r="L133" i="10"/>
  <c r="L97" i="10"/>
  <c r="L50" i="10"/>
  <c r="Q50" i="10" s="1"/>
  <c r="K31" i="10"/>
  <c r="Q31" i="10" s="1"/>
  <c r="L43" i="10"/>
  <c r="Q43" i="10" s="1"/>
  <c r="L121" i="10"/>
  <c r="L83" i="10"/>
  <c r="O83" i="10" s="1"/>
  <c r="K66" i="10"/>
  <c r="Q66" i="10" s="1"/>
  <c r="L55" i="10"/>
  <c r="K34" i="10"/>
  <c r="Q34" i="10" s="1"/>
  <c r="L127" i="10"/>
  <c r="O127" i="10" s="1"/>
  <c r="K123" i="10"/>
  <c r="Q123" i="10" s="1"/>
  <c r="K106" i="10"/>
  <c r="Q106" i="10" s="1"/>
  <c r="L48" i="10"/>
  <c r="O48" i="10" s="1"/>
  <c r="K136" i="10"/>
  <c r="Q136" i="10" s="1"/>
  <c r="L132" i="10"/>
  <c r="O132" i="10" s="1"/>
  <c r="L128" i="10"/>
  <c r="L92" i="10"/>
  <c r="Q92" i="10" s="1"/>
  <c r="K71" i="10"/>
  <c r="Q71" i="10" s="1"/>
  <c r="K140" i="10"/>
  <c r="Q140" i="10" s="1"/>
  <c r="L60" i="10"/>
  <c r="O60" i="10" s="1"/>
  <c r="K49" i="10"/>
  <c r="Q49" i="10" s="1"/>
  <c r="L116" i="10"/>
  <c r="L73" i="10"/>
  <c r="O73" i="10" s="1"/>
  <c r="L67" i="10"/>
  <c r="Q67" i="10" s="1"/>
  <c r="L22" i="10"/>
  <c r="L139" i="10"/>
  <c r="L111" i="10"/>
  <c r="L93" i="10"/>
  <c r="L84" i="10"/>
  <c r="L68" i="10"/>
  <c r="Q68" i="10" s="1"/>
  <c r="L62" i="10"/>
  <c r="Q62" i="10" s="1"/>
  <c r="K56" i="10"/>
  <c r="Q56" i="10" s="1"/>
  <c r="L45" i="10"/>
  <c r="O45" i="10" s="1"/>
  <c r="L23" i="10"/>
  <c r="L17" i="10"/>
  <c r="Q17" i="10" s="1"/>
  <c r="L112" i="10"/>
  <c r="L94" i="10"/>
  <c r="K89" i="10"/>
  <c r="Q89" i="10" s="1"/>
  <c r="K74" i="10"/>
  <c r="Q74" i="10" s="1"/>
  <c r="L63" i="10"/>
  <c r="L57" i="10"/>
  <c r="Q57" i="10" s="1"/>
  <c r="L40" i="10"/>
  <c r="L35" i="10"/>
  <c r="Q35" i="10" s="1"/>
  <c r="P24" i="10"/>
  <c r="L18" i="10"/>
  <c r="Q18" i="10" s="1"/>
  <c r="K13" i="10"/>
  <c r="Q13" i="10" s="1"/>
  <c r="L135" i="10"/>
  <c r="O135" i="10" s="1"/>
  <c r="L124" i="10"/>
  <c r="L102" i="10"/>
  <c r="L85" i="10"/>
  <c r="L58" i="10"/>
  <c r="O58" i="10" s="1"/>
  <c r="L52" i="10"/>
  <c r="Q52" i="10" s="1"/>
  <c r="K46" i="10"/>
  <c r="Q46" i="10" s="1"/>
  <c r="K24" i="10"/>
  <c r="Q24" i="10" s="1"/>
  <c r="L130" i="10"/>
  <c r="O130" i="10" s="1"/>
  <c r="L125" i="10"/>
  <c r="O125" i="10" s="1"/>
  <c r="K100" i="10"/>
  <c r="Q100" i="10" s="1"/>
  <c r="L80" i="10"/>
  <c r="O80" i="10" s="1"/>
  <c r="L75" i="10"/>
  <c r="Q75" i="10" s="1"/>
  <c r="L53" i="10"/>
  <c r="L47" i="10"/>
  <c r="K41" i="10"/>
  <c r="Q41" i="10" s="1"/>
  <c r="L30" i="10"/>
  <c r="L25" i="10"/>
  <c r="Q25" i="10" s="1"/>
  <c r="L118" i="10"/>
  <c r="Q118" i="10" s="1"/>
  <c r="K59" i="10"/>
  <c r="Q59" i="10" s="1"/>
  <c r="L137" i="10"/>
  <c r="L114" i="10"/>
  <c r="O114" i="10" s="1"/>
  <c r="L96" i="10"/>
  <c r="O96" i="10" s="1"/>
  <c r="L119" i="10"/>
  <c r="Q119" i="10" s="1"/>
  <c r="K14" i="10"/>
  <c r="Q14" i="10" s="1"/>
  <c r="M49" i="10"/>
  <c r="M110" i="10"/>
  <c r="M81" i="10"/>
  <c r="M46" i="10"/>
  <c r="P14" i="10"/>
  <c r="P106" i="10"/>
  <c r="M72" i="10"/>
  <c r="N71" i="10"/>
  <c r="P21" i="10"/>
  <c r="N106" i="10"/>
  <c r="M24" i="10"/>
  <c r="N110" i="10"/>
  <c r="P136" i="10"/>
  <c r="M71" i="10"/>
  <c r="M136" i="10"/>
  <c r="M34" i="10"/>
  <c r="N46" i="10"/>
  <c r="P76" i="10"/>
  <c r="P66" i="10"/>
  <c r="P41" i="10"/>
  <c r="N76" i="10"/>
  <c r="N66" i="10"/>
  <c r="P56" i="10"/>
  <c r="N41" i="10"/>
  <c r="M76" i="10"/>
  <c r="M66" i="10"/>
  <c r="N56" i="10"/>
  <c r="P54" i="10"/>
  <c r="M41" i="10"/>
  <c r="P31" i="10"/>
  <c r="M56" i="10"/>
  <c r="M54" i="10"/>
  <c r="N31" i="10"/>
  <c r="N82" i="10"/>
  <c r="M31" i="10"/>
  <c r="M82" i="10"/>
  <c r="P81" i="10"/>
  <c r="M74" i="10"/>
  <c r="M21" i="10"/>
  <c r="P49" i="10"/>
  <c r="P34" i="10"/>
  <c r="N140" i="10"/>
  <c r="M140" i="10"/>
  <c r="P140" i="10"/>
  <c r="K103" i="10"/>
  <c r="L103" i="10"/>
  <c r="O103" i="10" s="1"/>
  <c r="K107" i="10"/>
  <c r="L107" i="10"/>
  <c r="O107" i="10" s="1"/>
  <c r="K138" i="10"/>
  <c r="L138" i="10"/>
  <c r="O138" i="10" s="1"/>
  <c r="K117" i="10"/>
  <c r="L117" i="10"/>
  <c r="O117" i="10" s="1"/>
  <c r="K113" i="10"/>
  <c r="L113" i="10"/>
  <c r="O113" i="10" s="1"/>
  <c r="K129" i="10"/>
  <c r="L129" i="10"/>
  <c r="O129" i="10" s="1"/>
  <c r="L131" i="10"/>
  <c r="O131" i="10" s="1"/>
  <c r="K131" i="10"/>
  <c r="L115" i="10"/>
  <c r="O115" i="10" s="1"/>
  <c r="L105" i="10"/>
  <c r="O105" i="10" s="1"/>
  <c r="M100" i="10"/>
  <c r="P100" i="10"/>
  <c r="L61" i="10"/>
  <c r="O61" i="10" s="1"/>
  <c r="K61" i="10"/>
  <c r="M38" i="10"/>
  <c r="P38" i="10"/>
  <c r="N38" i="10"/>
  <c r="L134" i="10"/>
  <c r="O134" i="10" s="1"/>
  <c r="P126" i="10"/>
  <c r="N126" i="10"/>
  <c r="L86" i="10"/>
  <c r="O86" i="10" s="1"/>
  <c r="K86" i="10"/>
  <c r="N123" i="10"/>
  <c r="L99" i="10"/>
  <c r="Q99" i="10" s="1"/>
  <c r="N89" i="10"/>
  <c r="P89" i="10"/>
  <c r="L88" i="10"/>
  <c r="O88" i="10" s="1"/>
  <c r="K88" i="10"/>
  <c r="L79" i="10"/>
  <c r="O79" i="10" s="1"/>
  <c r="K79" i="10"/>
  <c r="L51" i="10"/>
  <c r="O51" i="10" s="1"/>
  <c r="K126" i="10"/>
  <c r="M123" i="10"/>
  <c r="L44" i="10"/>
  <c r="O44" i="10" s="1"/>
  <c r="K44" i="10"/>
  <c r="L64" i="10"/>
  <c r="O64" i="10" s="1"/>
  <c r="K64" i="10"/>
  <c r="L36" i="10"/>
  <c r="O36" i="10" s="1"/>
  <c r="K36" i="10"/>
  <c r="L26" i="10"/>
  <c r="O26" i="10" s="1"/>
  <c r="K26" i="10"/>
  <c r="L101" i="10"/>
  <c r="Q101" i="10" s="1"/>
  <c r="L95" i="10"/>
  <c r="Q95" i="10" s="1"/>
  <c r="L69" i="10"/>
  <c r="O69" i="10" s="1"/>
  <c r="K69" i="10"/>
  <c r="L19" i="10"/>
  <c r="O19" i="10" s="1"/>
  <c r="K19" i="10"/>
  <c r="L91" i="10"/>
  <c r="O91" i="10" s="1"/>
  <c r="K91" i="10"/>
  <c r="N59" i="10"/>
  <c r="M59" i="10"/>
  <c r="L39" i="10"/>
  <c r="O39" i="10" s="1"/>
  <c r="K39" i="10"/>
  <c r="L29" i="10"/>
  <c r="O29" i="10" s="1"/>
  <c r="K29" i="10"/>
  <c r="K90" i="10"/>
  <c r="L90" i="10"/>
  <c r="O90" i="10" s="1"/>
  <c r="P87" i="10"/>
  <c r="N87" i="10"/>
  <c r="N21" i="10"/>
  <c r="K16" i="10"/>
  <c r="L16" i="10"/>
  <c r="O16" i="10" s="1"/>
  <c r="N81" i="10"/>
  <c r="M14" i="10"/>
  <c r="N14" i="10"/>
  <c r="K81" i="10"/>
  <c r="Q81" i="10" s="1"/>
  <c r="P74" i="10"/>
  <c r="P71" i="10"/>
  <c r="K54" i="10"/>
  <c r="P46" i="10"/>
  <c r="P13" i="10"/>
  <c r="N13" i="10"/>
  <c r="P72" i="10"/>
  <c r="M102" i="16"/>
  <c r="P102" i="16"/>
  <c r="S102" i="16"/>
  <c r="M103" i="16"/>
  <c r="P103" i="16"/>
  <c r="S103" i="16"/>
  <c r="M104" i="16"/>
  <c r="P104" i="16"/>
  <c r="S104" i="16"/>
  <c r="M105" i="16"/>
  <c r="P105" i="16"/>
  <c r="S105" i="16"/>
  <c r="M106" i="16"/>
  <c r="P106" i="16"/>
  <c r="S106" i="16"/>
  <c r="M107" i="16"/>
  <c r="P107" i="16"/>
  <c r="S107" i="16"/>
  <c r="M108" i="16"/>
  <c r="P108" i="16"/>
  <c r="S108" i="16"/>
  <c r="M109" i="16"/>
  <c r="P109" i="16"/>
  <c r="S109" i="16"/>
  <c r="M110" i="16"/>
  <c r="P110" i="16"/>
  <c r="S110" i="16"/>
  <c r="M111" i="16"/>
  <c r="P111" i="16"/>
  <c r="S111" i="16"/>
  <c r="M112" i="16"/>
  <c r="P112" i="16"/>
  <c r="S112" i="16"/>
  <c r="M113" i="16"/>
  <c r="P113" i="16"/>
  <c r="S113" i="16"/>
  <c r="M114" i="16"/>
  <c r="P114" i="16"/>
  <c r="S114" i="16"/>
  <c r="M115" i="16"/>
  <c r="P115" i="16"/>
  <c r="S115" i="16"/>
  <c r="M116" i="16"/>
  <c r="P116" i="16"/>
  <c r="S116" i="16"/>
  <c r="M117" i="16"/>
  <c r="P117" i="16"/>
  <c r="S117" i="16"/>
  <c r="M118" i="16"/>
  <c r="S118" i="16"/>
  <c r="M119" i="16"/>
  <c r="S119" i="16"/>
  <c r="M120" i="16"/>
  <c r="S120" i="16"/>
  <c r="M121" i="16"/>
  <c r="P121" i="16"/>
  <c r="S121" i="16"/>
  <c r="M123" i="16"/>
  <c r="P123" i="16"/>
  <c r="S123" i="16"/>
  <c r="M124" i="16"/>
  <c r="P124" i="16"/>
  <c r="S124" i="16"/>
  <c r="M125" i="16"/>
  <c r="S125" i="16"/>
  <c r="M126" i="16"/>
  <c r="P126" i="16"/>
  <c r="S126" i="16"/>
  <c r="M127" i="16"/>
  <c r="P127" i="16"/>
  <c r="S127" i="16"/>
  <c r="M128" i="16"/>
  <c r="P128" i="16"/>
  <c r="S128" i="16"/>
  <c r="M129" i="16"/>
  <c r="P129" i="16"/>
  <c r="S129" i="16"/>
  <c r="M130" i="16"/>
  <c r="P130" i="16"/>
  <c r="S130" i="16"/>
  <c r="M131" i="16"/>
  <c r="P131" i="16"/>
  <c r="S131" i="16"/>
  <c r="M132" i="16"/>
  <c r="P132" i="16"/>
  <c r="S132" i="16"/>
  <c r="M133" i="16"/>
  <c r="P133" i="16"/>
  <c r="S133" i="16"/>
  <c r="M134" i="16"/>
  <c r="P134" i="16"/>
  <c r="S134" i="16"/>
  <c r="M135" i="16"/>
  <c r="P135" i="16"/>
  <c r="S135" i="16"/>
  <c r="M136" i="16"/>
  <c r="P136" i="16"/>
  <c r="S136" i="16"/>
  <c r="M137" i="16"/>
  <c r="P137" i="16"/>
  <c r="S137" i="16"/>
  <c r="M138" i="16"/>
  <c r="P138" i="16"/>
  <c r="S138" i="16"/>
  <c r="M139" i="16"/>
  <c r="P139" i="16"/>
  <c r="S139" i="16"/>
  <c r="M140" i="16"/>
  <c r="P140" i="16"/>
  <c r="S140" i="16"/>
  <c r="S37" i="10"/>
  <c r="S101" i="10"/>
  <c r="S128" i="10"/>
  <c r="S30" i="10"/>
  <c r="S130" i="10"/>
  <c r="S43" i="10"/>
  <c r="Q91" i="10" l="1"/>
  <c r="Q19" i="10"/>
  <c r="Q64" i="10"/>
  <c r="Q36" i="10"/>
  <c r="Q29" i="10"/>
  <c r="Q61" i="10"/>
  <c r="Q48" i="10"/>
  <c r="Q65" i="10"/>
  <c r="Q125" i="10"/>
  <c r="Q90" i="10"/>
  <c r="R54" i="10"/>
  <c r="S54" i="10" s="1"/>
  <c r="Q54" i="10"/>
  <c r="R131" i="10"/>
  <c r="S131" i="10" s="1"/>
  <c r="Q131" i="10"/>
  <c r="Q60" i="10"/>
  <c r="R69" i="10"/>
  <c r="S69" i="10" s="1"/>
  <c r="Q69" i="10"/>
  <c r="R44" i="10"/>
  <c r="S44" i="10" s="1"/>
  <c r="Q44" i="10"/>
  <c r="R129" i="10"/>
  <c r="S129" i="10" s="1"/>
  <c r="Q129" i="10"/>
  <c r="R103" i="10"/>
  <c r="S103" i="10" s="1"/>
  <c r="Q103" i="10"/>
  <c r="Q80" i="10"/>
  <c r="Q58" i="10"/>
  <c r="Q39" i="10"/>
  <c r="R113" i="10"/>
  <c r="S113" i="10" s="1"/>
  <c r="Q113" i="10"/>
  <c r="R107" i="10"/>
  <c r="S107" i="10" s="1"/>
  <c r="Q107" i="10"/>
  <c r="R126" i="10"/>
  <c r="S126" i="10" s="1"/>
  <c r="Q126" i="10"/>
  <c r="R86" i="10"/>
  <c r="S86" i="10" s="1"/>
  <c r="Q86" i="10"/>
  <c r="Q16" i="10"/>
  <c r="R26" i="10"/>
  <c r="S26" i="10" s="1"/>
  <c r="Q26" i="10"/>
  <c r="R117" i="10"/>
  <c r="S117" i="10" s="1"/>
  <c r="Q117" i="10"/>
  <c r="R138" i="10"/>
  <c r="S138" i="10" s="1"/>
  <c r="Q138" i="10"/>
  <c r="R88" i="10"/>
  <c r="S88" i="10" s="1"/>
  <c r="Q88" i="10"/>
  <c r="Q79" i="10"/>
  <c r="Q73" i="10"/>
  <c r="Q51" i="10"/>
  <c r="R61" i="10"/>
  <c r="R36" i="10"/>
  <c r="S36" i="10" s="1"/>
  <c r="R81" i="10"/>
  <c r="R90" i="10"/>
  <c r="S90" i="10" s="1"/>
  <c r="R19" i="10"/>
  <c r="S19" i="10" s="1"/>
  <c r="R79" i="10"/>
  <c r="S79" i="10" s="1"/>
  <c r="R29" i="10"/>
  <c r="S29" i="10" s="1"/>
  <c r="R64" i="10"/>
  <c r="S64" i="10" s="1"/>
  <c r="R16" i="10"/>
  <c r="S16" i="10" s="1"/>
  <c r="R39" i="10"/>
  <c r="S39" i="10" s="1"/>
  <c r="R14" i="10"/>
  <c r="S14" i="10" s="1"/>
  <c r="R89" i="10"/>
  <c r="S89" i="10" s="1"/>
  <c r="R21" i="10"/>
  <c r="S21" i="10" s="1"/>
  <c r="R38" i="10"/>
  <c r="S38" i="10" s="1"/>
  <c r="R59" i="10"/>
  <c r="S59" i="10" s="1"/>
  <c r="R106" i="10"/>
  <c r="S106" i="10" s="1"/>
  <c r="R13" i="10"/>
  <c r="S13" i="10" s="1"/>
  <c r="R49" i="10"/>
  <c r="S49" i="10" s="1"/>
  <c r="R123" i="10"/>
  <c r="S123" i="10" s="1"/>
  <c r="R24" i="10"/>
  <c r="S24" i="10" s="1"/>
  <c r="R140" i="10"/>
  <c r="S140" i="10" s="1"/>
  <c r="R31" i="10"/>
  <c r="S31" i="10" s="1"/>
  <c r="R41" i="10"/>
  <c r="S41" i="10" s="1"/>
  <c r="R46" i="10"/>
  <c r="S46" i="10" s="1"/>
  <c r="R71" i="10"/>
  <c r="S71" i="10" s="1"/>
  <c r="R34" i="10"/>
  <c r="S34" i="10" s="1"/>
  <c r="R76" i="10"/>
  <c r="S76" i="10" s="1"/>
  <c r="R66" i="10"/>
  <c r="S66" i="10" s="1"/>
  <c r="R72" i="10"/>
  <c r="S72" i="10" s="1"/>
  <c r="R110" i="10"/>
  <c r="S110" i="10" s="1"/>
  <c r="R87" i="10"/>
  <c r="S87" i="10" s="1"/>
  <c r="R74" i="10"/>
  <c r="S74" i="10" s="1"/>
  <c r="R136" i="10"/>
  <c r="S136" i="10" s="1"/>
  <c r="R82" i="10"/>
  <c r="S82" i="10" s="1"/>
  <c r="R56" i="10"/>
  <c r="N63" i="10"/>
  <c r="O63" i="10"/>
  <c r="N124" i="10"/>
  <c r="O124" i="10"/>
  <c r="M139" i="10"/>
  <c r="O139" i="10"/>
  <c r="P78" i="10"/>
  <c r="O78" i="10"/>
  <c r="N35" i="10"/>
  <c r="O35" i="10"/>
  <c r="P22" i="10"/>
  <c r="O22" i="10"/>
  <c r="P37" i="10"/>
  <c r="O37" i="10"/>
  <c r="P32" i="10"/>
  <c r="O32" i="10"/>
  <c r="P98" i="10"/>
  <c r="O98" i="10"/>
  <c r="O95" i="10"/>
  <c r="N47" i="10"/>
  <c r="O47" i="10"/>
  <c r="N52" i="10"/>
  <c r="O52" i="10"/>
  <c r="M40" i="10"/>
  <c r="O40" i="10"/>
  <c r="N67" i="10"/>
  <c r="O67" i="10"/>
  <c r="N50" i="10"/>
  <c r="O50" i="10"/>
  <c r="M77" i="10"/>
  <c r="O77" i="10"/>
  <c r="M116" i="10"/>
  <c r="O116" i="10"/>
  <c r="O101" i="10"/>
  <c r="M119" i="10"/>
  <c r="O119" i="10"/>
  <c r="N53" i="10"/>
  <c r="O53" i="10"/>
  <c r="N57" i="10"/>
  <c r="O57" i="10"/>
  <c r="N62" i="10"/>
  <c r="O62" i="10"/>
  <c r="N92" i="10"/>
  <c r="O92" i="10"/>
  <c r="M55" i="10"/>
  <c r="O55" i="10"/>
  <c r="M109" i="10"/>
  <c r="O109" i="10"/>
  <c r="M70" i="10"/>
  <c r="O70" i="10"/>
  <c r="N42" i="10"/>
  <c r="O42" i="10"/>
  <c r="P75" i="10"/>
  <c r="O75" i="10"/>
  <c r="P102" i="10"/>
  <c r="O102" i="10"/>
  <c r="M133" i="10"/>
  <c r="O133" i="10"/>
  <c r="M108" i="10"/>
  <c r="O108" i="10"/>
  <c r="P15" i="10"/>
  <c r="O15" i="10"/>
  <c r="N85" i="10"/>
  <c r="O85" i="10"/>
  <c r="M9" i="10"/>
  <c r="O9" i="10"/>
  <c r="P93" i="10"/>
  <c r="O93" i="10"/>
  <c r="P121" i="10"/>
  <c r="O121" i="10"/>
  <c r="P97" i="10"/>
  <c r="O97" i="10"/>
  <c r="N137" i="10"/>
  <c r="O137" i="10"/>
  <c r="P94" i="10"/>
  <c r="O94" i="10"/>
  <c r="M128" i="10"/>
  <c r="O128" i="10"/>
  <c r="P84" i="10"/>
  <c r="O84" i="10"/>
  <c r="O99" i="10"/>
  <c r="M118" i="10"/>
  <c r="O118" i="10"/>
  <c r="P112" i="10"/>
  <c r="O112" i="10"/>
  <c r="N43" i="10"/>
  <c r="O43" i="10"/>
  <c r="P27" i="10"/>
  <c r="O27" i="10"/>
  <c r="M25" i="10"/>
  <c r="O25" i="10"/>
  <c r="N18" i="10"/>
  <c r="O18" i="10"/>
  <c r="P17" i="10"/>
  <c r="O17" i="10"/>
  <c r="P111" i="10"/>
  <c r="O111" i="10"/>
  <c r="M20" i="10"/>
  <c r="O20" i="10"/>
  <c r="P120" i="10"/>
  <c r="O120" i="10"/>
  <c r="N68" i="10"/>
  <c r="O68" i="10"/>
  <c r="M30" i="10"/>
  <c r="O30" i="10"/>
  <c r="N23" i="10"/>
  <c r="O23" i="10"/>
  <c r="N33" i="10"/>
  <c r="O33" i="10"/>
  <c r="P42" i="10"/>
  <c r="M65" i="10"/>
  <c r="N65" i="10"/>
  <c r="P65" i="10"/>
  <c r="F18" i="20"/>
  <c r="M98" i="10"/>
  <c r="M43" i="10"/>
  <c r="M97" i="10"/>
  <c r="N55" i="10"/>
  <c r="N120" i="10"/>
  <c r="P133" i="10"/>
  <c r="M84" i="10"/>
  <c r="M111" i="10"/>
  <c r="P67" i="10"/>
  <c r="P60" i="10"/>
  <c r="M42" i="10"/>
  <c r="M120" i="10"/>
  <c r="P35" i="10"/>
  <c r="P43" i="10"/>
  <c r="N133" i="10"/>
  <c r="N30" i="10"/>
  <c r="P128" i="10"/>
  <c r="P30" i="10"/>
  <c r="P68" i="10"/>
  <c r="M68" i="10"/>
  <c r="M94" i="10"/>
  <c r="N98" i="10"/>
  <c r="N28" i="10"/>
  <c r="P28" i="10"/>
  <c r="M28" i="10"/>
  <c r="P80" i="10"/>
  <c r="P18" i="10"/>
  <c r="M18" i="10"/>
  <c r="P70" i="10"/>
  <c r="N84" i="10"/>
  <c r="M92" i="10"/>
  <c r="P127" i="10"/>
  <c r="P92" i="10"/>
  <c r="M127" i="10"/>
  <c r="P58" i="10"/>
  <c r="N70" i="10"/>
  <c r="P130" i="10"/>
  <c r="M58" i="10"/>
  <c r="N130" i="10"/>
  <c r="M130" i="10"/>
  <c r="N128" i="10"/>
  <c r="M35" i="10"/>
  <c r="M60" i="10"/>
  <c r="N60" i="10"/>
  <c r="P47" i="10"/>
  <c r="P63" i="10"/>
  <c r="P23" i="10"/>
  <c r="M23" i="10"/>
  <c r="M32" i="10"/>
  <c r="P33" i="10"/>
  <c r="N94" i="10"/>
  <c r="M33" i="10"/>
  <c r="N32" i="10"/>
  <c r="M83" i="10"/>
  <c r="N45" i="10"/>
  <c r="P45" i="10"/>
  <c r="P83" i="10"/>
  <c r="N80" i="10"/>
  <c r="N83" i="10"/>
  <c r="M80" i="10"/>
  <c r="N139" i="10"/>
  <c r="M27" i="10"/>
  <c r="N27" i="10"/>
  <c r="N127" i="10"/>
  <c r="N97" i="10"/>
  <c r="M112" i="10"/>
  <c r="N112" i="10"/>
  <c r="P137" i="10"/>
  <c r="M137" i="10"/>
  <c r="M47" i="10"/>
  <c r="N73" i="10"/>
  <c r="P73" i="10"/>
  <c r="M73" i="10"/>
  <c r="P85" i="10"/>
  <c r="M85" i="10"/>
  <c r="M96" i="10"/>
  <c r="N111" i="10"/>
  <c r="P96" i="10"/>
  <c r="P109" i="10"/>
  <c r="M124" i="10"/>
  <c r="N109" i="10"/>
  <c r="M50" i="10"/>
  <c r="P57" i="10"/>
  <c r="P50" i="10"/>
  <c r="P77" i="10"/>
  <c r="N78" i="10"/>
  <c r="N77" i="10"/>
  <c r="M78" i="10"/>
  <c r="N121" i="10"/>
  <c r="P124" i="10"/>
  <c r="N48" i="10"/>
  <c r="M121" i="10"/>
  <c r="N37" i="10"/>
  <c r="P119" i="10"/>
  <c r="M67" i="10"/>
  <c r="M45" i="10"/>
  <c r="N119" i="10"/>
  <c r="M37" i="10"/>
  <c r="P40" i="10"/>
  <c r="P108" i="10"/>
  <c r="M114" i="10"/>
  <c r="N108" i="10"/>
  <c r="P139" i="10"/>
  <c r="N15" i="10"/>
  <c r="M125" i="10"/>
  <c r="P52" i="10"/>
  <c r="N25" i="10"/>
  <c r="P25" i="10"/>
  <c r="P55" i="10"/>
  <c r="N132" i="10"/>
  <c r="P132" i="10"/>
  <c r="M132" i="10"/>
  <c r="M57" i="10"/>
  <c r="M15" i="10"/>
  <c r="P62" i="10"/>
  <c r="N20" i="10"/>
  <c r="P9" i="10"/>
  <c r="P53" i="10"/>
  <c r="N96" i="10"/>
  <c r="M22" i="10"/>
  <c r="P20" i="10"/>
  <c r="N9" i="10"/>
  <c r="M53" i="10"/>
  <c r="N93" i="10"/>
  <c r="M93" i="10"/>
  <c r="N114" i="10"/>
  <c r="N22" i="10"/>
  <c r="N102" i="10"/>
  <c r="N104" i="10"/>
  <c r="M102" i="10"/>
  <c r="N116" i="10"/>
  <c r="P104" i="10"/>
  <c r="M104" i="10"/>
  <c r="N40" i="10"/>
  <c r="P116" i="10"/>
  <c r="P114" i="10"/>
  <c r="M62" i="10"/>
  <c r="P118" i="10"/>
  <c r="N118" i="10"/>
  <c r="N58" i="10"/>
  <c r="P125" i="10"/>
  <c r="N125" i="10"/>
  <c r="M52" i="10"/>
  <c r="P48" i="10"/>
  <c r="M63" i="10"/>
  <c r="M48" i="10"/>
  <c r="P135" i="10"/>
  <c r="M17" i="10"/>
  <c r="N17" i="10"/>
  <c r="N135" i="10"/>
  <c r="M75" i="10"/>
  <c r="M135" i="10"/>
  <c r="N75" i="10"/>
  <c r="N36" i="10"/>
  <c r="P36" i="10"/>
  <c r="M36" i="10"/>
  <c r="N91" i="10"/>
  <c r="M91" i="10"/>
  <c r="P91" i="10"/>
  <c r="N105" i="10"/>
  <c r="P105" i="10"/>
  <c r="M105" i="10"/>
  <c r="N44" i="10"/>
  <c r="P44" i="10"/>
  <c r="M44" i="10"/>
  <c r="N115" i="10"/>
  <c r="P115" i="10"/>
  <c r="M115" i="10"/>
  <c r="M138" i="10"/>
  <c r="N138" i="10"/>
  <c r="P138" i="10"/>
  <c r="M99" i="10"/>
  <c r="N99" i="10"/>
  <c r="P99" i="10"/>
  <c r="N79" i="10"/>
  <c r="M79" i="10"/>
  <c r="P79" i="10"/>
  <c r="N39" i="10"/>
  <c r="P39" i="10"/>
  <c r="M39" i="10"/>
  <c r="N19" i="10"/>
  <c r="P19" i="10"/>
  <c r="M19" i="10"/>
  <c r="N69" i="10"/>
  <c r="P69" i="10"/>
  <c r="M69" i="10"/>
  <c r="M61" i="10"/>
  <c r="P61" i="10"/>
  <c r="N61" i="10"/>
  <c r="M131" i="10"/>
  <c r="N131" i="10"/>
  <c r="P131" i="10"/>
  <c r="M113" i="10"/>
  <c r="N113" i="10"/>
  <c r="P113" i="10"/>
  <c r="N16" i="10"/>
  <c r="P16" i="10"/>
  <c r="M16" i="10"/>
  <c r="M88" i="10"/>
  <c r="N88" i="10"/>
  <c r="P88" i="10"/>
  <c r="M103" i="10"/>
  <c r="N103" i="10"/>
  <c r="P103" i="10"/>
  <c r="N29" i="10"/>
  <c r="P29" i="10"/>
  <c r="M29" i="10"/>
  <c r="N129" i="10"/>
  <c r="M129" i="10"/>
  <c r="P129" i="10"/>
  <c r="N117" i="10"/>
  <c r="M117" i="10"/>
  <c r="P117" i="10"/>
  <c r="M51" i="10"/>
  <c r="N51" i="10"/>
  <c r="P51" i="10"/>
  <c r="M86" i="10"/>
  <c r="P86" i="10"/>
  <c r="N86" i="10"/>
  <c r="N134" i="10"/>
  <c r="P134" i="10"/>
  <c r="M134" i="10"/>
  <c r="M95" i="10"/>
  <c r="N95" i="10"/>
  <c r="P95" i="10"/>
  <c r="N26" i="10"/>
  <c r="P26" i="10"/>
  <c r="M26" i="10"/>
  <c r="N64" i="10"/>
  <c r="M64" i="10"/>
  <c r="P64" i="10"/>
  <c r="N107" i="10"/>
  <c r="M107" i="10"/>
  <c r="P107" i="10"/>
  <c r="N90" i="10"/>
  <c r="P90" i="10"/>
  <c r="M90" i="10"/>
  <c r="M101" i="10"/>
  <c r="N101" i="10"/>
  <c r="P101" i="10"/>
  <c r="J8" i="16"/>
  <c r="I8" i="16"/>
  <c r="H8" i="16"/>
  <c r="G8" i="16"/>
  <c r="F8" i="16"/>
  <c r="D8" i="16"/>
  <c r="B8" i="16"/>
  <c r="S100" i="10"/>
  <c r="S91" i="10"/>
  <c r="S51" i="10"/>
  <c r="M35" i="16" l="1"/>
  <c r="S35" i="16"/>
  <c r="M55" i="16"/>
  <c r="P55" i="16"/>
  <c r="S55" i="16"/>
  <c r="M85" i="16"/>
  <c r="P85" i="16"/>
  <c r="S85" i="16"/>
  <c r="S18" i="16"/>
  <c r="M18" i="16"/>
  <c r="P28" i="16"/>
  <c r="M28" i="16"/>
  <c r="S28" i="16"/>
  <c r="S38" i="16"/>
  <c r="M38" i="16"/>
  <c r="M48" i="16"/>
  <c r="S48" i="16"/>
  <c r="M58" i="16"/>
  <c r="S58" i="16"/>
  <c r="S68" i="16"/>
  <c r="M68" i="16"/>
  <c r="M78" i="16"/>
  <c r="P78" i="16"/>
  <c r="S78" i="16"/>
  <c r="P88" i="16"/>
  <c r="M88" i="16"/>
  <c r="S88" i="16"/>
  <c r="M98" i="16"/>
  <c r="P98" i="16"/>
  <c r="S98" i="16"/>
  <c r="M45" i="16"/>
  <c r="P45" i="16"/>
  <c r="S45" i="16"/>
  <c r="M13" i="16"/>
  <c r="S13" i="16"/>
  <c r="P13" i="16"/>
  <c r="M21" i="16"/>
  <c r="S21" i="16"/>
  <c r="M31" i="16"/>
  <c r="P31" i="16"/>
  <c r="S31" i="16"/>
  <c r="M41" i="16"/>
  <c r="P41" i="16"/>
  <c r="S41" i="16"/>
  <c r="S51" i="16"/>
  <c r="M61" i="16"/>
  <c r="S61" i="16"/>
  <c r="M71" i="16"/>
  <c r="P71" i="16"/>
  <c r="S71" i="16"/>
  <c r="M81" i="16"/>
  <c r="S81" i="16"/>
  <c r="M91" i="16"/>
  <c r="S91" i="16"/>
  <c r="M95" i="16"/>
  <c r="P95" i="16"/>
  <c r="S95" i="16"/>
  <c r="M44" i="16"/>
  <c r="P44" i="16"/>
  <c r="S44" i="16"/>
  <c r="P54" i="16"/>
  <c r="M54" i="16"/>
  <c r="S54" i="16"/>
  <c r="M64" i="16"/>
  <c r="S64" i="16"/>
  <c r="S74" i="16"/>
  <c r="M74" i="16"/>
  <c r="M84" i="16"/>
  <c r="P84" i="16"/>
  <c r="S84" i="16"/>
  <c r="P94" i="16"/>
  <c r="M94" i="16"/>
  <c r="S94" i="16"/>
  <c r="M34" i="16"/>
  <c r="S34" i="16"/>
  <c r="P17" i="16"/>
  <c r="M17" i="16"/>
  <c r="S17" i="16"/>
  <c r="S27" i="16"/>
  <c r="M27" i="16"/>
  <c r="P27" i="16"/>
  <c r="M37" i="16"/>
  <c r="S37" i="16"/>
  <c r="S47" i="16"/>
  <c r="M47" i="16"/>
  <c r="P47" i="16"/>
  <c r="S57" i="16"/>
  <c r="M67" i="16"/>
  <c r="S67" i="16"/>
  <c r="M77" i="16"/>
  <c r="S77" i="16"/>
  <c r="M87" i="16"/>
  <c r="P87" i="16"/>
  <c r="S87" i="16"/>
  <c r="P97" i="16"/>
  <c r="M97" i="16"/>
  <c r="S97" i="16"/>
  <c r="M65" i="16"/>
  <c r="S65" i="16"/>
  <c r="M24" i="16"/>
  <c r="S24" i="16"/>
  <c r="P24" i="16"/>
  <c r="M20" i="16"/>
  <c r="S20" i="16"/>
  <c r="M30" i="16"/>
  <c r="P30" i="16"/>
  <c r="S30" i="16"/>
  <c r="M40" i="16"/>
  <c r="P40" i="16"/>
  <c r="S40" i="16"/>
  <c r="M50" i="16"/>
  <c r="S50" i="16"/>
  <c r="M60" i="16"/>
  <c r="S60" i="16"/>
  <c r="M70" i="16"/>
  <c r="S70" i="16"/>
  <c r="P70" i="16"/>
  <c r="M80" i="16"/>
  <c r="S80" i="16"/>
  <c r="M90" i="16"/>
  <c r="S90" i="16"/>
  <c r="M100" i="16"/>
  <c r="S100" i="16"/>
  <c r="M25" i="16"/>
  <c r="P25" i="16"/>
  <c r="S25" i="16"/>
  <c r="P23" i="16"/>
  <c r="S23" i="16"/>
  <c r="M23" i="16"/>
  <c r="P33" i="16"/>
  <c r="S33" i="16"/>
  <c r="M33" i="16"/>
  <c r="S43" i="16"/>
  <c r="M43" i="16"/>
  <c r="P53" i="16"/>
  <c r="S53" i="16"/>
  <c r="M53" i="16"/>
  <c r="P63" i="16"/>
  <c r="S63" i="16"/>
  <c r="M63" i="16"/>
  <c r="S73" i="16"/>
  <c r="M73" i="16"/>
  <c r="P83" i="16"/>
  <c r="S83" i="16"/>
  <c r="M83" i="16"/>
  <c r="P93" i="16"/>
  <c r="S93" i="16"/>
  <c r="M93" i="16"/>
  <c r="M75" i="16"/>
  <c r="S75" i="16"/>
  <c r="M9" i="16"/>
  <c r="P9" i="16"/>
  <c r="S9" i="16"/>
  <c r="S16" i="16"/>
  <c r="M16" i="16"/>
  <c r="P16" i="16"/>
  <c r="S26" i="16"/>
  <c r="P26" i="16"/>
  <c r="M26" i="16"/>
  <c r="S36" i="16"/>
  <c r="M36" i="16"/>
  <c r="S46" i="16"/>
  <c r="P46" i="16"/>
  <c r="M46" i="16"/>
  <c r="S56" i="16"/>
  <c r="M56" i="16"/>
  <c r="S66" i="16"/>
  <c r="M66" i="16"/>
  <c r="S76" i="16"/>
  <c r="M76" i="16"/>
  <c r="P76" i="16"/>
  <c r="S86" i="16"/>
  <c r="M86" i="16"/>
  <c r="P86" i="16"/>
  <c r="S96" i="16"/>
  <c r="P96" i="16"/>
  <c r="M96" i="16"/>
  <c r="M14" i="16"/>
  <c r="P14" i="16"/>
  <c r="S14" i="16"/>
  <c r="S19" i="16"/>
  <c r="M19" i="16"/>
  <c r="S29" i="16"/>
  <c r="M29" i="16"/>
  <c r="M39" i="16"/>
  <c r="S39" i="16"/>
  <c r="S49" i="16"/>
  <c r="M49" i="16"/>
  <c r="P49" i="16"/>
  <c r="S59" i="16"/>
  <c r="M59" i="16"/>
  <c r="S69" i="16"/>
  <c r="P69" i="16"/>
  <c r="M69" i="16"/>
  <c r="S79" i="16"/>
  <c r="M79" i="16"/>
  <c r="S89" i="16"/>
  <c r="P89" i="16"/>
  <c r="M89" i="16"/>
  <c r="M99" i="16"/>
  <c r="S99" i="16"/>
  <c r="M15" i="16"/>
  <c r="P15" i="16"/>
  <c r="S15" i="16"/>
  <c r="M22" i="16"/>
  <c r="P22" i="16"/>
  <c r="S22" i="16"/>
  <c r="M32" i="16"/>
  <c r="P32" i="16"/>
  <c r="S32" i="16"/>
  <c r="M42" i="16"/>
  <c r="S42" i="16"/>
  <c r="M52" i="16"/>
  <c r="S52" i="16"/>
  <c r="S62" i="16"/>
  <c r="M62" i="16"/>
  <c r="M72" i="16"/>
  <c r="P72" i="16"/>
  <c r="S72" i="16"/>
  <c r="M82" i="16"/>
  <c r="S82" i="16"/>
  <c r="M92" i="16"/>
  <c r="S92" i="16"/>
  <c r="S101" i="16"/>
  <c r="M101" i="16"/>
  <c r="S8" i="16"/>
  <c r="P8" i="16"/>
  <c r="M8" i="16"/>
  <c r="X145" i="16" l="1"/>
  <c r="X155" i="16"/>
  <c r="X156" i="16"/>
  <c r="X157" i="16"/>
  <c r="X149" i="16"/>
  <c r="X159" i="16"/>
  <c r="X150" i="16"/>
  <c r="X160" i="16"/>
  <c r="X151" i="16"/>
  <c r="X161" i="16"/>
  <c r="X146" i="16"/>
  <c r="X147" i="16"/>
  <c r="X158" i="16"/>
  <c r="X152" i="16"/>
  <c r="X162" i="16"/>
  <c r="X153" i="16"/>
  <c r="X163" i="16"/>
  <c r="X154" i="16"/>
  <c r="X164" i="16"/>
  <c r="X143" i="16"/>
  <c r="X144" i="16"/>
  <c r="X148" i="16"/>
  <c r="K155" i="16"/>
  <c r="K157" i="16"/>
  <c r="S165" i="16"/>
  <c r="K156" i="16"/>
  <c r="S167" i="16"/>
  <c r="I156" i="16"/>
  <c r="L156" i="16"/>
  <c r="J156" i="16"/>
  <c r="O166" i="16"/>
  <c r="S153" i="16"/>
  <c r="S173" i="16"/>
  <c r="T173" i="16" s="1"/>
  <c r="P160" i="16"/>
  <c r="S150" i="16"/>
  <c r="K149" i="16"/>
  <c r="J169" i="16"/>
  <c r="L154" i="16"/>
  <c r="O147" i="16"/>
  <c r="I162" i="16"/>
  <c r="P157" i="16"/>
  <c r="S158" i="16"/>
  <c r="K145" i="16"/>
  <c r="J165" i="16"/>
  <c r="L150" i="16"/>
  <c r="K170" i="16"/>
  <c r="I158" i="16"/>
  <c r="P149" i="16"/>
  <c r="J163" i="16"/>
  <c r="O160" i="16"/>
  <c r="K153" i="16"/>
  <c r="S171" i="16"/>
  <c r="Q171" i="16" s="1"/>
  <c r="J144" i="16"/>
  <c r="K166" i="16"/>
  <c r="I152" i="16"/>
  <c r="L171" i="16"/>
  <c r="J159" i="16"/>
  <c r="O152" i="16"/>
  <c r="K164" i="16"/>
  <c r="P162" i="16"/>
  <c r="S144" i="16"/>
  <c r="I148" i="16"/>
  <c r="L167" i="16"/>
  <c r="J153" i="16"/>
  <c r="O144" i="16"/>
  <c r="K160" i="16"/>
  <c r="P154" i="16"/>
  <c r="I143" i="16"/>
  <c r="I144" i="16"/>
  <c r="S163" i="16"/>
  <c r="L146" i="16"/>
  <c r="I169" i="16"/>
  <c r="K154" i="16"/>
  <c r="P146" i="16"/>
  <c r="L161" i="16"/>
  <c r="O157" i="16"/>
  <c r="S157" i="16"/>
  <c r="J145" i="16"/>
  <c r="I165" i="16"/>
  <c r="K150" i="16"/>
  <c r="J170" i="16"/>
  <c r="O149" i="16"/>
  <c r="I163" i="16"/>
  <c r="P159" i="16"/>
  <c r="S162" i="16"/>
  <c r="K146" i="16"/>
  <c r="P144" i="16"/>
  <c r="S149" i="16"/>
  <c r="J149" i="16"/>
  <c r="K171" i="16"/>
  <c r="I159" i="16"/>
  <c r="P151" i="16"/>
  <c r="J164" i="16"/>
  <c r="O162" i="16"/>
  <c r="S156" i="16"/>
  <c r="L147" i="16"/>
  <c r="K167" i="16"/>
  <c r="I153" i="16"/>
  <c r="L172" i="16"/>
  <c r="J160" i="16"/>
  <c r="O154" i="16"/>
  <c r="L143" i="16"/>
  <c r="O143" i="16"/>
  <c r="S148" i="16"/>
  <c r="I149" i="16"/>
  <c r="L160" i="16"/>
  <c r="J166" i="16"/>
  <c r="L151" i="16"/>
  <c r="O146" i="16"/>
  <c r="K161" i="16"/>
  <c r="P156" i="16"/>
  <c r="O169" i="16"/>
  <c r="I145" i="16"/>
  <c r="S143" i="16"/>
  <c r="J150" i="16"/>
  <c r="I170" i="16"/>
  <c r="P148" i="16"/>
  <c r="L162" i="16"/>
  <c r="O159" i="16"/>
  <c r="S161" i="16"/>
  <c r="J146" i="16"/>
  <c r="I166" i="16"/>
  <c r="K151" i="16"/>
  <c r="L168" i="16"/>
  <c r="J154" i="16"/>
  <c r="O151" i="16"/>
  <c r="I164" i="16"/>
  <c r="P161" i="16"/>
  <c r="S169" i="16"/>
  <c r="K147" i="16"/>
  <c r="J167" i="16"/>
  <c r="L152" i="16"/>
  <c r="K172" i="16"/>
  <c r="I160" i="16"/>
  <c r="P153" i="16"/>
  <c r="K143" i="16"/>
  <c r="P143" i="16"/>
  <c r="S147" i="16"/>
  <c r="L148" i="16"/>
  <c r="K168" i="16"/>
  <c r="I154" i="16"/>
  <c r="J171" i="16"/>
  <c r="L158" i="16"/>
  <c r="O156" i="16"/>
  <c r="O170" i="16"/>
  <c r="L144" i="16"/>
  <c r="S152" i="16"/>
  <c r="I150" i="16"/>
  <c r="L169" i="16"/>
  <c r="O148" i="16"/>
  <c r="K162" i="16"/>
  <c r="P158" i="16"/>
  <c r="S160" i="16"/>
  <c r="I146" i="16"/>
  <c r="L165" i="16"/>
  <c r="J151" i="16"/>
  <c r="I171" i="16"/>
  <c r="K158" i="16"/>
  <c r="P145" i="16"/>
  <c r="J161" i="16"/>
  <c r="O161" i="16"/>
  <c r="S166" i="16"/>
  <c r="J147" i="16"/>
  <c r="I167" i="16"/>
  <c r="K152" i="16"/>
  <c r="J172" i="16"/>
  <c r="L159" i="16"/>
  <c r="O153" i="16"/>
  <c r="J143" i="16"/>
  <c r="P163" i="16"/>
  <c r="S146" i="16"/>
  <c r="K148" i="16"/>
  <c r="J168" i="16"/>
  <c r="L153" i="16"/>
  <c r="O145" i="16"/>
  <c r="I161" i="16"/>
  <c r="O155" i="16"/>
  <c r="P150" i="16"/>
  <c r="L163" i="16"/>
  <c r="K144" i="16"/>
  <c r="S151" i="16"/>
  <c r="L149" i="16"/>
  <c r="K169" i="16"/>
  <c r="P147" i="16"/>
  <c r="J162" i="16"/>
  <c r="O158" i="16"/>
  <c r="S159" i="16"/>
  <c r="L145" i="16"/>
  <c r="K165" i="16"/>
  <c r="I151" i="16"/>
  <c r="L170" i="16"/>
  <c r="J158" i="16"/>
  <c r="O150" i="16"/>
  <c r="K163" i="16"/>
  <c r="I168" i="16"/>
  <c r="P155" i="16"/>
  <c r="S164" i="16"/>
  <c r="I147" i="16"/>
  <c r="L166" i="16"/>
  <c r="J152" i="16"/>
  <c r="I172" i="16"/>
  <c r="K159" i="16"/>
  <c r="P152" i="16"/>
  <c r="L164" i="16"/>
  <c r="O163" i="16"/>
  <c r="S145" i="16"/>
  <c r="J148" i="16"/>
  <c r="K51" i="15"/>
  <c r="N51" i="15" s="1"/>
  <c r="K52" i="15"/>
  <c r="N52" i="15" s="1"/>
  <c r="K49" i="15"/>
  <c r="K45" i="15"/>
  <c r="K33" i="15"/>
  <c r="K31" i="15"/>
  <c r="K26" i="15"/>
  <c r="K13" i="15"/>
  <c r="K19" i="15"/>
  <c r="K17" i="15"/>
  <c r="K14" i="15"/>
  <c r="K8" i="15"/>
  <c r="K48" i="15"/>
  <c r="N48" i="15" s="1"/>
  <c r="K32" i="15"/>
  <c r="K30" i="15"/>
  <c r="K29" i="15"/>
  <c r="K25" i="15"/>
  <c r="K24" i="15"/>
  <c r="K21" i="15"/>
  <c r="K20" i="15"/>
  <c r="K12" i="15"/>
  <c r="K9" i="15"/>
  <c r="N20" i="15" l="1"/>
  <c r="Q173" i="16"/>
  <c r="F30" i="20"/>
  <c r="F15" i="20"/>
  <c r="D3" i="16"/>
  <c r="T171" i="16"/>
  <c r="N11" i="15"/>
  <c r="N8" i="15"/>
  <c r="K18" i="15"/>
  <c r="K15" i="15"/>
  <c r="N15" i="15" s="1"/>
  <c r="K10" i="15"/>
  <c r="F8" i="10" l="1"/>
  <c r="L8" i="10" s="1"/>
  <c r="O8" i="10" s="1"/>
  <c r="G8" i="10"/>
  <c r="I8" i="10"/>
  <c r="J8" i="10"/>
  <c r="M8" i="10" l="1"/>
  <c r="K8" i="10"/>
  <c r="P8" i="10"/>
  <c r="N8" i="10"/>
  <c r="R8" i="10" l="1"/>
  <c r="S8" i="10" s="1"/>
  <c r="Q8" i="10"/>
  <c r="J8" i="12" l="1"/>
  <c r="I8" i="12"/>
  <c r="H8" i="12"/>
  <c r="G8" i="12"/>
  <c r="F8" i="12"/>
  <c r="D8" i="12"/>
  <c r="B8" i="12"/>
  <c r="D8" i="10" l="1"/>
  <c r="B8" i="10"/>
  <c r="B8" i="8"/>
  <c r="F8" i="8"/>
  <c r="G8" i="8"/>
  <c r="H8" i="8"/>
  <c r="I8" i="8"/>
  <c r="J8" i="8"/>
  <c r="D8" i="8"/>
</calcChain>
</file>

<file path=xl/sharedStrings.xml><?xml version="1.0" encoding="utf-8"?>
<sst xmlns="http://schemas.openxmlformats.org/spreadsheetml/2006/main" count="4671" uniqueCount="775">
  <si>
    <t>N° AFFAIRE</t>
  </si>
  <si>
    <t xml:space="preserve">TYPE </t>
  </si>
  <si>
    <t>DESIGNATION</t>
  </si>
  <si>
    <t>POSITION MOTOREDUCTEUR</t>
  </si>
  <si>
    <t>POSITION BAB</t>
  </si>
  <si>
    <t xml:space="preserve">FACTEUR DE SERVICE MINI </t>
  </si>
  <si>
    <t>BRAS DE COUPLE</t>
  </si>
  <si>
    <t>POIDS</t>
  </si>
  <si>
    <t>FINITION</t>
  </si>
  <si>
    <t>Description</t>
  </si>
  <si>
    <t>A</t>
  </si>
  <si>
    <t>CHASSE PIERRE</t>
  </si>
  <si>
    <t>VARIATEUR</t>
  </si>
  <si>
    <t>MODIFICATIONS</t>
  </si>
  <si>
    <t>NVX /
SUP /
MOD /</t>
  </si>
  <si>
    <t>COMPOSITION EQUIPEMENTS</t>
  </si>
  <si>
    <t>PESAGE</t>
  </si>
  <si>
    <t>TYPE D'ECHANGE</t>
  </si>
  <si>
    <t>ECLAIRAGE</t>
  </si>
  <si>
    <t>N° PLAN</t>
  </si>
  <si>
    <t>MATIERE BANDE</t>
  </si>
  <si>
    <t>QUALITE</t>
  </si>
  <si>
    <t>BANDES</t>
  </si>
  <si>
    <t>EN FOND ORANGE</t>
  </si>
  <si>
    <t>CBA</t>
  </si>
  <si>
    <t>COMPOSANTS ELEC</t>
  </si>
  <si>
    <t>-</t>
  </si>
  <si>
    <t>MOTEUR IE3/IE4/IE5</t>
  </si>
  <si>
    <t>Types</t>
  </si>
  <si>
    <t>TBE</t>
  </si>
  <si>
    <t>TBM</t>
  </si>
  <si>
    <t>TRI</t>
  </si>
  <si>
    <t>ACO</t>
  </si>
  <si>
    <t>CAI</t>
  </si>
  <si>
    <t>SOP</t>
  </si>
  <si>
    <t>TRO</t>
  </si>
  <si>
    <t>EAB</t>
  </si>
  <si>
    <t>PAP</t>
  </si>
  <si>
    <t>PAB</t>
  </si>
  <si>
    <t>GLT</t>
  </si>
  <si>
    <t>CHA</t>
  </si>
  <si>
    <t>Convoyeur TBE</t>
  </si>
  <si>
    <t>Convoyeur TBM</t>
  </si>
  <si>
    <t>Convoyeur TRI</t>
  </si>
  <si>
    <t>Convoyeur CBA</t>
  </si>
  <si>
    <t>Convoyeur EAB</t>
  </si>
  <si>
    <t>Convoyeur Accélérateur</t>
  </si>
  <si>
    <t>Caisson d'ejection</t>
  </si>
  <si>
    <t>Tri Optique</t>
  </si>
  <si>
    <t>Trommel</t>
  </si>
  <si>
    <t>Presse à Paquet</t>
  </si>
  <si>
    <t>Presse à Balles</t>
  </si>
  <si>
    <t>Tremies/Goulottes</t>
  </si>
  <si>
    <t>Charpente</t>
  </si>
  <si>
    <t>BAL</t>
  </si>
  <si>
    <t>Balistique</t>
  </si>
  <si>
    <t>CRI</t>
  </si>
  <si>
    <t>Crible</t>
  </si>
  <si>
    <t>ETM</t>
  </si>
  <si>
    <t>Convoyeur ETM</t>
  </si>
  <si>
    <t>FABRIQUANT</t>
  </si>
  <si>
    <t>ANGLE CASSE INFERIEUR (°)</t>
  </si>
  <si>
    <t>ANGLE CASSE SUPERIEUR (°)</t>
  </si>
  <si>
    <t>LARGEUR 
DE BANDE (mm)</t>
  </si>
  <si>
    <t>INCLINAISON (°)</t>
  </si>
  <si>
    <t>POSITION MOTEUR</t>
  </si>
  <si>
    <t>MAINTENANCE TETE</t>
  </si>
  <si>
    <t>MAINTENANCE PIED</t>
  </si>
  <si>
    <t>SILO TBU</t>
  </si>
  <si>
    <t>SILO EAB</t>
  </si>
  <si>
    <t>CHAINE</t>
  </si>
  <si>
    <t>MOTOREDUCTEURS</t>
  </si>
  <si>
    <t>retrait</t>
  </si>
  <si>
    <t>angle inf</t>
  </si>
  <si>
    <t>angle sup</t>
  </si>
  <si>
    <t>Composition</t>
  </si>
  <si>
    <t>3+0</t>
  </si>
  <si>
    <t>TBZ</t>
  </si>
  <si>
    <t>TBU</t>
  </si>
  <si>
    <t>4+2</t>
  </si>
  <si>
    <r>
      <t>Largeur d'etagement bande L</t>
    </r>
    <r>
      <rPr>
        <vertAlign val="subscript"/>
        <sz val="11"/>
        <color theme="1"/>
        <rFont val="Calibri"/>
        <family val="2"/>
        <scheme val="minor"/>
      </rPr>
      <t>S</t>
    </r>
  </si>
  <si>
    <t>X</t>
  </si>
  <si>
    <t>Convoyeur TBZ</t>
  </si>
  <si>
    <t>Convoyeur TBU</t>
  </si>
  <si>
    <t>SAE</t>
  </si>
  <si>
    <t>Séparateur Aéraulique</t>
  </si>
  <si>
    <t>presence</t>
  </si>
  <si>
    <t>Bande</t>
  </si>
  <si>
    <t>TYPE DE REDUCTEUR</t>
  </si>
  <si>
    <t>Bande à tasseaux si angle &gt;</t>
  </si>
  <si>
    <t>TYPE DE BANDE</t>
  </si>
  <si>
    <t>REFERENCE CONSOMMATEUR
a,b,c…</t>
  </si>
  <si>
    <t>PUISSANCE
(kW)</t>
  </si>
  <si>
    <t>COUPLE
(Nm)</t>
  </si>
  <si>
    <t>VITESSE DE SORTIE REDUCTEUR (Tr/min)</t>
  </si>
  <si>
    <t>DIAMETRE ARBRE (mm)</t>
  </si>
  <si>
    <t>NAV</t>
  </si>
  <si>
    <t>Système navette pour convoyeur</t>
  </si>
  <si>
    <t>Saisir le nombre d'équipements de chaque type</t>
  </si>
  <si>
    <t>â</t>
  </si>
  <si>
    <t>REVISION</t>
  </si>
  <si>
    <t>EQUIPEMENT</t>
  </si>
  <si>
    <t>PALIER</t>
  </si>
  <si>
    <t>CAPOT</t>
  </si>
  <si>
    <t>TYPE</t>
  </si>
  <si>
    <t>QTE</t>
  </si>
  <si>
    <t>REFERENCE</t>
  </si>
  <si>
    <t>FY 50 TF</t>
  </si>
  <si>
    <t>CASSE TBM</t>
  </si>
  <si>
    <t>FYTB 50 TF</t>
  </si>
  <si>
    <t>TBE PIED</t>
  </si>
  <si>
    <t>TBE TETE</t>
  </si>
  <si>
    <t>CASSE TBE</t>
  </si>
  <si>
    <t>⚠ Indiquer le nombre d'arbre de navette ⚠</t>
  </si>
  <si>
    <t>à</t>
  </si>
  <si>
    <t>UKP 213+H2313 X</t>
  </si>
  <si>
    <t>TRI PIED</t>
  </si>
  <si>
    <t>TRI TETE</t>
  </si>
  <si>
    <t>UKF 216+H2316 X</t>
  </si>
  <si>
    <t xml:space="preserve">PAL REF FNL515-A COMPLET </t>
  </si>
  <si>
    <t>Intégré</t>
  </si>
  <si>
    <t>PAL REF FNL515-B COMPLET</t>
  </si>
  <si>
    <t>CAI Binaire</t>
  </si>
  <si>
    <t>FYTB 35 TF</t>
  </si>
  <si>
    <t>CAI Ternaire</t>
  </si>
  <si>
    <t>PAL REF FNL522-A COMPLET</t>
  </si>
  <si>
    <t>PAL REF FNL522-B COMPLET</t>
  </si>
  <si>
    <t>EAB PIED</t>
  </si>
  <si>
    <t>UKT 216+H2316 X</t>
  </si>
  <si>
    <t>SILO EAB PIED</t>
  </si>
  <si>
    <t>EBOULEUR</t>
  </si>
  <si>
    <t>UKF 213+H2313 X</t>
  </si>
  <si>
    <t>TROMMEL</t>
  </si>
  <si>
    <t>REG</t>
  </si>
  <si>
    <t>RAM ETQ</t>
  </si>
  <si>
    <t>FYTB 40 TF</t>
  </si>
  <si>
    <t>RED</t>
  </si>
  <si>
    <t>EBL</t>
  </si>
  <si>
    <t>Ebouleur</t>
  </si>
  <si>
    <t>Redler</t>
  </si>
  <si>
    <t>Regulateur de couche</t>
  </si>
  <si>
    <t>RESISTANCE A LA TRACTION (Nm)</t>
  </si>
  <si>
    <t>NOMBRE DE PLIS</t>
  </si>
  <si>
    <t>COMPOSITION DE LA BANDE (3+0, 4+2...)</t>
  </si>
  <si>
    <t>FINITION DE LA BANDE</t>
  </si>
  <si>
    <t>COMMENTAIRES</t>
  </si>
  <si>
    <t>LONGUEUR A COMMANDER (m)</t>
  </si>
  <si>
    <t>BOTIER DE SECTIONNEMENT LOCAL</t>
  </si>
  <si>
    <t>COFFRET DE COMMANDE LOCAL</t>
  </si>
  <si>
    <t>GACHE MAGNETIQUE</t>
  </si>
  <si>
    <t>COMMUTATEUR A CLE</t>
  </si>
  <si>
    <t>CLES DE TRANSFERT</t>
  </si>
  <si>
    <t>A.U. CABLES</t>
  </si>
  <si>
    <t>CONTACTEUR DE SECURITE</t>
  </si>
  <si>
    <t>CONTROLEUR DE ROTATION</t>
  </si>
  <si>
    <t>A.U. COUP DE POING</t>
  </si>
  <si>
    <t>SONDE NIVEAU / BOURRAGE</t>
  </si>
  <si>
    <t>DETECTEUR POSITION</t>
  </si>
  <si>
    <t>COFFRET DE MAINTENANCE</t>
  </si>
  <si>
    <t>NOM</t>
  </si>
  <si>
    <t xml:space="preserve"> Arbre</t>
  </si>
  <si>
    <t>50mm</t>
  </si>
  <si>
    <t>60mm</t>
  </si>
  <si>
    <t>70mm</t>
  </si>
  <si>
    <t>65mm</t>
  </si>
  <si>
    <t>35mm</t>
  </si>
  <si>
    <t>EAB TETE 70</t>
  </si>
  <si>
    <t>EAB TETE 100</t>
  </si>
  <si>
    <t>100mm</t>
  </si>
  <si>
    <t>SILO EAB TETE 70</t>
  </si>
  <si>
    <t>SILO EAB TETE 100</t>
  </si>
  <si>
    <t>80mm</t>
  </si>
  <si>
    <t>40mm</t>
  </si>
  <si>
    <t>REF MOTOREDUCTEUR</t>
  </si>
  <si>
    <t>TAMBOUR</t>
  </si>
  <si>
    <t>Tambour mené</t>
  </si>
  <si>
    <t>Rouleaux Lisse</t>
  </si>
  <si>
    <t>Largeur</t>
  </si>
  <si>
    <t>SILO</t>
  </si>
  <si>
    <t>Plan non crée</t>
  </si>
  <si>
    <t>Inexistant</t>
  </si>
  <si>
    <t>CBA1000020</t>
  </si>
  <si>
    <t>CBA1200020</t>
  </si>
  <si>
    <t>CBA1400020</t>
  </si>
  <si>
    <t>CBA1600020</t>
  </si>
  <si>
    <t>CBA1800020</t>
  </si>
  <si>
    <t>TBE2200007</t>
  </si>
  <si>
    <t>Rouleaux Retour</t>
  </si>
  <si>
    <t>ACO-1200008</t>
  </si>
  <si>
    <t>CBA1400008</t>
  </si>
  <si>
    <t>CBA1600008</t>
  </si>
  <si>
    <t>CBA1800008</t>
  </si>
  <si>
    <t>ACO-2000008</t>
  </si>
  <si>
    <t>TBE2200008</t>
  </si>
  <si>
    <t>Rouleaux Latéraux</t>
  </si>
  <si>
    <t>TRI0600008</t>
  </si>
  <si>
    <t>TRI0800008</t>
  </si>
  <si>
    <t>TRI1000008</t>
  </si>
  <si>
    <t>TRI1200008</t>
  </si>
  <si>
    <t>TRI1400008</t>
  </si>
  <si>
    <t>TRI1800008</t>
  </si>
  <si>
    <t>TBE0600007</t>
  </si>
  <si>
    <t>TBE0800007</t>
  </si>
  <si>
    <t>TBE1000007</t>
  </si>
  <si>
    <t>TBE1200007</t>
  </si>
  <si>
    <t>TBE1400007</t>
  </si>
  <si>
    <t>TBE1600007</t>
  </si>
  <si>
    <t>TBE1800007</t>
  </si>
  <si>
    <t>TBE2000007</t>
  </si>
  <si>
    <t>TBE2400007</t>
  </si>
  <si>
    <t>TBE0600008</t>
  </si>
  <si>
    <t>TBE0800008</t>
  </si>
  <si>
    <t>TBE1000008</t>
  </si>
  <si>
    <t>TBE1200008</t>
  </si>
  <si>
    <t>TBE1400008</t>
  </si>
  <si>
    <t>TBE1600008</t>
  </si>
  <si>
    <t>TBE1800008</t>
  </si>
  <si>
    <t>TBE2000008</t>
  </si>
  <si>
    <t>TBE2400008</t>
  </si>
  <si>
    <t>TBE2800008</t>
  </si>
  <si>
    <t>TBU0600007</t>
  </si>
  <si>
    <t>TBU0800007</t>
  </si>
  <si>
    <t>TBU1000007</t>
  </si>
  <si>
    <t>TBU1200007</t>
  </si>
  <si>
    <t>TBU1400007</t>
  </si>
  <si>
    <t>TBU1600007</t>
  </si>
  <si>
    <t>TBU1800007</t>
  </si>
  <si>
    <t>TBU2000007</t>
  </si>
  <si>
    <t>TBU2400007</t>
  </si>
  <si>
    <t>TBU0600008</t>
  </si>
  <si>
    <t>TBU0800008</t>
  </si>
  <si>
    <t>TBU1000008</t>
  </si>
  <si>
    <t>TBU1200008</t>
  </si>
  <si>
    <t>TBU1400008</t>
  </si>
  <si>
    <t>TBU1600008</t>
  </si>
  <si>
    <t>TBU1800008</t>
  </si>
  <si>
    <t>TBU2000008</t>
  </si>
  <si>
    <t>TBU2400008</t>
  </si>
  <si>
    <t>TBU2800008</t>
  </si>
  <si>
    <t>CBA1000008</t>
  </si>
  <si>
    <t>CBA1200008</t>
  </si>
  <si>
    <t>ACO-2800008</t>
  </si>
  <si>
    <t>ACO-2400008</t>
  </si>
  <si>
    <t>ACO-1600008</t>
  </si>
  <si>
    <t>ACO-1400008</t>
  </si>
  <si>
    <t>ACO-1000008</t>
  </si>
  <si>
    <t>KA37</t>
  </si>
  <si>
    <t>KA47</t>
  </si>
  <si>
    <t>KA57</t>
  </si>
  <si>
    <t>KA67</t>
  </si>
  <si>
    <t>KA77</t>
  </si>
  <si>
    <t>KA87</t>
  </si>
  <si>
    <t>KA97</t>
  </si>
  <si>
    <t>SK9012</t>
  </si>
  <si>
    <t>SK9022</t>
  </si>
  <si>
    <t>SK92772</t>
  </si>
  <si>
    <t>SK9032</t>
  </si>
  <si>
    <t>SK9043</t>
  </si>
  <si>
    <t>Type de tambour</t>
  </si>
  <si>
    <t>Arbre de tête moteurs</t>
  </si>
  <si>
    <t>Moteur</t>
  </si>
  <si>
    <t>Arbre de pied moteurs</t>
  </si>
  <si>
    <t>Arbre de pied mené</t>
  </si>
  <si>
    <t>Assemblage tambour de tête moteurs</t>
  </si>
  <si>
    <t>Assemblage tambour de pied mené</t>
  </si>
  <si>
    <t>Assemblage tambour de pied moteurs</t>
  </si>
  <si>
    <t>Arbre de tête mené</t>
  </si>
  <si>
    <t>Assemblage tambour de tête mené</t>
  </si>
  <si>
    <t>Tambour moteurs</t>
  </si>
  <si>
    <t>060</t>
  </si>
  <si>
    <t>062</t>
  </si>
  <si>
    <t>061</t>
  </si>
  <si>
    <t>063</t>
  </si>
  <si>
    <t>064</t>
  </si>
  <si>
    <t>TBM-TETE-NORD-9012-</t>
  </si>
  <si>
    <t>TBM-TETE-NORD-92772-</t>
  </si>
  <si>
    <t>TBM-TETE-NORD-9022-</t>
  </si>
  <si>
    <t>TBM-TETE-NORD-9032-</t>
  </si>
  <si>
    <t>TAMBOURS</t>
  </si>
  <si>
    <t>TYPE DE MOTEUR</t>
  </si>
  <si>
    <t>POSITION DU MOTEUR</t>
  </si>
  <si>
    <t>PLAN ASSEMBLAGE MOTEUR</t>
  </si>
  <si>
    <t>PLAN ASSEMBLAGE MENEE</t>
  </si>
  <si>
    <t>ROULEAUX</t>
  </si>
  <si>
    <t>CAISSON DE TETE INOX</t>
  </si>
  <si>
    <t>PLAN LISSE</t>
  </si>
  <si>
    <t>PLAN RETOUR</t>
  </si>
  <si>
    <t>PLAN AUTRE</t>
  </si>
  <si>
    <t>REPERE VAUCHE</t>
  </si>
  <si>
    <t>REPERE CLIENT</t>
  </si>
  <si>
    <t>BILAN DE PUISSANCE</t>
  </si>
  <si>
    <t>QUANTITE</t>
  </si>
  <si>
    <t>PUISSANCE UNITAIRE INSTALLEE (kW)</t>
  </si>
  <si>
    <t>PUISSANCE GLOBALE INSTALLEE (kW)</t>
  </si>
  <si>
    <t>cos φ</t>
  </si>
  <si>
    <t>RENDEMENT η</t>
  </si>
  <si>
    <t>PUISSANCE CONSOMEE
(kW)</t>
  </si>
  <si>
    <t>VARIATEUR DE FREQUENCE</t>
  </si>
  <si>
    <t>MOTEUR FREIN</t>
  </si>
  <si>
    <t>ARMOIRE INDEPENDANTE</t>
  </si>
  <si>
    <t>FACTEUR DE CONSOMMATION kc</t>
  </si>
  <si>
    <t>COEFFICIENT D'UTILISATION
ku</t>
  </si>
  <si>
    <t>PUISSANCE REACTIVE
(kVAr)</t>
  </si>
  <si>
    <t>DEPART DIRECT ALIMENTATION</t>
  </si>
  <si>
    <t>TYPE DE CHAINE</t>
  </si>
  <si>
    <t>M112</t>
  </si>
  <si>
    <t>M160</t>
  </si>
  <si>
    <t>PRESENCE DE CHAINE</t>
  </si>
  <si>
    <t>CHAÎNES</t>
  </si>
  <si>
    <t>NOMBRE D'ELEMENTS DE 3m MINIMUM</t>
  </si>
  <si>
    <t>LONGUEUR DE CHAINE (mm)</t>
  </si>
  <si>
    <t>PAR</t>
  </si>
  <si>
    <t>DATE</t>
  </si>
  <si>
    <t>DESCRIPTION</t>
  </si>
  <si>
    <t>Première emission</t>
  </si>
  <si>
    <t>LONGEUR HORS TOUT (mm)</t>
  </si>
  <si>
    <t>PUISSANCE ABSORBEE
(kW)</t>
  </si>
  <si>
    <t>PAL REF FNL516-B COMPLET</t>
  </si>
  <si>
    <t>PAL REF FNL516-A COMPLET</t>
  </si>
  <si>
    <t>Carter vauché</t>
  </si>
  <si>
    <t>CASSE TRI</t>
  </si>
  <si>
    <t>CAP ECY 210</t>
  </si>
  <si>
    <t>CAP ECY 207</t>
  </si>
  <si>
    <t>CAP ECY 208</t>
  </si>
  <si>
    <t>TENSION DEP SILO TBU</t>
  </si>
  <si>
    <t>TENSION DEP TBU</t>
  </si>
  <si>
    <t>UKP211+H2311X</t>
  </si>
  <si>
    <t>TU 50 TF</t>
  </si>
  <si>
    <t>Tension dep</t>
  </si>
  <si>
    <t>QTE AUTRE 1</t>
  </si>
  <si>
    <t>PLAN ASM AUTRE 1</t>
  </si>
  <si>
    <t>PLAN ARBRE AUTRE 2</t>
  </si>
  <si>
    <t>PLAN TAMBOUR AUTRE 2</t>
  </si>
  <si>
    <t>PLAN ASM AUTRE 2</t>
  </si>
  <si>
    <t>QTE AUTRE 2</t>
  </si>
  <si>
    <t>TRI1600008</t>
  </si>
  <si>
    <t>ACO-2200008</t>
  </si>
  <si>
    <t>ACO-2600008</t>
  </si>
  <si>
    <t>CASSE TBU</t>
  </si>
  <si>
    <t>TBC</t>
  </si>
  <si>
    <t>TBC80018</t>
  </si>
  <si>
    <t>TBC100018</t>
  </si>
  <si>
    <t>Convoyeur TBC</t>
  </si>
  <si>
    <t>CAISONS INOX</t>
  </si>
  <si>
    <t>BARRES D'IMPACT</t>
  </si>
  <si>
    <t>TBU000007</t>
  </si>
  <si>
    <t>CBA0000175</t>
  </si>
  <si>
    <t>TBU000159</t>
  </si>
  <si>
    <t>ACO-1800008</t>
  </si>
  <si>
    <t>LIEU DE VULCANISATION</t>
  </si>
  <si>
    <t>LIEU DE LIVRAISON</t>
  </si>
  <si>
    <t>⚠ Paliers differents en tête des EAB en fonction de l'arbre moteur ⚠
(70 pour KA87 et KA97, 100 pour KA107 et KA127)</t>
  </si>
  <si>
    <t>PRESENCE DE COMPOSANT ELEC</t>
  </si>
  <si>
    <t>CODE</t>
  </si>
  <si>
    <t>XXX</t>
  </si>
  <si>
    <t>JJ/MM/AAAA</t>
  </si>
  <si>
    <t>Nomenclature Générale</t>
  </si>
  <si>
    <t>Motorisation</t>
  </si>
  <si>
    <t>Tambours</t>
  </si>
  <si>
    <t>Rouleaux</t>
  </si>
  <si>
    <t>Bandes</t>
  </si>
  <si>
    <t>Chaines</t>
  </si>
  <si>
    <t>Electricité</t>
  </si>
  <si>
    <t>Bilan Puissance</t>
  </si>
  <si>
    <t>Paliers</t>
  </si>
  <si>
    <t>DATE DE DIFFUSION</t>
  </si>
  <si>
    <t>Convoyeur à bande et chaines de reprise des BRS</t>
  </si>
  <si>
    <t>GRA</t>
  </si>
  <si>
    <t>Convoyeur à bande et chaines - Centrale de graissage</t>
  </si>
  <si>
    <t>Convoyeur d'alimentation du trommel</t>
  </si>
  <si>
    <t>Trommel cribleur, maille Ø150/180mm avec peignes</t>
  </si>
  <si>
    <t>Convoyeur de reprise de la fraction &gt; 180mm, tête inox</t>
  </si>
  <si>
    <t>OVB</t>
  </si>
  <si>
    <t>Séparateur magnétique à aimant permament</t>
  </si>
  <si>
    <t>Goulotte de liaison vers le convoyeur des refus</t>
  </si>
  <si>
    <t>Convoyeur de centralisation des refus</t>
  </si>
  <si>
    <t>Convoyeur de transfert des refus</t>
  </si>
  <si>
    <t>Convoyeur de transfert des refus vers FMA</t>
  </si>
  <si>
    <t>Convoyeur by-pass des refus (FMA 1 OU 2)</t>
  </si>
  <si>
    <t>Système navette pour convoyeur mobile remplissage FMA ou bennes</t>
  </si>
  <si>
    <t>TRE</t>
  </si>
  <si>
    <t>Trémie des passants 0-180mm sous trommel</t>
  </si>
  <si>
    <t>Convoyeur de reprise de la fraction 0-180mm et transfert vers trommel</t>
  </si>
  <si>
    <t>Trommel secondaire, maille Ø30mm, avec pales de brassage</t>
  </si>
  <si>
    <t>NET</t>
  </si>
  <si>
    <t>Nettoyage pneumatique haute pression maille Ø30mm</t>
  </si>
  <si>
    <t xml:space="preserve">Convoyeur de reprise de la fraction 30-180mm avec tête inox + zone inox </t>
  </si>
  <si>
    <t>PMP</t>
  </si>
  <si>
    <t>Poulie magnétique</t>
  </si>
  <si>
    <t>SNF</t>
  </si>
  <si>
    <t>Séparateur de non ferreux EDX - ROUE POLAIRE</t>
  </si>
  <si>
    <t>Séparateur de non ferreux EDX - CONVOYEUR</t>
  </si>
  <si>
    <t>Convoyeur de reprise des non ferreux</t>
  </si>
  <si>
    <t>Convoyeur de centralisation des non ferreux et transfert vers benne</t>
  </si>
  <si>
    <t>Convoyeur de reprise des refus 30-180mm sous snf</t>
  </si>
  <si>
    <t>Convoyeur de transfert des refus 30-180mm</t>
  </si>
  <si>
    <t>Convoyeur de reprise des aciers 30-180mm</t>
  </si>
  <si>
    <t>Goulotte by-pass (ligne de broyage des fe ou benne de stokage)</t>
  </si>
  <si>
    <t>Trémie des passants sous trommel secondaire</t>
  </si>
  <si>
    <t>Convoyeur de reprise de la fraction 0-30mm</t>
  </si>
  <si>
    <t>Convoyeur de reprise de la fraction 0-30mm, tête inox + zone inox</t>
  </si>
  <si>
    <t>Séparateur de non ferreux type SMAR - ROUE POLAIRE</t>
  </si>
  <si>
    <t>Séparateur de non ferreux type SMAR - CONVOYEUR</t>
  </si>
  <si>
    <t>CON</t>
  </si>
  <si>
    <t>Cone de répartition du flux 0-30mm sous SNF</t>
  </si>
  <si>
    <t>Convoyeur de transfert de la fraction 0-30mm vers tapis balistique 1</t>
  </si>
  <si>
    <t>Tapis balistique simple</t>
  </si>
  <si>
    <t>Convoyeur de reprise des légers et transfert vers crible trampoline</t>
  </si>
  <si>
    <t>Cone de répartition du flux 0-30mm en entrée du liwell</t>
  </si>
  <si>
    <t>Crible trampoline maille 10mm</t>
  </si>
  <si>
    <t>Trémie des passants sous crible trampoline</t>
  </si>
  <si>
    <t>Convoyeur de reprise du 0-8mm et alimentation du tapis balistique double</t>
  </si>
  <si>
    <t>Tapis balistique double MOTEUR N°1</t>
  </si>
  <si>
    <t>Tapis balistique double MOTEUR N°2</t>
  </si>
  <si>
    <t>Convoyeur de reprise BY-PASS des lourds 0-8mm</t>
  </si>
  <si>
    <t>Convoyeur de transfert des lourds 0-8mm</t>
  </si>
  <si>
    <t>Convoyeur rotatif double sens de mise en benne des refus lourds</t>
  </si>
  <si>
    <t>COU</t>
  </si>
  <si>
    <t>Couronne rotatif pour convoyeur de mise en tas</t>
  </si>
  <si>
    <t>Convoyeur de reprise By-pass des refus du liwell</t>
  </si>
  <si>
    <t>Convoyeur de reprise By-pass des refus du balistique 1</t>
  </si>
  <si>
    <t>Convoyeur de transfert des refus vers module de sur-tri</t>
  </si>
  <si>
    <t>TFM</t>
  </si>
  <si>
    <t>Table densimétrique FM150 - Moteur balourd</t>
  </si>
  <si>
    <t>Table densimétrique FM150 - Ventilateur de fluidisation</t>
  </si>
  <si>
    <t>Table densimétrique FM150 - Ecluse utra lourds</t>
  </si>
  <si>
    <t>Table densimétrique FM150 - Clapet motorisé</t>
  </si>
  <si>
    <t>Convoyeur de reprise des refus lourds et transfert vers centralisation</t>
  </si>
  <si>
    <t>Convoyeur de reprise des lourds 0-8mm</t>
  </si>
  <si>
    <t>Goulotte de reprise des légers de la table FM150</t>
  </si>
  <si>
    <t>Convoyeur double sens de remplissage de la benne FFOM</t>
  </si>
  <si>
    <t>Système navette pour convoyeur double sens</t>
  </si>
  <si>
    <t>Convoyeur de reprise des aciers 0-30 et &gt; 180mm</t>
  </si>
  <si>
    <t>Convoyeur de centralisation des aciers</t>
  </si>
  <si>
    <t>Convoyeur de transfert des aciers vers benne</t>
  </si>
  <si>
    <t>Convoyeur navette double sens de remplissage de la benne acier</t>
  </si>
  <si>
    <t>CYC</t>
  </si>
  <si>
    <t>Cyclone &amp; écluse pour table densimétrique  - Ventilateur</t>
  </si>
  <si>
    <t>Cyclone &amp; écluse pour table densimétrique - Ecluse</t>
  </si>
  <si>
    <t>Cyclone &amp; écluse pour table densimétrique - Clapet motorisé</t>
  </si>
  <si>
    <t>HYD</t>
  </si>
  <si>
    <t>Centrale hydraulique de pilotage des FMA</t>
  </si>
  <si>
    <t>FMA</t>
  </si>
  <si>
    <t>Guide roue des FMA</t>
  </si>
  <si>
    <t>Bloc roue des FMA</t>
  </si>
  <si>
    <t>COM</t>
  </si>
  <si>
    <t>Compresseur + sécheur pour nettoyage trommel</t>
  </si>
  <si>
    <t>Convoyeur de reprise des légers 0-8mm by-pass (tampon ou métha)</t>
  </si>
  <si>
    <t>Convoyeur de transfert des légers 0-8mm vers métha</t>
  </si>
  <si>
    <t>Convoyeur de transfert vers tampon (casier de stockage ou trémie tampon)</t>
  </si>
  <si>
    <t>Goulotte by-pass (casier ou trémie tampon)</t>
  </si>
  <si>
    <t>Trémie de chargement</t>
  </si>
  <si>
    <t>Convoyeur alimentateur</t>
  </si>
  <si>
    <t>Ø450</t>
  </si>
  <si>
    <t>Charpente support trommel primaire &amp; passerelle d'accès maintenance</t>
  </si>
  <si>
    <t>Charpente support trommel secondaire &amp; passerelle d'accès maintenance</t>
  </si>
  <si>
    <t>Plateforme accès maintenancepour les SNF</t>
  </si>
  <si>
    <t>Charpente support pour OVB y compris goulotte inox et protection</t>
  </si>
  <si>
    <t>Plateforme accès maintenance NIV1 pour balistiques &amp; crible trampoline</t>
  </si>
  <si>
    <t>Plateforme accès maintenance NIV2 pour balistiques &amp; crible trampoline</t>
  </si>
  <si>
    <t>Plateforme accès maintenance pour crible trampoline + charpente</t>
  </si>
  <si>
    <t>Plateforme accès maintenance table TF &amp; cyclone</t>
  </si>
  <si>
    <t>Ensemble des passerelles d'accès maintenance tête &amp; pied CVY</t>
  </si>
  <si>
    <t>Ensemble des passerelles de liaison</t>
  </si>
  <si>
    <t>Ensemble des escaliers d'accès maintenance</t>
  </si>
  <si>
    <t>Ensemble des potences et rails de maintenance + 2 portiques</t>
  </si>
  <si>
    <t>Ensemble passerelles et rails pour convoyeur navettes refus légers</t>
  </si>
  <si>
    <t>Ensemble passerelles et rails pour convoyeurs navettes métaux</t>
  </si>
  <si>
    <t>BRO</t>
  </si>
  <si>
    <t>Broyeur pour métaux 30-180mm</t>
  </si>
  <si>
    <t>Convoyeur de reprise sous broyeur des aciers 30-180mm</t>
  </si>
  <si>
    <t>Convoyeur de transfert des aciers 30-180mm vers OVB</t>
  </si>
  <si>
    <t>Convoyeur d'alimentation du séparateur de ferreux</t>
  </si>
  <si>
    <t>Charpente support OVB + protection grillagée et goulotte inox</t>
  </si>
  <si>
    <t>Charpente support et accès maintenance broyeur</t>
  </si>
  <si>
    <t>Convoyeur by-pass presse à paquets</t>
  </si>
  <si>
    <t>SOL</t>
  </si>
  <si>
    <t>PRP</t>
  </si>
  <si>
    <t>Fourniture et pose d'une presse à paquets PP11</t>
  </si>
  <si>
    <t>Moins value pour suppressions Couronne rotatif pour convoyeur de mise en tas FFOM</t>
  </si>
  <si>
    <t>Ensemble passerelle pour convoyeur navette FFOM</t>
  </si>
  <si>
    <t>PES</t>
  </si>
  <si>
    <t>Pesage des paquets d'aciers en sortie</t>
  </si>
  <si>
    <t>ELEC</t>
  </si>
  <si>
    <t>Cablage électrique + capteurs</t>
  </si>
  <si>
    <t>Station de pesage dynamique sur CBA 199 fraction FFOM vers métha</t>
  </si>
  <si>
    <t>TVB</t>
  </si>
  <si>
    <t>Alimentateur vibrant pour tri optique verre</t>
  </si>
  <si>
    <t>Séparateur optique verre</t>
  </si>
  <si>
    <t>Plateforme d'accès maintenance pour tri optique et vibrant</t>
  </si>
  <si>
    <t>Compresseur + sécheur + réseau pour tri optique verre</t>
  </si>
  <si>
    <t>DIV</t>
  </si>
  <si>
    <t>lot de pièces de premières urgences</t>
  </si>
  <si>
    <t>VAUCHE</t>
  </si>
  <si>
    <t>NON</t>
  </si>
  <si>
    <t>OUI</t>
  </si>
  <si>
    <t>Tete</t>
  </si>
  <si>
    <t>Droite</t>
  </si>
  <si>
    <t>Gauche</t>
  </si>
  <si>
    <t>ROB</t>
  </si>
  <si>
    <t>ANA</t>
  </si>
  <si>
    <t>B</t>
  </si>
  <si>
    <t>PAPREC - CHAGNY</t>
  </si>
  <si>
    <t>a</t>
  </si>
  <si>
    <t>KA 107</t>
  </si>
  <si>
    <t>IE4</t>
  </si>
  <si>
    <t>CAPOT SUR LE DESSUS DU MOTEUR
MOTEUR FREIN PAR MANQUE DE COURANT</t>
  </si>
  <si>
    <t>KA 67</t>
  </si>
  <si>
    <t>Dessus-Normal</t>
  </si>
  <si>
    <t>KA 97</t>
  </si>
  <si>
    <t>KA 77</t>
  </si>
  <si>
    <t>MOTEUR FREIN PAR MANQUE DE COURANT</t>
  </si>
  <si>
    <t>b</t>
  </si>
  <si>
    <t>K57</t>
  </si>
  <si>
    <t>KA 57</t>
  </si>
  <si>
    <t>KA 127</t>
  </si>
  <si>
    <t>CAPOT SUR LE DESSUS DU MOTEUR</t>
  </si>
  <si>
    <t>SANS OPTIONS</t>
  </si>
  <si>
    <t>JEM</t>
  </si>
  <si>
    <t>Modifications 181, 137, 110, 126, 107, 104, ajout 112A, 112B, 113B</t>
  </si>
  <si>
    <t>TENSION  ALIMENTATION</t>
  </si>
  <si>
    <t>PROCESS</t>
  </si>
  <si>
    <t>24 VDC</t>
  </si>
  <si>
    <t>INVERSEUR
/ DEMARREUR</t>
  </si>
  <si>
    <t>DEMARREUR</t>
  </si>
  <si>
    <t>INVERSEUR</t>
  </si>
  <si>
    <t>4+0</t>
  </si>
  <si>
    <t>DOUBLE SENS</t>
  </si>
  <si>
    <t>UKP 211+H2311X</t>
  </si>
  <si>
    <t>FYTB 30 TF</t>
  </si>
  <si>
    <t>30mm</t>
  </si>
  <si>
    <t>RLT 6120 2RS1</t>
  </si>
  <si>
    <t>SPECIFICATION GENERALE</t>
  </si>
  <si>
    <t>Régime de neutre :  IT sans neutre
Protocole de communication : PROFINET
Indice de protection IP66</t>
  </si>
  <si>
    <t>IE5</t>
  </si>
  <si>
    <t>DOLMET</t>
  </si>
  <si>
    <t>Bande lisse</t>
  </si>
  <si>
    <t>LUS</t>
  </si>
  <si>
    <t>UKT 211+H2311 X</t>
  </si>
  <si>
    <t>SNL 518 C</t>
  </si>
  <si>
    <t>SNL 508-607</t>
  </si>
  <si>
    <t>LONGUEUR CHUTE</t>
  </si>
  <si>
    <t>SITE</t>
  </si>
  <si>
    <t>Ajout plans bandes à chevrons et lieux de vulcanisaiton, correction lieux de livraison</t>
  </si>
  <si>
    <t>&gt;180</t>
  </si>
  <si>
    <t>0-180</t>
  </si>
  <si>
    <t>0-30</t>
  </si>
  <si>
    <t>30-180</t>
  </si>
  <si>
    <t>0-8</t>
  </si>
  <si>
    <t>8-30</t>
  </si>
  <si>
    <t>112-1</t>
  </si>
  <si>
    <t>112-2</t>
  </si>
  <si>
    <t>113-1</t>
  </si>
  <si>
    <t>113-2</t>
  </si>
  <si>
    <t>Pied</t>
  </si>
  <si>
    <t>Ajout 112-1 et 112-2, Modification 181: 16-&gt;19° | 137: 18-&gt;20° | 110: 20m et 25° | 126: 14,25m | 107: 4° | 104: 7m | 124: 3m | 123: 10m | 164: 11,5m | 165: 3m</t>
  </si>
  <si>
    <t>C</t>
  </si>
  <si>
    <t>Ajouts paliers casses TBE</t>
  </si>
  <si>
    <t>MAINTENANCE MOTEUR</t>
  </si>
  <si>
    <t>FRACTION</t>
  </si>
  <si>
    <t>RLX LISSES</t>
  </si>
  <si>
    <t>RLX CHUTE SUPPL</t>
  </si>
  <si>
    <t>RLX CHUTE SUPPR</t>
  </si>
  <si>
    <t>RACLEUR SOUS-JACENT</t>
  </si>
  <si>
    <t>RACLEUR FRONTAL</t>
  </si>
  <si>
    <t>Si Besoin</t>
  </si>
  <si>
    <t>TOUT</t>
  </si>
  <si>
    <t>CBA1400025</t>
  </si>
  <si>
    <t>CBA1600025</t>
  </si>
  <si>
    <t>CBA1800025</t>
  </si>
  <si>
    <t>TBE0800016</t>
  </si>
  <si>
    <t>TBE1000016</t>
  </si>
  <si>
    <t>VAUCHE 
DOUBLE SENS</t>
  </si>
  <si>
    <t>FOSSE</t>
  </si>
  <si>
    <t>PASSERELLE</t>
  </si>
  <si>
    <t>POUTRE</t>
  </si>
  <si>
    <t>POUTRE ROULANTE</t>
  </si>
  <si>
    <t>NACELLE</t>
  </si>
  <si>
    <t>PIRL</t>
  </si>
  <si>
    <t>PORTIQUE</t>
  </si>
  <si>
    <t>PASERELLE</t>
  </si>
  <si>
    <t>PASSERELLE/            LIGNE DE VIE CONVOYEUR</t>
  </si>
  <si>
    <t>NACELLE TOUCAN</t>
  </si>
  <si>
    <t>TENSION DEPORTEE</t>
  </si>
  <si>
    <t>Ajouts paliers SOL</t>
  </si>
  <si>
    <t xml:space="preserve">PASSERELLE </t>
  </si>
  <si>
    <t xml:space="preserve">POUTRE </t>
  </si>
  <si>
    <t>ACCES PIETON</t>
  </si>
  <si>
    <t>PASSERELLE/   NACELLE TOUCAN</t>
  </si>
  <si>
    <t>PASSERELLE/ NACELLE TOUCAN</t>
  </si>
  <si>
    <t>PASSERELLE/  NACELLE TOUCAN</t>
  </si>
  <si>
    <t>| 138, 144 A et B: 2200-&gt;2500 | 101: 33000-&gt;33400, Casse sup 35° | 102: 16-&gt;17° | 115: 19000-&gt;18400 | 127: 4000-&gt;3750 | 157: 10250-&gt;10000 | 160: 3000-&gt;5000 | Ajout Casse sup sur 123 et 164 | 131: 18-&gt;19° | ajout maintenance Tete;Pied;Moteur |</t>
  </si>
  <si>
    <t>KA77/T DR2C90LA6/DI/DFC/BW2</t>
  </si>
  <si>
    <t>40°
M3-M4B</t>
  </si>
  <si>
    <t>90°
X+2+3</t>
  </si>
  <si>
    <t>KA67 DR2C90SA6/DI/DFC/BW2</t>
  </si>
  <si>
    <t>M3B</t>
  </si>
  <si>
    <t>5°
M3-M2B</t>
  </si>
  <si>
    <t>4°
M3-M2A</t>
  </si>
  <si>
    <t>M3A</t>
  </si>
  <si>
    <t>14°
M3-M2B</t>
  </si>
  <si>
    <t>10°
M3-M2B</t>
  </si>
  <si>
    <t>19°
M3-M2A</t>
  </si>
  <si>
    <t>18°
M3-M2B</t>
  </si>
  <si>
    <t>15°
M3-M2A</t>
  </si>
  <si>
    <t>18°
M3-M2A</t>
  </si>
  <si>
    <t>KA77 DR2C90LA6/DI/DFC/BW2</t>
  </si>
  <si>
    <t>6°
M3-M2A</t>
  </si>
  <si>
    <t>14°
M3-M2A</t>
  </si>
  <si>
    <t>25°
M3-M2B</t>
  </si>
  <si>
    <t>20°
M3-M2A</t>
  </si>
  <si>
    <t>23°
M3-M2A</t>
  </si>
  <si>
    <t>12°
M3-M2A</t>
  </si>
  <si>
    <t>9°
M3-M2B</t>
  </si>
  <si>
    <t>270°
X+2+3</t>
  </si>
  <si>
    <t>KA77B DR2C90LA6/DI/DFC/BW2</t>
  </si>
  <si>
    <t>M4A</t>
  </si>
  <si>
    <t>1,6? 2,1?</t>
  </si>
  <si>
    <t>MU (M1,M2,M3,M4,M5,M6)</t>
  </si>
  <si>
    <t>MGFAT4-DFC-C/XT/DI/PG/BW1</t>
  </si>
  <si>
    <t>MGFAT4</t>
  </si>
  <si>
    <t>KA57/T DR2C90SA6/DI/DFC/BW2</t>
  </si>
  <si>
    <t>8°
M3-M2A</t>
  </si>
  <si>
    <t>6°
M3-M2B</t>
  </si>
  <si>
    <t>15°
M3-M2B</t>
  </si>
  <si>
    <t>25°
M3-M2A</t>
  </si>
  <si>
    <t>13°
M3-M2B</t>
  </si>
  <si>
    <t>19°
M3-M2B</t>
  </si>
  <si>
    <t>KA67/T DR2C90LA6/DI/DFC/BW2</t>
  </si>
  <si>
    <t>DR2C90SA6/FI/DI/DFC/BW2</t>
  </si>
  <si>
    <t>B3</t>
  </si>
  <si>
    <t>75-3000</t>
  </si>
  <si>
    <t>3°
M1-M6B</t>
  </si>
  <si>
    <t>270°
1</t>
  </si>
  <si>
    <t>M1A</t>
  </si>
  <si>
    <t>270°
X</t>
  </si>
  <si>
    <t>K57 DR2C71MSA4/BE1HR/DI/KD1/TF</t>
  </si>
  <si>
    <t>KA107 R77 DR2C90SA6/BE2HR/DI/KD1/TF</t>
  </si>
  <si>
    <t>M4B</t>
  </si>
  <si>
    <t>KA97 DR2C90SA6/BE2HR/DI/KD1/TF</t>
  </si>
  <si>
    <t>KA127 R77 DR2C71MSA4/DI/KD1/TF</t>
  </si>
  <si>
    <t>Mise à jour IE5</t>
  </si>
  <si>
    <t>DUROFLEX CHEVRONS
F 11810-960</t>
  </si>
  <si>
    <t>DUROFLEX CHEVRONS
F 11810-1340</t>
  </si>
  <si>
    <t>DUROFLEX CHEVRONS
F 11810-1530</t>
  </si>
  <si>
    <t>DUROFLEX CHEVRONS
F 11810-1720</t>
  </si>
  <si>
    <t>DUROFLEX CHEVRONS
F 11810-770</t>
  </si>
  <si>
    <t>RDE 900 / DV100SP / TI - RS.I</t>
  </si>
  <si>
    <t>RDE 1350 / DV100SP / TI - RS.I</t>
  </si>
  <si>
    <t>CONTROLEUR DE DEPORT DE BANDE</t>
  </si>
  <si>
    <t>SENS DE FONCTIONNEMENT</t>
  </si>
  <si>
    <t>MODE MAINTENANCE  5HZ
BOUTON ALLUMAGE ECLAIRAGE</t>
  </si>
  <si>
    <t>COMMUN AVEC 112-1</t>
  </si>
  <si>
    <t>COMMUN AVEC 112-2</t>
  </si>
  <si>
    <t>FOURNITURE LENOIR
1</t>
  </si>
  <si>
    <t>COMMUN 121</t>
  </si>
  <si>
    <t>ARMOIRE FOURNISSEUR</t>
  </si>
  <si>
    <t>VERIN ELECTRIQUE</t>
  </si>
  <si>
    <t>FOURNITURE SST</t>
  </si>
  <si>
    <t>BOUTON ALLUMAGE ECLAIRAGE</t>
  </si>
  <si>
    <t>COMMUN 144 A</t>
  </si>
  <si>
    <t>COMMUN 148</t>
  </si>
  <si>
    <t>Capteur inductif = contrôleur de rotation Ø30mm</t>
  </si>
  <si>
    <t>MOTEUR MODULANT</t>
  </si>
  <si>
    <t>COMMUN AVEC 160</t>
  </si>
  <si>
    <t>Système navette pour convoyeur mobile remplissage REPERE 165 benne métaux</t>
  </si>
  <si>
    <t>FOURNITURE SST
1</t>
  </si>
  <si>
    <t>COMMUN AVEC 166 B</t>
  </si>
  <si>
    <t>2 AVEC POSITION TIGE VERIN</t>
  </si>
  <si>
    <t>PILOTAGE AVEC EAB</t>
  </si>
  <si>
    <t>COMMUN AVEC 178 A</t>
  </si>
  <si>
    <t>COMMUN AVEC 165</t>
  </si>
  <si>
    <t>Navette pour convoyeur mobile remplissage benne FFOM TBE 160</t>
  </si>
  <si>
    <t>COMMUN 160</t>
  </si>
  <si>
    <t>KA97 DRU180L4/TF</t>
  </si>
  <si>
    <t>MODIFICATION</t>
  </si>
  <si>
    <t>DANS LE VERIN</t>
  </si>
  <si>
    <t>2 CAPTEURS DE REMPLISSAGE
FOURNITURE LEGRAS</t>
  </si>
  <si>
    <t>1 BS POUR COMPRESSEUR
1 BS POUR LE SECHEUR</t>
  </si>
  <si>
    <t>VERIN ELEC</t>
  </si>
  <si>
    <t xml:space="preserve">NON </t>
  </si>
  <si>
    <t>OUI ou départ communicant</t>
  </si>
  <si>
    <t xml:space="preserve">RESTE </t>
  </si>
  <si>
    <t>DEFINIR</t>
  </si>
  <si>
    <t>D</t>
  </si>
  <si>
    <t>&gt;180
30-180</t>
  </si>
  <si>
    <t>Nacelle TOUCAN</t>
  </si>
  <si>
    <t>Barre impacte + station centrage</t>
  </si>
  <si>
    <t>Convoyeur navette double sens de remplissage des bennes ou FMA</t>
  </si>
  <si>
    <t>Barre impacte + station centrage.
Tole de propreté toute longueur</t>
  </si>
  <si>
    <t>Tole de propreté toute longueur</t>
  </si>
  <si>
    <t>SUP</t>
  </si>
  <si>
    <t>RLX séparateur objets longs SUR CVY 162</t>
  </si>
  <si>
    <t>GOULOTTE AVEC VERIN</t>
  </si>
  <si>
    <t>Portique cvy</t>
  </si>
  <si>
    <t>Caisson courbe</t>
  </si>
  <si>
    <t>Convoyeur navette double sens de remplissage de la benne</t>
  </si>
  <si>
    <t>Poutre</t>
  </si>
  <si>
    <t>Attention poulie magnétique
TETE + fermeture INOX
Protection grillagé zone accesible</t>
  </si>
  <si>
    <t>Grillage protection zone accessible</t>
  </si>
  <si>
    <t>Poutre roulante</t>
  </si>
  <si>
    <t>Grillage au sol zone des 3 cvy + sous passerelle</t>
  </si>
  <si>
    <t>Non</t>
  </si>
  <si>
    <t>Grillage coté gauche</t>
  </si>
  <si>
    <t>Passerelle + Interieure</t>
  </si>
  <si>
    <t>Interieure ligne de vie</t>
  </si>
  <si>
    <t>Grillage zone cvy</t>
  </si>
  <si>
    <t>non</t>
  </si>
  <si>
    <t>Grillage</t>
  </si>
  <si>
    <t>Grillage en tension</t>
  </si>
  <si>
    <t>Sol</t>
  </si>
  <si>
    <t>Protection grillagé zone</t>
  </si>
  <si>
    <t>Doubler les rouleaux en reception</t>
  </si>
  <si>
    <t>Grillage tension</t>
  </si>
  <si>
    <t>Grillage aligné flancs</t>
  </si>
  <si>
    <t>Grillage zone avec cvy rep109</t>
  </si>
  <si>
    <t>Prevoir tole de propretée</t>
  </si>
  <si>
    <t>Correction motoreducteurs TRO</t>
  </si>
  <si>
    <t>224102-010-04</t>
  </si>
  <si>
    <t>224102-010-12</t>
  </si>
  <si>
    <t>224102-010-03</t>
  </si>
  <si>
    <t>224102-010-05</t>
  </si>
  <si>
    <t>224102-010-11</t>
  </si>
  <si>
    <t>224102-010-06</t>
  </si>
  <si>
    <t>224102-010-10</t>
  </si>
  <si>
    <t>224102-010-07</t>
  </si>
  <si>
    <t>224102-010-09</t>
  </si>
  <si>
    <t>224102-010-13</t>
  </si>
  <si>
    <t>224102-010-14</t>
  </si>
  <si>
    <t>Tambours TBE</t>
  </si>
  <si>
    <t>Tole en reception</t>
  </si>
  <si>
    <t>QTE LISSE THEORIQUE</t>
  </si>
  <si>
    <t>QTE LISSE REELLE</t>
  </si>
  <si>
    <t>QTE RETOUR THEORIQUE</t>
  </si>
  <si>
    <t>QTE RETOUR REELLE</t>
  </si>
  <si>
    <t>DECOMPTE</t>
  </si>
  <si>
    <t>QTE AUTRE THEORIQUE</t>
  </si>
  <si>
    <t>QTE AUTRE REELLE</t>
  </si>
  <si>
    <t>PLAN</t>
  </si>
  <si>
    <t>COMMANDE</t>
  </si>
  <si>
    <t>NECESSAIRE</t>
  </si>
  <si>
    <t>LIVRAISON</t>
  </si>
  <si>
    <t>E</t>
  </si>
  <si>
    <t>Ajout dates de livraison</t>
  </si>
  <si>
    <t>224102-014-01A</t>
  </si>
  <si>
    <t>224102-010-01A</t>
  </si>
  <si>
    <t>224102-014-02A</t>
  </si>
  <si>
    <t>224102-014-03A</t>
  </si>
  <si>
    <t>224102-010-02B</t>
  </si>
  <si>
    <t>Corrections longueurs 101, 115, 127, 138, 144A, 144B, 157, 160, Plans bandes à chevrons, lieux de vulacnisation et de livraison (SITE pour TBE/CBA)</t>
  </si>
  <si>
    <t>224102-010-15</t>
  </si>
  <si>
    <t>Correction paliers BAL</t>
  </si>
  <si>
    <t>UKF 211+H2311X</t>
  </si>
  <si>
    <t>50 (975)
10 (1225)</t>
  </si>
  <si>
    <t>20 (975)
10 (475)</t>
  </si>
  <si>
    <t>224102-014-17</t>
  </si>
  <si>
    <t>224102-014-07</t>
  </si>
  <si>
    <t>224102-014-99</t>
  </si>
  <si>
    <t>224102-014-16</t>
  </si>
  <si>
    <t>224102-014-97</t>
  </si>
  <si>
    <t>224102-014-06</t>
  </si>
  <si>
    <t>224102-014-10</t>
  </si>
  <si>
    <t>224102-014-96</t>
  </si>
  <si>
    <t>224102-014-09</t>
  </si>
  <si>
    <t>224102-014-15</t>
  </si>
  <si>
    <t>224102-014-08</t>
  </si>
  <si>
    <t>Ajout Tambours CBA</t>
  </si>
  <si>
    <t>224102-014-98</t>
  </si>
  <si>
    <t>POULIE MAGNETIQUE
(224102-014-05)</t>
  </si>
  <si>
    <t>Larg</t>
  </si>
  <si>
    <t>M tete</t>
  </si>
  <si>
    <t>M pied</t>
  </si>
  <si>
    <t>M inter</t>
  </si>
  <si>
    <t>Masses TBE</t>
  </si>
  <si>
    <t>Ajout quantité réelle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</si>
</sst>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ahoma"/>
      <family val="2"/>
    </font>
    <font>
      <sz val="11"/>
      <name val="Tahoma"/>
      <family val="2"/>
    </font>
    <font>
      <sz val="12"/>
      <name val="Tahoma"/>
      <family val="2"/>
    </font>
    <font>
      <b/>
      <sz val="11"/>
      <name val="Tahoma"/>
      <family val="2"/>
    </font>
    <font>
      <b/>
      <sz val="12"/>
      <name val="Tahoma"/>
      <family val="2"/>
    </font>
    <font>
      <sz val="12"/>
      <color indexed="8"/>
      <name val="Tahoma"/>
      <family val="2"/>
    </font>
    <font>
      <sz val="12"/>
      <color rgb="FF000000"/>
      <name val="Tahoma"/>
      <family val="2"/>
    </font>
    <font>
      <b/>
      <sz val="10"/>
      <name val="Arial"/>
      <family val="2"/>
    </font>
    <font>
      <sz val="12"/>
      <name val="Tahoma"/>
      <family val="2"/>
    </font>
    <font>
      <sz val="12"/>
      <color indexed="8"/>
      <name val="Tahoma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name val="Tahoma"/>
      <family val="2"/>
    </font>
    <font>
      <b/>
      <sz val="10"/>
      <name val="Tahoma"/>
      <family val="2"/>
    </font>
    <font>
      <sz val="11"/>
      <color theme="1"/>
      <name val="Wingdings"/>
      <charset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u/>
      <sz val="14"/>
      <name val="Tahoma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i/>
      <sz val="11"/>
      <color rgb="FF00B0F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Tahoma"/>
      <family val="2"/>
    </font>
    <font>
      <sz val="12"/>
      <name val="GreekC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name val="Tahoma"/>
      <family val="2"/>
    </font>
    <font>
      <sz val="10"/>
      <name val="Arial"/>
      <family val="2"/>
    </font>
    <font>
      <sz val="11"/>
      <name val="Arial Narrow"/>
      <family val="2"/>
    </font>
    <font>
      <sz val="12"/>
      <color rgb="FFFF0000"/>
      <name val="Tahoma"/>
      <family val="2"/>
    </font>
    <font>
      <strike/>
      <sz val="12"/>
      <name val="Tahoma"/>
      <family val="2"/>
    </font>
    <font>
      <strike/>
      <sz val="12"/>
      <color indexed="8"/>
      <name val="Tahoma"/>
      <family val="2"/>
    </font>
    <font>
      <strike/>
      <sz val="12"/>
      <color rgb="FF000000"/>
      <name val="Tahoma"/>
      <family val="2"/>
    </font>
    <font>
      <strike/>
      <sz val="10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85FD8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89D4F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89999084444715716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6" fillId="0" borderId="0"/>
  </cellStyleXfs>
  <cellXfs count="850">
    <xf numFmtId="0" fontId="0" fillId="0" borderId="0" xfId="0"/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12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13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10" fillId="0" borderId="4" xfId="0" applyFont="1" applyBorder="1" applyAlignment="1" applyProtection="1">
      <alignment horizontal="center" vertical="center" wrapText="1"/>
      <protection locked="0"/>
    </xf>
    <xf numFmtId="0" fontId="10" fillId="0" borderId="13" xfId="0" applyFont="1" applyBorder="1" applyAlignment="1" applyProtection="1">
      <alignment horizontal="center" vertical="center" wrapText="1"/>
      <protection locked="0"/>
    </xf>
    <xf numFmtId="20" fontId="10" fillId="0" borderId="4" xfId="0" applyNumberFormat="1" applyFont="1" applyBorder="1" applyAlignment="1" applyProtection="1">
      <alignment horizontal="center" vertical="center" wrapText="1"/>
      <protection locked="0"/>
    </xf>
    <xf numFmtId="0" fontId="10" fillId="0" borderId="23" xfId="0" applyFont="1" applyBorder="1" applyAlignment="1" applyProtection="1">
      <alignment horizontal="center" vertical="center" wrapText="1"/>
      <protection locked="0"/>
    </xf>
    <xf numFmtId="0" fontId="10" fillId="0" borderId="24" xfId="0" applyFont="1" applyBorder="1" applyAlignment="1" applyProtection="1">
      <alignment horizontal="center" vertical="center" wrapText="1"/>
      <protection locked="0"/>
    </xf>
    <xf numFmtId="0" fontId="10" fillId="0" borderId="25" xfId="0" applyFont="1" applyBorder="1" applyAlignment="1" applyProtection="1">
      <alignment horizontal="center" vertical="center" wrapText="1"/>
      <protection locked="0"/>
    </xf>
    <xf numFmtId="0" fontId="13" fillId="0" borderId="24" xfId="0" applyFont="1" applyBorder="1" applyAlignment="1" applyProtection="1">
      <alignment horizontal="center" vertical="center"/>
      <protection locked="0"/>
    </xf>
    <xf numFmtId="0" fontId="4" fillId="0" borderId="23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4" fillId="0" borderId="1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4" borderId="1" xfId="0" applyFont="1" applyFill="1" applyBorder="1" applyAlignment="1" applyProtection="1">
      <alignment horizontal="center" vertical="center" wrapText="1"/>
      <protection locked="0"/>
    </xf>
    <xf numFmtId="0" fontId="16" fillId="0" borderId="12" xfId="0" applyFont="1" applyBorder="1" applyAlignment="1" applyProtection="1">
      <alignment horizontal="center" vertical="center" wrapText="1"/>
      <protection locked="0"/>
    </xf>
    <xf numFmtId="0" fontId="16" fillId="0" borderId="4" xfId="0" applyFont="1" applyBorder="1" applyAlignment="1" applyProtection="1">
      <alignment horizontal="center" vertical="center" wrapText="1"/>
      <protection locked="0"/>
    </xf>
    <xf numFmtId="0" fontId="16" fillId="0" borderId="13" xfId="0" applyFont="1" applyBorder="1" applyAlignment="1" applyProtection="1">
      <alignment horizontal="center" vertical="center" wrapText="1"/>
      <protection locked="0"/>
    </xf>
    <xf numFmtId="0" fontId="4" fillId="0" borderId="15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20" fillId="10" borderId="19" xfId="0" applyFont="1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20" fillId="17" borderId="13" xfId="0" applyFont="1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20" fillId="18" borderId="13" xfId="0" applyFont="1" applyFill="1" applyBorder="1" applyAlignment="1">
      <alignment horizontal="center" vertical="center"/>
    </xf>
    <xf numFmtId="0" fontId="0" fillId="18" borderId="13" xfId="0" applyFill="1" applyBorder="1" applyAlignment="1">
      <alignment horizontal="center" vertical="center"/>
    </xf>
    <xf numFmtId="0" fontId="16" fillId="0" borderId="0" xfId="0" applyFont="1" applyAlignment="1" applyProtection="1">
      <alignment vertical="center" wrapText="1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10" borderId="37" xfId="0" applyFill="1" applyBorder="1" applyAlignment="1" applyProtection="1">
      <alignment horizontal="center" vertical="center"/>
      <protection locked="0"/>
    </xf>
    <xf numFmtId="0" fontId="0" fillId="10" borderId="34" xfId="0" applyFill="1" applyBorder="1" applyAlignment="1" applyProtection="1">
      <alignment horizontal="center" vertical="center"/>
      <protection locked="0"/>
    </xf>
    <xf numFmtId="0" fontId="0" fillId="11" borderId="35" xfId="0" applyFill="1" applyBorder="1" applyAlignment="1" applyProtection="1">
      <alignment horizontal="center" vertical="center"/>
      <protection locked="0"/>
    </xf>
    <xf numFmtId="0" fontId="0" fillId="17" borderId="35" xfId="0" applyFill="1" applyBorder="1" applyAlignment="1" applyProtection="1">
      <alignment horizontal="center" vertical="center"/>
      <protection locked="0"/>
    </xf>
    <xf numFmtId="0" fontId="0" fillId="18" borderId="35" xfId="0" applyFill="1" applyBorder="1" applyAlignment="1" applyProtection="1">
      <alignment horizontal="center" vertical="center"/>
      <protection locked="0"/>
    </xf>
    <xf numFmtId="0" fontId="0" fillId="0" borderId="19" xfId="0" applyBorder="1" applyAlignment="1">
      <alignment horizontal="center" vertical="center"/>
    </xf>
    <xf numFmtId="0" fontId="2" fillId="0" borderId="13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4" fillId="0" borderId="52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0" borderId="26" xfId="0" applyFont="1" applyBorder="1" applyAlignment="1" applyProtection="1">
      <alignment horizontal="center" vertical="center"/>
      <protection locked="0"/>
    </xf>
    <xf numFmtId="0" fontId="29" fillId="0" borderId="50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9" fillId="0" borderId="57" xfId="0" applyFont="1" applyBorder="1" applyAlignment="1">
      <alignment horizontal="center" vertical="center"/>
    </xf>
    <xf numFmtId="0" fontId="29" fillId="0" borderId="58" xfId="0" applyFont="1" applyBorder="1" applyAlignment="1">
      <alignment horizontal="center" vertical="center"/>
    </xf>
    <xf numFmtId="0" fontId="29" fillId="0" borderId="59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43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14" fillId="0" borderId="6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9" xfId="0" quotePrefix="1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0" fontId="25" fillId="0" borderId="6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24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8" fillId="0" borderId="24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/>
      <protection locked="0"/>
    </xf>
    <xf numFmtId="0" fontId="10" fillId="0" borderId="11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10" fillId="0" borderId="8" xfId="0" applyFont="1" applyBorder="1" applyAlignment="1" applyProtection="1">
      <alignment horizontal="center" vertical="center" wrapText="1"/>
      <protection locked="0"/>
    </xf>
    <xf numFmtId="0" fontId="10" fillId="0" borderId="26" xfId="0" applyFont="1" applyBorder="1" applyAlignment="1" applyProtection="1">
      <alignment horizontal="center" vertical="center" wrapText="1"/>
      <protection locked="0"/>
    </xf>
    <xf numFmtId="0" fontId="10" fillId="0" borderId="20" xfId="0" applyFont="1" applyBorder="1" applyAlignment="1" applyProtection="1">
      <alignment horizontal="center" vertical="center" wrapText="1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2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5" fillId="0" borderId="29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 wrapText="1"/>
      <protection locked="0"/>
    </xf>
    <xf numFmtId="0" fontId="5" fillId="0" borderId="61" xfId="0" applyFont="1" applyBorder="1" applyAlignment="1" applyProtection="1">
      <alignment horizontal="center" vertical="center" wrapText="1"/>
      <protection locked="0"/>
    </xf>
    <xf numFmtId="0" fontId="5" fillId="0" borderId="62" xfId="0" applyFont="1" applyBorder="1" applyAlignment="1" applyProtection="1">
      <alignment horizontal="center" vertical="center" wrapText="1"/>
      <protection locked="0"/>
    </xf>
    <xf numFmtId="0" fontId="4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0" fillId="10" borderId="49" xfId="0" applyFill="1" applyBorder="1" applyAlignment="1" applyProtection="1">
      <alignment horizontal="center" vertical="center"/>
      <protection locked="0"/>
    </xf>
    <xf numFmtId="0" fontId="0" fillId="10" borderId="65" xfId="0" applyFill="1" applyBorder="1" applyAlignment="1">
      <alignment horizontal="center" vertical="center"/>
    </xf>
    <xf numFmtId="0" fontId="0" fillId="10" borderId="66" xfId="0" applyFill="1" applyBorder="1" applyAlignment="1" applyProtection="1">
      <alignment horizontal="center" vertical="center"/>
      <protection locked="0"/>
    </xf>
    <xf numFmtId="0" fontId="20" fillId="10" borderId="68" xfId="0" applyFont="1" applyFill="1" applyBorder="1" applyAlignment="1">
      <alignment horizontal="center" vertical="center"/>
    </xf>
    <xf numFmtId="0" fontId="0" fillId="11" borderId="34" xfId="0" applyFill="1" applyBorder="1" applyAlignment="1" applyProtection="1">
      <alignment horizontal="center" vertical="center"/>
      <protection locked="0"/>
    </xf>
    <xf numFmtId="0" fontId="0" fillId="11" borderId="17" xfId="0" applyFill="1" applyBorder="1" applyAlignment="1">
      <alignment horizontal="center" vertical="center"/>
    </xf>
    <xf numFmtId="0" fontId="0" fillId="11" borderId="36" xfId="0" applyFill="1" applyBorder="1" applyAlignment="1" applyProtection="1">
      <alignment horizontal="center" vertical="center"/>
      <protection locked="0"/>
    </xf>
    <xf numFmtId="0" fontId="0" fillId="11" borderId="9" xfId="0" applyFill="1" applyBorder="1" applyAlignment="1">
      <alignment horizontal="center" vertical="center"/>
    </xf>
    <xf numFmtId="0" fontId="0" fillId="11" borderId="39" xfId="0" applyFill="1" applyBorder="1" applyAlignment="1" applyProtection="1">
      <alignment horizontal="center" vertical="center"/>
      <protection locked="0"/>
    </xf>
    <xf numFmtId="0" fontId="0" fillId="13" borderId="34" xfId="0" applyFill="1" applyBorder="1" applyAlignment="1" applyProtection="1">
      <alignment horizontal="center" vertical="center"/>
      <protection locked="0"/>
    </xf>
    <xf numFmtId="0" fontId="0" fillId="13" borderId="17" xfId="0" applyFill="1" applyBorder="1" applyAlignment="1">
      <alignment horizontal="center" vertical="center"/>
    </xf>
    <xf numFmtId="0" fontId="20" fillId="13" borderId="19" xfId="0" applyFont="1" applyFill="1" applyBorder="1" applyAlignment="1">
      <alignment horizontal="center" vertical="center"/>
    </xf>
    <xf numFmtId="0" fontId="0" fillId="13" borderId="36" xfId="0" applyFill="1" applyBorder="1" applyAlignment="1" applyProtection="1">
      <alignment horizontal="center" vertical="center"/>
      <protection locked="0"/>
    </xf>
    <xf numFmtId="0" fontId="0" fillId="13" borderId="9" xfId="0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0" fontId="0" fillId="15" borderId="34" xfId="0" applyFill="1" applyBorder="1" applyAlignment="1" applyProtection="1">
      <alignment horizontal="center" vertical="center"/>
      <protection locked="0"/>
    </xf>
    <xf numFmtId="0" fontId="0" fillId="15" borderId="17" xfId="0" applyFill="1" applyBorder="1" applyAlignment="1">
      <alignment horizontal="center" vertical="center"/>
    </xf>
    <xf numFmtId="0" fontId="20" fillId="15" borderId="19" xfId="0" applyFont="1" applyFill="1" applyBorder="1" applyAlignment="1">
      <alignment horizontal="center" vertical="center"/>
    </xf>
    <xf numFmtId="0" fontId="0" fillId="15" borderId="19" xfId="0" applyFill="1" applyBorder="1" applyAlignment="1">
      <alignment horizontal="center" vertical="center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9" xfId="0" applyFill="1" applyBorder="1" applyAlignment="1">
      <alignment horizontal="center" vertical="center"/>
    </xf>
    <xf numFmtId="0" fontId="20" fillId="15" borderId="11" xfId="0" applyFont="1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6" borderId="34" xfId="0" applyFill="1" applyBorder="1" applyAlignment="1" applyProtection="1">
      <alignment horizontal="center" vertical="center"/>
      <protection locked="0"/>
    </xf>
    <xf numFmtId="0" fontId="0" fillId="16" borderId="17" xfId="0" applyFill="1" applyBorder="1" applyAlignment="1">
      <alignment horizontal="center" vertical="center"/>
    </xf>
    <xf numFmtId="0" fontId="0" fillId="16" borderId="37" xfId="0" applyFill="1" applyBorder="1" applyAlignment="1" applyProtection="1">
      <alignment horizontal="center" vertical="center"/>
      <protection locked="0"/>
    </xf>
    <xf numFmtId="0" fontId="20" fillId="16" borderId="19" xfId="0" applyFont="1" applyFill="1" applyBorder="1" applyAlignment="1">
      <alignment horizontal="center" vertical="center"/>
    </xf>
    <xf numFmtId="0" fontId="0" fillId="16" borderId="36" xfId="0" applyFill="1" applyBorder="1" applyAlignment="1" applyProtection="1">
      <alignment horizontal="center" vertical="center"/>
      <protection locked="0"/>
    </xf>
    <xf numFmtId="0" fontId="0" fillId="16" borderId="9" xfId="0" applyFill="1" applyBorder="1" applyAlignment="1">
      <alignment horizontal="center" vertical="center"/>
    </xf>
    <xf numFmtId="0" fontId="0" fillId="16" borderId="39" xfId="0" applyFill="1" applyBorder="1" applyAlignment="1" applyProtection="1">
      <alignment horizontal="center" vertical="center"/>
      <protection locked="0"/>
    </xf>
    <xf numFmtId="0" fontId="20" fillId="16" borderId="11" xfId="0" applyFont="1" applyFill="1" applyBorder="1" applyAlignment="1">
      <alignment horizontal="center" vertical="center"/>
    </xf>
    <xf numFmtId="0" fontId="0" fillId="17" borderId="34" xfId="0" applyFill="1" applyBorder="1" applyAlignment="1" applyProtection="1">
      <alignment horizontal="center" vertical="center"/>
      <protection locked="0"/>
    </xf>
    <xf numFmtId="0" fontId="0" fillId="17" borderId="17" xfId="0" applyFill="1" applyBorder="1" applyAlignment="1">
      <alignment horizontal="center" vertical="center"/>
    </xf>
    <xf numFmtId="0" fontId="20" fillId="17" borderId="19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center" vertical="center"/>
    </xf>
    <xf numFmtId="0" fontId="0" fillId="17" borderId="36" xfId="0" applyFill="1" applyBorder="1" applyAlignment="1" applyProtection="1">
      <alignment horizontal="center" vertical="center"/>
      <protection locked="0"/>
    </xf>
    <xf numFmtId="0" fontId="0" fillId="17" borderId="9" xfId="0" applyFill="1" applyBorder="1" applyAlignment="1">
      <alignment horizontal="center" vertical="center"/>
    </xf>
    <xf numFmtId="0" fontId="0" fillId="17" borderId="39" xfId="0" applyFill="1" applyBorder="1" applyAlignment="1" applyProtection="1">
      <alignment horizontal="center" vertical="center"/>
      <protection locked="0"/>
    </xf>
    <xf numFmtId="0" fontId="20" fillId="17" borderId="11" xfId="0" applyFont="1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8" borderId="34" xfId="0" applyFill="1" applyBorder="1" applyAlignment="1" applyProtection="1">
      <alignment horizontal="center" vertical="center"/>
      <protection locked="0"/>
    </xf>
    <xf numFmtId="0" fontId="0" fillId="18" borderId="17" xfId="0" applyFill="1" applyBorder="1" applyAlignment="1">
      <alignment horizontal="center" vertical="center"/>
    </xf>
    <xf numFmtId="0" fontId="20" fillId="18" borderId="19" xfId="0" applyFont="1" applyFill="1" applyBorder="1" applyAlignment="1">
      <alignment horizontal="center" vertical="center"/>
    </xf>
    <xf numFmtId="0" fontId="0" fillId="18" borderId="19" xfId="0" applyFill="1" applyBorder="1" applyAlignment="1">
      <alignment horizontal="center" vertical="center"/>
    </xf>
    <xf numFmtId="0" fontId="0" fillId="18" borderId="36" xfId="0" applyFill="1" applyBorder="1" applyAlignment="1" applyProtection="1">
      <alignment horizontal="center" vertical="center"/>
      <protection locked="0"/>
    </xf>
    <xf numFmtId="0" fontId="0" fillId="18" borderId="9" xfId="0" applyFill="1" applyBorder="1" applyAlignment="1">
      <alignment horizontal="center" vertical="center"/>
    </xf>
    <xf numFmtId="0" fontId="0" fillId="18" borderId="39" xfId="0" applyFill="1" applyBorder="1" applyAlignment="1" applyProtection="1">
      <alignment horizontal="center" vertical="center"/>
      <protection locked="0"/>
    </xf>
    <xf numFmtId="0" fontId="20" fillId="18" borderId="11" xfId="0" applyFont="1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22" borderId="28" xfId="0" applyFill="1" applyBorder="1" applyAlignment="1">
      <alignment horizontal="center" vertical="center"/>
    </xf>
    <xf numFmtId="0" fontId="0" fillId="22" borderId="62" xfId="0" applyFill="1" applyBorder="1" applyAlignment="1" applyProtection="1">
      <alignment horizontal="center" vertical="center"/>
      <protection locked="0"/>
    </xf>
    <xf numFmtId="0" fontId="0" fillId="22" borderId="30" xfId="0" applyFill="1" applyBorder="1" applyAlignment="1">
      <alignment horizontal="center" vertical="center"/>
    </xf>
    <xf numFmtId="0" fontId="0" fillId="23" borderId="1" xfId="0" applyFill="1" applyBorder="1" applyAlignment="1" applyProtection="1">
      <alignment horizontal="center" vertical="center"/>
      <protection locked="0"/>
    </xf>
    <xf numFmtId="0" fontId="0" fillId="23" borderId="28" xfId="0" applyFill="1" applyBorder="1" applyAlignment="1">
      <alignment horizontal="center" vertical="center"/>
    </xf>
    <xf numFmtId="0" fontId="0" fillId="23" borderId="62" xfId="0" applyFill="1" applyBorder="1" applyAlignment="1" applyProtection="1">
      <alignment horizontal="center" vertical="center"/>
      <protection locked="0"/>
    </xf>
    <xf numFmtId="0" fontId="20" fillId="23" borderId="30" xfId="0" applyFont="1" applyFill="1" applyBorder="1" applyAlignment="1">
      <alignment horizontal="center" vertical="center"/>
    </xf>
    <xf numFmtId="0" fontId="0" fillId="23" borderId="30" xfId="0" applyFill="1" applyBorder="1" applyAlignment="1">
      <alignment horizontal="center" vertical="center"/>
    </xf>
    <xf numFmtId="0" fontId="0" fillId="24" borderId="1" xfId="0" applyFill="1" applyBorder="1" applyAlignment="1" applyProtection="1">
      <alignment horizontal="center" vertical="center"/>
      <protection locked="0"/>
    </xf>
    <xf numFmtId="0" fontId="0" fillId="24" borderId="28" xfId="0" applyFill="1" applyBorder="1" applyAlignment="1">
      <alignment horizontal="center" vertical="center"/>
    </xf>
    <xf numFmtId="0" fontId="0" fillId="24" borderId="62" xfId="0" applyFill="1" applyBorder="1" applyAlignment="1" applyProtection="1">
      <alignment horizontal="center" vertical="center"/>
      <protection locked="0"/>
    </xf>
    <xf numFmtId="0" fontId="0" fillId="24" borderId="30" xfId="0" applyFill="1" applyBorder="1" applyAlignment="1">
      <alignment horizontal="center" vertical="center"/>
    </xf>
    <xf numFmtId="0" fontId="4" fillId="0" borderId="26" xfId="0" applyFont="1" applyBorder="1" applyAlignment="1" applyProtection="1">
      <alignment horizontal="center" vertical="center" wrapText="1"/>
      <protection locked="0"/>
    </xf>
    <xf numFmtId="0" fontId="7" fillId="0" borderId="8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 wrapText="1"/>
    </xf>
    <xf numFmtId="0" fontId="5" fillId="0" borderId="61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 wrapText="1"/>
    </xf>
    <xf numFmtId="0" fontId="5" fillId="0" borderId="53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2" fillId="0" borderId="10" xfId="0" applyFont="1" applyBorder="1" applyAlignment="1" applyProtection="1">
      <alignment horizontal="center" vertical="center"/>
      <protection locked="0"/>
    </xf>
    <xf numFmtId="0" fontId="5" fillId="0" borderId="62" xfId="0" applyFont="1" applyBorder="1" applyAlignment="1">
      <alignment horizontal="center" vertical="center" wrapText="1"/>
    </xf>
    <xf numFmtId="0" fontId="0" fillId="15" borderId="27" xfId="0" applyFill="1" applyBorder="1" applyAlignment="1" applyProtection="1">
      <alignment horizontal="center" vertical="center"/>
      <protection locked="0"/>
    </xf>
    <xf numFmtId="0" fontId="0" fillId="15" borderId="20" xfId="0" applyFill="1" applyBorder="1" applyAlignment="1" applyProtection="1">
      <alignment horizontal="center" vertical="center"/>
      <protection locked="0"/>
    </xf>
    <xf numFmtId="0" fontId="0" fillId="17" borderId="27" xfId="0" applyFill="1" applyBorder="1" applyAlignment="1" applyProtection="1">
      <alignment horizontal="center" vertical="center"/>
      <protection locked="0"/>
    </xf>
    <xf numFmtId="0" fontId="0" fillId="17" borderId="8" xfId="0" applyFill="1" applyBorder="1" applyAlignment="1" applyProtection="1">
      <alignment horizontal="center" vertical="center"/>
      <protection locked="0"/>
    </xf>
    <xf numFmtId="0" fontId="0" fillId="17" borderId="20" xfId="0" applyFill="1" applyBorder="1" applyAlignment="1" applyProtection="1">
      <alignment horizontal="center" vertical="center"/>
      <protection locked="0"/>
    </xf>
    <xf numFmtId="0" fontId="0" fillId="18" borderId="27" xfId="0" applyFill="1" applyBorder="1" applyAlignment="1" applyProtection="1">
      <alignment horizontal="center" vertical="center"/>
      <protection locked="0"/>
    </xf>
    <xf numFmtId="0" fontId="0" fillId="18" borderId="8" xfId="0" applyFill="1" applyBorder="1" applyAlignment="1" applyProtection="1">
      <alignment horizontal="center" vertical="center"/>
      <protection locked="0"/>
    </xf>
    <xf numFmtId="0" fontId="0" fillId="18" borderId="20" xfId="0" applyFill="1" applyBorder="1" applyAlignment="1" applyProtection="1">
      <alignment horizontal="center" vertical="center"/>
      <protection locked="0"/>
    </xf>
    <xf numFmtId="0" fontId="0" fillId="22" borderId="61" xfId="0" applyFill="1" applyBorder="1" applyAlignment="1" applyProtection="1">
      <alignment horizontal="center" vertical="center"/>
      <protection locked="0"/>
    </xf>
    <xf numFmtId="0" fontId="0" fillId="23" borderId="61" xfId="0" applyFill="1" applyBorder="1" applyAlignment="1" applyProtection="1">
      <alignment horizontal="center" vertical="center"/>
      <protection locked="0"/>
    </xf>
    <xf numFmtId="0" fontId="0" fillId="24" borderId="61" xfId="0" applyFill="1" applyBorder="1" applyAlignment="1" applyProtection="1">
      <alignment horizontal="center" vertical="center"/>
      <protection locked="0"/>
    </xf>
    <xf numFmtId="0" fontId="4" fillId="0" borderId="28" xfId="0" applyFont="1" applyBorder="1" applyAlignment="1" applyProtection="1">
      <alignment horizontal="center" vertical="center" wrapText="1"/>
      <protection locked="0"/>
    </xf>
    <xf numFmtId="0" fontId="4" fillId="0" borderId="29" xfId="0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4" fillId="0" borderId="27" xfId="0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center" vertical="center"/>
      <protection locked="0"/>
    </xf>
    <xf numFmtId="0" fontId="8" fillId="0" borderId="18" xfId="0" applyFont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4" fillId="0" borderId="20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/>
      <protection locked="0"/>
    </xf>
    <xf numFmtId="0" fontId="8" fillId="0" borderId="10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 applyProtection="1">
      <alignment horizontal="center" vertical="center" wrapText="1"/>
      <protection locked="0"/>
    </xf>
    <xf numFmtId="0" fontId="16" fillId="0" borderId="10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  <xf numFmtId="0" fontId="2" fillId="0" borderId="9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13" fillId="0" borderId="11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8" fillId="0" borderId="1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10" fillId="0" borderId="9" xfId="0" applyFont="1" applyBorder="1" applyAlignment="1" applyProtection="1">
      <alignment horizontal="center" vertical="center" wrapText="1"/>
      <protection locked="0"/>
    </xf>
    <xf numFmtId="0" fontId="32" fillId="0" borderId="18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1" fontId="7" fillId="0" borderId="12" xfId="0" applyNumberFormat="1" applyFont="1" applyBorder="1" applyAlignment="1">
      <alignment horizontal="center" vertical="center"/>
    </xf>
    <xf numFmtId="0" fontId="5" fillId="2" borderId="29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4" fillId="0" borderId="18" xfId="0" applyFont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44" xfId="0" applyFill="1" applyBorder="1" applyAlignment="1" applyProtection="1">
      <alignment horizontal="center" vertical="center"/>
      <protection locked="0"/>
    </xf>
    <xf numFmtId="0" fontId="20" fillId="17" borderId="33" xfId="0" applyFont="1" applyFill="1" applyBorder="1" applyAlignment="1">
      <alignment horizontal="center" vertical="center"/>
    </xf>
    <xf numFmtId="0" fontId="0" fillId="17" borderId="46" xfId="0" applyFill="1" applyBorder="1" applyAlignment="1" applyProtection="1">
      <alignment horizontal="center" vertical="center"/>
      <protection locked="0"/>
    </xf>
    <xf numFmtId="0" fontId="0" fillId="17" borderId="33" xfId="0" applyFill="1" applyBorder="1" applyAlignment="1">
      <alignment horizontal="center" vertical="center"/>
    </xf>
    <xf numFmtId="0" fontId="0" fillId="18" borderId="44" xfId="0" applyFill="1" applyBorder="1" applyAlignment="1" applyProtection="1">
      <alignment horizontal="center" vertical="center"/>
      <protection locked="0"/>
    </xf>
    <xf numFmtId="0" fontId="20" fillId="18" borderId="33" xfId="0" applyFont="1" applyFill="1" applyBorder="1" applyAlignment="1">
      <alignment horizontal="center" vertical="center"/>
    </xf>
    <xf numFmtId="0" fontId="0" fillId="18" borderId="46" xfId="0" applyFill="1" applyBorder="1" applyAlignment="1" applyProtection="1">
      <alignment horizontal="center" vertical="center"/>
      <protection locked="0"/>
    </xf>
    <xf numFmtId="0" fontId="0" fillId="18" borderId="33" xfId="0" applyFill="1" applyBorder="1" applyAlignment="1">
      <alignment horizontal="center" vertical="center"/>
    </xf>
    <xf numFmtId="0" fontId="20" fillId="11" borderId="37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 vertical="center"/>
    </xf>
    <xf numFmtId="0" fontId="20" fillId="11" borderId="39" xfId="0" applyFont="1" applyFill="1" applyBorder="1" applyAlignment="1">
      <alignment horizontal="center" vertical="center"/>
    </xf>
    <xf numFmtId="0" fontId="0" fillId="11" borderId="17" xfId="0" applyFill="1" applyBorder="1" applyAlignment="1" applyProtection="1">
      <alignment horizontal="center" vertical="center"/>
      <protection locked="0"/>
    </xf>
    <xf numFmtId="0" fontId="0" fillId="11" borderId="19" xfId="0" applyFill="1" applyBorder="1" applyAlignment="1">
      <alignment horizontal="center" vertical="center"/>
    </xf>
    <xf numFmtId="0" fontId="0" fillId="12" borderId="47" xfId="0" applyFill="1" applyBorder="1" applyAlignment="1" applyProtection="1">
      <alignment horizontal="center" vertical="center"/>
      <protection locked="0"/>
    </xf>
    <xf numFmtId="0" fontId="0" fillId="12" borderId="52" xfId="0" applyFill="1" applyBorder="1" applyAlignment="1">
      <alignment horizontal="center" vertical="center"/>
    </xf>
    <xf numFmtId="0" fontId="0" fillId="12" borderId="74" xfId="0" applyFill="1" applyBorder="1" applyAlignment="1" applyProtection="1">
      <alignment horizontal="center" vertical="center"/>
      <protection locked="0"/>
    </xf>
    <xf numFmtId="0" fontId="20" fillId="12" borderId="53" xfId="0" applyFont="1" applyFill="1" applyBorder="1" applyAlignment="1">
      <alignment horizontal="center" vertical="center"/>
    </xf>
    <xf numFmtId="0" fontId="0" fillId="12" borderId="75" xfId="0" applyFill="1" applyBorder="1" applyAlignment="1" applyProtection="1">
      <alignment horizontal="center" vertical="center"/>
      <protection locked="0"/>
    </xf>
    <xf numFmtId="0" fontId="0" fillId="12" borderId="64" xfId="0" applyFill="1" applyBorder="1" applyAlignment="1">
      <alignment horizontal="center" vertical="center"/>
    </xf>
    <xf numFmtId="0" fontId="0" fillId="14" borderId="49" xfId="0" applyFill="1" applyBorder="1" applyAlignment="1" applyProtection="1">
      <alignment horizontal="center" vertical="center"/>
      <protection locked="0"/>
    </xf>
    <xf numFmtId="0" fontId="0" fillId="14" borderId="65" xfId="0" applyFill="1" applyBorder="1" applyAlignment="1">
      <alignment horizontal="center" vertical="center"/>
    </xf>
    <xf numFmtId="0" fontId="0" fillId="14" borderId="66" xfId="0" applyFill="1" applyBorder="1" applyAlignment="1" applyProtection="1">
      <alignment horizontal="center" vertical="center"/>
      <protection locked="0"/>
    </xf>
    <xf numFmtId="0" fontId="20" fillId="14" borderId="68" xfId="0" applyFont="1" applyFill="1" applyBorder="1" applyAlignment="1">
      <alignment horizontal="center" vertical="center"/>
    </xf>
    <xf numFmtId="0" fontId="0" fillId="14" borderId="72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>
      <alignment horizontal="center" vertical="center"/>
    </xf>
    <xf numFmtId="0" fontId="0" fillId="13" borderId="35" xfId="0" applyFill="1" applyBorder="1" applyAlignment="1" applyProtection="1">
      <alignment horizontal="center" vertical="center"/>
      <protection locked="0"/>
    </xf>
    <xf numFmtId="0" fontId="0" fillId="13" borderId="12" xfId="0" applyFill="1" applyBorder="1" applyAlignment="1">
      <alignment horizontal="center" vertical="center"/>
    </xf>
    <xf numFmtId="0" fontId="0" fillId="13" borderId="11" xfId="0" applyFill="1" applyBorder="1" applyAlignment="1" applyProtection="1">
      <alignment horizontal="center" vertical="center"/>
      <protection locked="0"/>
    </xf>
    <xf numFmtId="0" fontId="20" fillId="13" borderId="13" xfId="0" applyFont="1" applyFill="1" applyBorder="1" applyAlignment="1">
      <alignment horizontal="center" vertical="center"/>
    </xf>
    <xf numFmtId="0" fontId="0" fillId="13" borderId="17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Alignment="1">
      <alignment horizontal="center" vertical="center"/>
    </xf>
    <xf numFmtId="0" fontId="0" fillId="9" borderId="47" xfId="0" applyFill="1" applyBorder="1" applyAlignment="1" applyProtection="1">
      <alignment horizontal="center" vertical="center"/>
      <protection locked="0"/>
    </xf>
    <xf numFmtId="0" fontId="0" fillId="9" borderId="52" xfId="0" applyFill="1" applyBorder="1" applyAlignment="1">
      <alignment horizontal="center" vertical="center"/>
    </xf>
    <xf numFmtId="0" fontId="0" fillId="9" borderId="74" xfId="0" applyFill="1" applyBorder="1" applyAlignment="1" applyProtection="1">
      <alignment horizontal="center" vertical="center"/>
      <protection locked="0"/>
    </xf>
    <xf numFmtId="0" fontId="20" fillId="9" borderId="53" xfId="0" applyFont="1" applyFill="1" applyBorder="1" applyAlignment="1">
      <alignment horizontal="center" vertical="center"/>
    </xf>
    <xf numFmtId="0" fontId="0" fillId="9" borderId="73" xfId="0" applyFill="1" applyBorder="1" applyAlignment="1" applyProtection="1">
      <alignment horizontal="center" vertical="center"/>
      <protection locked="0"/>
    </xf>
    <xf numFmtId="0" fontId="0" fillId="9" borderId="53" xfId="0" applyFill="1" applyBorder="1" applyAlignment="1">
      <alignment horizontal="center" vertical="center"/>
    </xf>
    <xf numFmtId="0" fontId="0" fillId="19" borderId="34" xfId="0" applyFill="1" applyBorder="1" applyAlignment="1" applyProtection="1">
      <alignment horizontal="center" vertical="center"/>
      <protection locked="0"/>
    </xf>
    <xf numFmtId="0" fontId="0" fillId="19" borderId="17" xfId="0" applyFill="1" applyBorder="1" applyAlignment="1">
      <alignment horizontal="center" vertical="center"/>
    </xf>
    <xf numFmtId="0" fontId="0" fillId="19" borderId="19" xfId="0" applyFill="1" applyBorder="1" applyAlignment="1" applyProtection="1">
      <alignment horizontal="center" vertical="center"/>
      <protection locked="0"/>
    </xf>
    <xf numFmtId="0" fontId="20" fillId="19" borderId="19" xfId="0" applyFont="1" applyFill="1" applyBorder="1" applyAlignment="1">
      <alignment horizontal="center" vertical="center"/>
    </xf>
    <xf numFmtId="0" fontId="0" fillId="19" borderId="17" xfId="0" applyFill="1" applyBorder="1" applyAlignment="1" applyProtection="1">
      <alignment horizontal="center" vertical="center"/>
      <protection locked="0"/>
    </xf>
    <xf numFmtId="0" fontId="0" fillId="19" borderId="19" xfId="0" applyFill="1" applyBorder="1" applyAlignment="1">
      <alignment horizontal="center" vertical="center"/>
    </xf>
    <xf numFmtId="0" fontId="0" fillId="27" borderId="34" xfId="0" applyFill="1" applyBorder="1" applyAlignment="1" applyProtection="1">
      <alignment horizontal="center" vertical="center"/>
      <protection locked="0"/>
    </xf>
    <xf numFmtId="0" fontId="0" fillId="27" borderId="36" xfId="0" applyFill="1" applyBorder="1" applyAlignment="1" applyProtection="1">
      <alignment horizontal="center" vertical="center"/>
      <protection locked="0"/>
    </xf>
    <xf numFmtId="0" fontId="0" fillId="27" borderId="17" xfId="0" applyFill="1" applyBorder="1" applyAlignment="1">
      <alignment horizontal="center" vertical="center"/>
    </xf>
    <xf numFmtId="0" fontId="0" fillId="27" borderId="19" xfId="0" applyFill="1" applyBorder="1" applyAlignment="1" applyProtection="1">
      <alignment horizontal="center" vertical="center"/>
      <protection locked="0"/>
    </xf>
    <xf numFmtId="0" fontId="0" fillId="27" borderId="9" xfId="0" applyFill="1" applyBorder="1" applyAlignment="1">
      <alignment horizontal="center" vertical="center"/>
    </xf>
    <xf numFmtId="0" fontId="20" fillId="27" borderId="19" xfId="0" applyFont="1" applyFill="1" applyBorder="1" applyAlignment="1">
      <alignment horizontal="center" vertical="center"/>
    </xf>
    <xf numFmtId="0" fontId="20" fillId="27" borderId="11" xfId="0" applyFont="1" applyFill="1" applyBorder="1" applyAlignment="1">
      <alignment horizontal="center" vertical="center"/>
    </xf>
    <xf numFmtId="0" fontId="0" fillId="27" borderId="17" xfId="0" applyFill="1" applyBorder="1" applyAlignment="1" applyProtection="1">
      <alignment horizontal="center" vertical="center"/>
      <protection locked="0"/>
    </xf>
    <xf numFmtId="0" fontId="0" fillId="27" borderId="19" xfId="0" applyFill="1" applyBorder="1" applyAlignment="1">
      <alignment horizontal="center" vertical="center"/>
    </xf>
    <xf numFmtId="0" fontId="0" fillId="27" borderId="9" xfId="0" applyFill="1" applyBorder="1" applyAlignment="1" applyProtection="1">
      <alignment horizontal="center" vertical="center"/>
      <protection locked="0"/>
    </xf>
    <xf numFmtId="0" fontId="0" fillId="27" borderId="11" xfId="0" applyFill="1" applyBorder="1" applyAlignment="1">
      <alignment horizontal="center" vertical="center"/>
    </xf>
    <xf numFmtId="0" fontId="0" fillId="19" borderId="35" xfId="0" applyFill="1" applyBorder="1" applyAlignment="1" applyProtection="1">
      <alignment horizontal="center" vertical="center"/>
      <protection locked="0"/>
    </xf>
    <xf numFmtId="0" fontId="0" fillId="19" borderId="12" xfId="0" applyFill="1" applyBorder="1" applyAlignment="1">
      <alignment horizontal="center" vertical="center"/>
    </xf>
    <xf numFmtId="0" fontId="0" fillId="27" borderId="35" xfId="0" applyFill="1" applyBorder="1" applyAlignment="1" applyProtection="1">
      <alignment horizontal="center" vertical="center"/>
      <protection locked="0"/>
    </xf>
    <xf numFmtId="0" fontId="0" fillId="27" borderId="12" xfId="0" applyFill="1" applyBorder="1" applyAlignment="1">
      <alignment horizontal="center" vertical="center"/>
    </xf>
    <xf numFmtId="0" fontId="20" fillId="19" borderId="13" xfId="0" applyFont="1" applyFill="1" applyBorder="1" applyAlignment="1">
      <alignment horizontal="center" vertical="center"/>
    </xf>
    <xf numFmtId="0" fontId="20" fillId="27" borderId="13" xfId="0" applyFont="1" applyFill="1" applyBorder="1" applyAlignment="1">
      <alignment horizontal="center" vertical="center"/>
    </xf>
    <xf numFmtId="0" fontId="0" fillId="19" borderId="12" xfId="0" applyFill="1" applyBorder="1" applyAlignment="1" applyProtection="1">
      <alignment horizontal="center" vertical="center"/>
      <protection locked="0"/>
    </xf>
    <xf numFmtId="0" fontId="0" fillId="19" borderId="13" xfId="0" applyFill="1" applyBorder="1" applyAlignment="1">
      <alignment horizontal="center" vertical="center"/>
    </xf>
    <xf numFmtId="0" fontId="0" fillId="27" borderId="12" xfId="0" applyFill="1" applyBorder="1" applyAlignment="1" applyProtection="1">
      <alignment horizontal="center" vertical="center"/>
      <protection locked="0"/>
    </xf>
    <xf numFmtId="0" fontId="0" fillId="27" borderId="13" xfId="0" applyFill="1" applyBorder="1" applyAlignment="1">
      <alignment horizontal="center" vertical="center"/>
    </xf>
    <xf numFmtId="0" fontId="0" fillId="19" borderId="23" xfId="0" applyFill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0" fillId="19" borderId="43" xfId="0" applyFill="1" applyBorder="1" applyAlignment="1" applyProtection="1">
      <alignment horizontal="center" vertical="center"/>
      <protection locked="0"/>
    </xf>
    <xf numFmtId="0" fontId="20" fillId="19" borderId="25" xfId="0" applyFont="1" applyFill="1" applyBorder="1" applyAlignment="1">
      <alignment horizontal="center" vertical="center"/>
    </xf>
    <xf numFmtId="0" fontId="0" fillId="19" borderId="23" xfId="0" applyFill="1" applyBorder="1" applyAlignment="1" applyProtection="1">
      <alignment horizontal="center" vertical="center"/>
      <protection locked="0"/>
    </xf>
    <xf numFmtId="0" fontId="0" fillId="19" borderId="25" xfId="0" applyFill="1" applyBorder="1" applyAlignment="1">
      <alignment horizontal="center" vertical="center"/>
    </xf>
    <xf numFmtId="0" fontId="0" fillId="27" borderId="11" xfId="0" applyFill="1" applyBorder="1" applyAlignment="1" applyProtection="1">
      <alignment horizontal="center" vertical="center"/>
      <protection locked="0"/>
    </xf>
    <xf numFmtId="0" fontId="20" fillId="0" borderId="19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38" xfId="0" applyFont="1" applyBorder="1" applyAlignment="1" applyProtection="1">
      <alignment horizontal="center" vertical="center"/>
      <protection locked="0"/>
    </xf>
    <xf numFmtId="0" fontId="13" fillId="0" borderId="39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>
      <alignment horizontal="center" vertical="center" wrapText="1"/>
    </xf>
    <xf numFmtId="0" fontId="4" fillId="0" borderId="7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76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3" fillId="0" borderId="19" xfId="0" applyFont="1" applyBorder="1" applyAlignment="1" applyProtection="1">
      <alignment horizontal="center" vertical="center" wrapText="1"/>
      <protection locked="0"/>
    </xf>
    <xf numFmtId="0" fontId="3" fillId="0" borderId="13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center" vertical="center" wrapText="1"/>
      <protection locked="0"/>
    </xf>
    <xf numFmtId="0" fontId="29" fillId="0" borderId="1" xfId="0" applyFont="1" applyBorder="1" applyAlignment="1">
      <alignment horizontal="center" vertical="center"/>
    </xf>
    <xf numFmtId="14" fontId="4" fillId="0" borderId="4" xfId="0" applyNumberFormat="1" applyFont="1" applyBorder="1" applyAlignment="1" applyProtection="1">
      <alignment horizontal="center" vertical="center" wrapText="1"/>
      <protection locked="0"/>
    </xf>
    <xf numFmtId="0" fontId="19" fillId="3" borderId="34" xfId="0" applyFont="1" applyFill="1" applyBorder="1" applyAlignment="1">
      <alignment horizontal="center" vertical="center"/>
    </xf>
    <xf numFmtId="0" fontId="17" fillId="29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33" fillId="0" borderId="28" xfId="0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14" fontId="33" fillId="0" borderId="29" xfId="0" applyNumberFormat="1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11" xfId="0" applyFont="1" applyBorder="1" applyAlignment="1" applyProtection="1">
      <alignment horizontal="center" vertical="center" wrapText="1"/>
      <protection locked="0"/>
    </xf>
    <xf numFmtId="14" fontId="33" fillId="0" borderId="30" xfId="0" applyNumberFormat="1" applyFont="1" applyBorder="1" applyAlignment="1">
      <alignment horizontal="center" vertical="center"/>
    </xf>
    <xf numFmtId="14" fontId="4" fillId="0" borderId="18" xfId="0" applyNumberFormat="1" applyFont="1" applyBorder="1" applyAlignment="1" applyProtection="1">
      <alignment horizontal="center" vertical="center" wrapText="1"/>
      <protection locked="0"/>
    </xf>
    <xf numFmtId="14" fontId="4" fillId="0" borderId="19" xfId="0" applyNumberFormat="1" applyFont="1" applyBorder="1" applyAlignment="1" applyProtection="1">
      <alignment horizontal="center" vertical="center" wrapText="1"/>
      <protection locked="0"/>
    </xf>
    <xf numFmtId="0" fontId="5" fillId="0" borderId="52" xfId="0" applyFont="1" applyBorder="1" applyAlignment="1" applyProtection="1">
      <alignment horizontal="center" vertical="center" wrapText="1"/>
      <protection locked="0"/>
    </xf>
    <xf numFmtId="0" fontId="5" fillId="0" borderId="60" xfId="0" applyFont="1" applyBorder="1" applyAlignment="1" applyProtection="1">
      <alignment horizontal="center" vertical="center" wrapText="1"/>
      <protection locked="0"/>
    </xf>
    <xf numFmtId="0" fontId="5" fillId="0" borderId="53" xfId="0" applyFont="1" applyBorder="1" applyAlignment="1" applyProtection="1">
      <alignment horizontal="center" vertical="center" wrapText="1"/>
      <protection locked="0"/>
    </xf>
    <xf numFmtId="0" fontId="5" fillId="0" borderId="73" xfId="0" applyFont="1" applyBorder="1" applyAlignment="1">
      <alignment horizontal="center" vertical="center" wrapText="1"/>
    </xf>
    <xf numFmtId="14" fontId="4" fillId="0" borderId="13" xfId="0" applyNumberFormat="1" applyFont="1" applyBorder="1" applyAlignment="1" applyProtection="1">
      <alignment horizontal="center" vertical="center" wrapText="1"/>
      <protection locked="0"/>
    </xf>
    <xf numFmtId="0" fontId="4" fillId="0" borderId="62" xfId="0" applyFont="1" applyBorder="1" applyAlignment="1" applyProtection="1">
      <alignment horizontal="center" vertical="center" wrapText="1"/>
      <protection locked="0"/>
    </xf>
    <xf numFmtId="0" fontId="4" fillId="0" borderId="37" xfId="0" applyFont="1" applyBorder="1" applyAlignment="1" applyProtection="1">
      <alignment horizontal="center" vertical="center" wrapText="1"/>
      <protection locked="0"/>
    </xf>
    <xf numFmtId="0" fontId="4" fillId="0" borderId="15" xfId="0" applyFont="1" applyBorder="1" applyAlignment="1" applyProtection="1">
      <alignment horizontal="center" vertical="center" wrapText="1"/>
      <protection locked="0"/>
    </xf>
    <xf numFmtId="0" fontId="4" fillId="0" borderId="39" xfId="0" applyFont="1" applyBorder="1" applyAlignment="1" applyProtection="1">
      <alignment horizontal="center" vertical="center" wrapText="1"/>
      <protection locked="0"/>
    </xf>
    <xf numFmtId="0" fontId="0" fillId="28" borderId="48" xfId="0" applyFill="1" applyBorder="1" applyAlignment="1" applyProtection="1">
      <alignment horizontal="center" vertical="center"/>
      <protection locked="0"/>
    </xf>
    <xf numFmtId="0" fontId="0" fillId="28" borderId="63" xfId="0" applyFill="1" applyBorder="1" applyAlignment="1">
      <alignment horizontal="center" vertical="center"/>
    </xf>
    <xf numFmtId="0" fontId="0" fillId="28" borderId="77" xfId="0" applyFill="1" applyBorder="1" applyAlignment="1" applyProtection="1">
      <alignment horizontal="center" vertical="center"/>
      <protection locked="0"/>
    </xf>
    <xf numFmtId="0" fontId="20" fillId="28" borderId="64" xfId="0" applyFont="1" applyFill="1" applyBorder="1" applyAlignment="1">
      <alignment horizontal="center" vertical="center"/>
    </xf>
    <xf numFmtId="0" fontId="0" fillId="28" borderId="75" xfId="0" applyFill="1" applyBorder="1" applyAlignment="1" applyProtection="1">
      <alignment horizontal="center" vertical="center"/>
      <protection locked="0"/>
    </xf>
    <xf numFmtId="0" fontId="0" fillId="28" borderId="64" xfId="0" applyFill="1" applyBorder="1" applyAlignment="1">
      <alignment horizontal="center" vertical="center"/>
    </xf>
    <xf numFmtId="0" fontId="0" fillId="25" borderId="34" xfId="0" applyFill="1" applyBorder="1" applyAlignment="1" applyProtection="1">
      <alignment horizontal="center" vertical="center"/>
      <protection locked="0"/>
    </xf>
    <xf numFmtId="0" fontId="0" fillId="25" borderId="17" xfId="0" applyFill="1" applyBorder="1" applyAlignment="1">
      <alignment horizontal="center" vertical="center"/>
    </xf>
    <xf numFmtId="0" fontId="20" fillId="25" borderId="19" xfId="0" applyFont="1" applyFill="1" applyBorder="1" applyAlignment="1">
      <alignment horizontal="center" vertical="center"/>
    </xf>
    <xf numFmtId="0" fontId="0" fillId="25" borderId="17" xfId="0" applyFill="1" applyBorder="1" applyAlignment="1" applyProtection="1">
      <alignment horizontal="center" vertical="center"/>
      <protection locked="0"/>
    </xf>
    <xf numFmtId="0" fontId="0" fillId="25" borderId="19" xfId="0" applyFill="1" applyBorder="1" applyAlignment="1">
      <alignment horizontal="center" vertical="center"/>
    </xf>
    <xf numFmtId="0" fontId="0" fillId="25" borderId="35" xfId="0" applyFill="1" applyBorder="1" applyAlignment="1" applyProtection="1">
      <alignment horizontal="center" vertical="center"/>
      <protection locked="0"/>
    </xf>
    <xf numFmtId="0" fontId="0" fillId="25" borderId="12" xfId="0" applyFill="1" applyBorder="1" applyAlignment="1">
      <alignment horizontal="center" vertical="center"/>
    </xf>
    <xf numFmtId="0" fontId="20" fillId="25" borderId="13" xfId="0" applyFont="1" applyFill="1" applyBorder="1" applyAlignment="1">
      <alignment horizontal="center" vertical="center"/>
    </xf>
    <xf numFmtId="0" fontId="0" fillId="25" borderId="12" xfId="0" applyFill="1" applyBorder="1" applyAlignment="1" applyProtection="1">
      <alignment horizontal="center" vertical="center"/>
      <protection locked="0"/>
    </xf>
    <xf numFmtId="0" fontId="0" fillId="25" borderId="13" xfId="0" applyFill="1" applyBorder="1" applyAlignment="1">
      <alignment horizontal="center" vertical="center"/>
    </xf>
    <xf numFmtId="0" fontId="0" fillId="25" borderId="36" xfId="0" applyFill="1" applyBorder="1" applyAlignment="1" applyProtection="1">
      <alignment horizontal="center" vertical="center"/>
      <protection locked="0"/>
    </xf>
    <xf numFmtId="0" fontId="0" fillId="25" borderId="9" xfId="0" applyFill="1" applyBorder="1" applyAlignment="1">
      <alignment horizontal="center" vertical="center"/>
    </xf>
    <xf numFmtId="0" fontId="20" fillId="25" borderId="11" xfId="0" applyFont="1" applyFill="1" applyBorder="1" applyAlignment="1">
      <alignment horizontal="center" vertical="center"/>
    </xf>
    <xf numFmtId="0" fontId="0" fillId="25" borderId="9" xfId="0" applyFill="1" applyBorder="1" applyAlignment="1" applyProtection="1">
      <alignment horizontal="center" vertical="center"/>
      <protection locked="0"/>
    </xf>
    <xf numFmtId="0" fontId="0" fillId="25" borderId="11" xfId="0" applyFill="1" applyBorder="1" applyAlignment="1">
      <alignment horizontal="center" vertical="center"/>
    </xf>
    <xf numFmtId="0" fontId="0" fillId="25" borderId="43" xfId="0" applyFill="1" applyBorder="1" applyAlignment="1" applyProtection="1">
      <alignment horizontal="center" vertical="center"/>
      <protection locked="0"/>
    </xf>
    <xf numFmtId="0" fontId="0" fillId="25" borderId="23" xfId="0" applyFill="1" applyBorder="1" applyAlignment="1">
      <alignment horizontal="center" vertical="center"/>
    </xf>
    <xf numFmtId="0" fontId="20" fillId="25" borderId="25" xfId="0" applyFont="1" applyFill="1" applyBorder="1" applyAlignment="1">
      <alignment horizontal="center" vertical="center"/>
    </xf>
    <xf numFmtId="0" fontId="0" fillId="25" borderId="23" xfId="0" applyFill="1" applyBorder="1" applyAlignment="1" applyProtection="1">
      <alignment horizontal="center" vertical="center"/>
      <protection locked="0"/>
    </xf>
    <xf numFmtId="0" fontId="0" fillId="25" borderId="25" xfId="0" applyFill="1" applyBorder="1" applyAlignment="1">
      <alignment horizontal="center" vertical="center"/>
    </xf>
    <xf numFmtId="0" fontId="34" fillId="10" borderId="18" xfId="0" applyFont="1" applyFill="1" applyBorder="1" applyAlignment="1" applyProtection="1">
      <alignment horizontal="center" vertical="center"/>
      <protection locked="0"/>
    </xf>
    <xf numFmtId="0" fontId="34" fillId="10" borderId="67" xfId="0" applyFont="1" applyFill="1" applyBorder="1" applyAlignment="1" applyProtection="1">
      <alignment horizontal="center" vertical="center"/>
      <protection locked="0"/>
    </xf>
    <xf numFmtId="0" fontId="34" fillId="13" borderId="18" xfId="0" applyFont="1" applyFill="1" applyBorder="1" applyAlignment="1" applyProtection="1">
      <alignment horizontal="center" vertical="center"/>
      <protection locked="0"/>
    </xf>
    <xf numFmtId="0" fontId="34" fillId="13" borderId="4" xfId="0" applyFont="1" applyFill="1" applyBorder="1" applyAlignment="1" applyProtection="1">
      <alignment horizontal="center" vertical="center"/>
      <protection locked="0"/>
    </xf>
    <xf numFmtId="0" fontId="34" fillId="13" borderId="10" xfId="0" applyFont="1" applyFill="1" applyBorder="1" applyAlignment="1" applyProtection="1">
      <alignment horizontal="center" vertical="center"/>
      <protection locked="0"/>
    </xf>
    <xf numFmtId="0" fontId="34" fillId="15" borderId="18" xfId="0" applyFont="1" applyFill="1" applyBorder="1" applyAlignment="1" applyProtection="1">
      <alignment horizontal="center" vertical="center"/>
      <protection locked="0"/>
    </xf>
    <xf numFmtId="0" fontId="34" fillId="15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8" borderId="18" xfId="0" applyFont="1" applyFill="1" applyBorder="1" applyAlignment="1" applyProtection="1">
      <alignment horizontal="center" vertical="center"/>
      <protection locked="0"/>
    </xf>
    <xf numFmtId="0" fontId="34" fillId="18" borderId="32" xfId="0" applyFont="1" applyFill="1" applyBorder="1" applyAlignment="1" applyProtection="1">
      <alignment horizontal="center" vertical="center"/>
      <protection locked="0"/>
    </xf>
    <xf numFmtId="0" fontId="34" fillId="18" borderId="4" xfId="0" applyFont="1" applyFill="1" applyBorder="1" applyAlignment="1" applyProtection="1">
      <alignment horizontal="center" vertical="center"/>
      <protection locked="0"/>
    </xf>
    <xf numFmtId="0" fontId="34" fillId="18" borderId="10" xfId="0" applyFont="1" applyFill="1" applyBorder="1" applyAlignment="1" applyProtection="1">
      <alignment horizontal="center" vertical="center"/>
      <protection locked="0"/>
    </xf>
    <xf numFmtId="0" fontId="34" fillId="19" borderId="18" xfId="0" applyFont="1" applyFill="1" applyBorder="1" applyAlignment="1" applyProtection="1">
      <alignment horizontal="center" vertical="center"/>
      <protection locked="0"/>
    </xf>
    <xf numFmtId="0" fontId="34" fillId="19" borderId="4" xfId="0" applyFont="1" applyFill="1" applyBorder="1" applyAlignment="1" applyProtection="1">
      <alignment horizontal="center" vertical="center"/>
      <protection locked="0"/>
    </xf>
    <xf numFmtId="0" fontId="34" fillId="19" borderId="24" xfId="0" applyFont="1" applyFill="1" applyBorder="1" applyAlignment="1" applyProtection="1">
      <alignment horizontal="center" vertical="center"/>
      <protection locked="0"/>
    </xf>
    <xf numFmtId="0" fontId="34" fillId="27" borderId="18" xfId="0" applyFont="1" applyFill="1" applyBorder="1" applyAlignment="1" applyProtection="1">
      <alignment horizontal="center" vertical="center"/>
      <protection locked="0"/>
    </xf>
    <xf numFmtId="0" fontId="34" fillId="27" borderId="4" xfId="0" applyFont="1" applyFill="1" applyBorder="1" applyAlignment="1" applyProtection="1">
      <alignment horizontal="center" vertical="center"/>
      <protection locked="0"/>
    </xf>
    <xf numFmtId="0" fontId="34" fillId="27" borderId="10" xfId="0" applyFont="1" applyFill="1" applyBorder="1" applyAlignment="1" applyProtection="1">
      <alignment horizontal="center" vertical="center"/>
      <protection locked="0"/>
    </xf>
    <xf numFmtId="0" fontId="34" fillId="28" borderId="78" xfId="0" applyFont="1" applyFill="1" applyBorder="1" applyAlignment="1" applyProtection="1">
      <alignment horizontal="center" vertical="center"/>
      <protection locked="0"/>
    </xf>
    <xf numFmtId="0" fontId="0" fillId="20" borderId="48" xfId="0" applyFill="1" applyBorder="1" applyAlignment="1" applyProtection="1">
      <alignment horizontal="center" vertical="center"/>
      <protection locked="0"/>
    </xf>
    <xf numFmtId="0" fontId="0" fillId="20" borderId="63" xfId="0" applyFill="1" applyBorder="1" applyAlignment="1">
      <alignment horizontal="center" vertical="center"/>
    </xf>
    <xf numFmtId="0" fontId="0" fillId="20" borderId="77" xfId="0" applyFill="1" applyBorder="1" applyAlignment="1" applyProtection="1">
      <alignment horizontal="center" vertical="center"/>
      <protection locked="0"/>
    </xf>
    <xf numFmtId="0" fontId="0" fillId="20" borderId="64" xfId="0" applyFill="1" applyBorder="1" applyAlignment="1">
      <alignment horizontal="center" vertical="center" wrapText="1"/>
    </xf>
    <xf numFmtId="0" fontId="0" fillId="20" borderId="75" xfId="0" applyFill="1" applyBorder="1" applyAlignment="1" applyProtection="1">
      <alignment horizontal="center" vertical="center" wrapText="1"/>
      <protection locked="0"/>
    </xf>
    <xf numFmtId="0" fontId="0" fillId="20" borderId="64" xfId="0" applyFill="1" applyBorder="1" applyAlignment="1">
      <alignment horizontal="center" vertical="center"/>
    </xf>
    <xf numFmtId="0" fontId="0" fillId="21" borderId="49" xfId="0" applyFill="1" applyBorder="1" applyAlignment="1" applyProtection="1">
      <alignment horizontal="center" vertical="center"/>
      <protection locked="0"/>
    </xf>
    <xf numFmtId="0" fontId="0" fillId="21" borderId="65" xfId="0" applyFill="1" applyBorder="1" applyAlignment="1">
      <alignment horizontal="center" vertical="center"/>
    </xf>
    <xf numFmtId="0" fontId="0" fillId="21" borderId="66" xfId="0" applyFill="1" applyBorder="1" applyAlignment="1" applyProtection="1">
      <alignment horizontal="center" vertical="center"/>
      <protection locked="0"/>
    </xf>
    <xf numFmtId="0" fontId="20" fillId="21" borderId="67" xfId="0" applyFont="1" applyFill="1" applyBorder="1" applyAlignment="1" applyProtection="1">
      <alignment horizontal="center" vertical="center"/>
      <protection locked="0"/>
    </xf>
    <xf numFmtId="0" fontId="20" fillId="21" borderId="68" xfId="0" applyFont="1" applyFill="1" applyBorder="1" applyAlignment="1">
      <alignment horizontal="center" vertical="center"/>
    </xf>
    <xf numFmtId="0" fontId="0" fillId="21" borderId="72" xfId="0" applyFill="1" applyBorder="1" applyAlignment="1" applyProtection="1">
      <alignment horizontal="center" vertical="center"/>
      <protection locked="0"/>
    </xf>
    <xf numFmtId="0" fontId="0" fillId="21" borderId="68" xfId="0" applyFill="1" applyBorder="1" applyAlignment="1">
      <alignment horizontal="center" vertical="center"/>
    </xf>
    <xf numFmtId="0" fontId="0" fillId="30" borderId="34" xfId="0" applyFill="1" applyBorder="1" applyAlignment="1" applyProtection="1">
      <alignment horizontal="center" vertical="center"/>
      <protection locked="0"/>
    </xf>
    <xf numFmtId="0" fontId="0" fillId="30" borderId="17" xfId="0" applyFill="1" applyBorder="1" applyAlignment="1">
      <alignment horizontal="center" vertical="center"/>
    </xf>
    <xf numFmtId="0" fontId="0" fillId="30" borderId="19" xfId="0" applyFill="1" applyBorder="1" applyAlignment="1">
      <alignment horizontal="center" vertical="center" wrapText="1"/>
    </xf>
    <xf numFmtId="0" fontId="0" fillId="30" borderId="17" xfId="0" applyFill="1" applyBorder="1" applyAlignment="1" applyProtection="1">
      <alignment horizontal="center" vertical="center" wrapText="1"/>
      <protection locked="0"/>
    </xf>
    <xf numFmtId="0" fontId="0" fillId="30" borderId="19" xfId="0" applyFill="1" applyBorder="1" applyAlignment="1">
      <alignment horizontal="center" vertical="center"/>
    </xf>
    <xf numFmtId="0" fontId="0" fillId="30" borderId="36" xfId="0" applyFill="1" applyBorder="1" applyAlignment="1" applyProtection="1">
      <alignment horizontal="center" vertical="center"/>
      <protection locked="0"/>
    </xf>
    <xf numFmtId="0" fontId="0" fillId="30" borderId="9" xfId="0" applyFill="1" applyBorder="1" applyAlignment="1">
      <alignment horizontal="center" vertical="center"/>
    </xf>
    <xf numFmtId="0" fontId="0" fillId="30" borderId="11" xfId="0" applyFill="1" applyBorder="1" applyAlignment="1">
      <alignment horizontal="center" vertical="center" wrapText="1"/>
    </xf>
    <xf numFmtId="0" fontId="0" fillId="30" borderId="9" xfId="0" applyFill="1" applyBorder="1" applyAlignment="1" applyProtection="1">
      <alignment horizontal="center" vertical="center" wrapText="1"/>
      <protection locked="0"/>
    </xf>
    <xf numFmtId="0" fontId="0" fillId="30" borderId="11" xfId="0" applyFill="1" applyBorder="1" applyAlignment="1">
      <alignment horizontal="center" vertical="center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0" fontId="13" fillId="0" borderId="24" xfId="0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 wrapText="1"/>
      <protection locked="0"/>
    </xf>
    <xf numFmtId="0" fontId="34" fillId="23" borderId="29" xfId="0" applyFont="1" applyFill="1" applyBorder="1" applyAlignment="1" applyProtection="1">
      <alignment horizontal="center" vertical="center"/>
      <protection locked="0"/>
    </xf>
    <xf numFmtId="0" fontId="34" fillId="24" borderId="29" xfId="0" applyFont="1" applyFill="1" applyBorder="1" applyAlignment="1" applyProtection="1">
      <alignment horizontal="center" vertical="center"/>
      <protection locked="0"/>
    </xf>
    <xf numFmtId="0" fontId="20" fillId="25" borderId="18" xfId="0" applyFont="1" applyFill="1" applyBorder="1" applyAlignment="1" applyProtection="1">
      <alignment horizontal="center" vertical="center"/>
      <protection locked="0"/>
    </xf>
    <xf numFmtId="0" fontId="20" fillId="25" borderId="4" xfId="0" applyFont="1" applyFill="1" applyBorder="1" applyAlignment="1" applyProtection="1">
      <alignment horizontal="center" vertical="center"/>
      <protection locked="0"/>
    </xf>
    <xf numFmtId="0" fontId="20" fillId="25" borderId="24" xfId="0" applyFont="1" applyFill="1" applyBorder="1" applyAlignment="1" applyProtection="1">
      <alignment horizontal="center" vertical="center"/>
      <protection locked="0"/>
    </xf>
    <xf numFmtId="0" fontId="20" fillId="25" borderId="10" xfId="0" applyFont="1" applyFill="1" applyBorder="1" applyAlignment="1" applyProtection="1">
      <alignment horizontal="center" vertical="center"/>
      <protection locked="0"/>
    </xf>
    <xf numFmtId="0" fontId="20" fillId="20" borderId="78" xfId="0" applyFont="1" applyFill="1" applyBorder="1" applyAlignment="1" applyProtection="1">
      <alignment horizontal="center" vertical="center" wrapText="1"/>
      <protection locked="0"/>
    </xf>
    <xf numFmtId="0" fontId="20" fillId="30" borderId="18" xfId="0" applyFont="1" applyFill="1" applyBorder="1" applyAlignment="1" applyProtection="1">
      <alignment horizontal="center" vertical="center" wrapText="1"/>
      <protection locked="0"/>
    </xf>
    <xf numFmtId="0" fontId="20" fillId="30" borderId="10" xfId="0" applyFont="1" applyFill="1" applyBorder="1" applyAlignment="1" applyProtection="1">
      <alignment horizontal="center" vertical="center" wrapText="1"/>
      <protection locked="0"/>
    </xf>
    <xf numFmtId="0" fontId="20" fillId="9" borderId="60" xfId="0" applyFont="1" applyFill="1" applyBorder="1" applyAlignment="1" applyProtection="1">
      <alignment horizontal="center" vertical="center"/>
      <protection locked="0"/>
    </xf>
    <xf numFmtId="0" fontId="20" fillId="17" borderId="18" xfId="0" applyFont="1" applyFill="1" applyBorder="1" applyAlignment="1" applyProtection="1">
      <alignment horizontal="center" vertical="center"/>
      <protection locked="0"/>
    </xf>
    <xf numFmtId="0" fontId="20" fillId="17" borderId="32" xfId="0" applyFont="1" applyFill="1" applyBorder="1" applyAlignment="1" applyProtection="1">
      <alignment horizontal="center" vertical="center"/>
      <protection locked="0"/>
    </xf>
    <xf numFmtId="0" fontId="20" fillId="17" borderId="4" xfId="0" applyFont="1" applyFill="1" applyBorder="1" applyAlignment="1" applyProtection="1">
      <alignment horizontal="center" vertical="center"/>
      <protection locked="0"/>
    </xf>
    <xf numFmtId="0" fontId="20" fillId="17" borderId="10" xfId="0" applyFont="1" applyFill="1" applyBorder="1" applyAlignment="1" applyProtection="1">
      <alignment horizontal="center" vertical="center"/>
      <protection locked="0"/>
    </xf>
    <xf numFmtId="0" fontId="20" fillId="14" borderId="67" xfId="0" applyFont="1" applyFill="1" applyBorder="1" applyAlignment="1" applyProtection="1">
      <alignment horizontal="center" vertical="center"/>
      <protection locked="0"/>
    </xf>
    <xf numFmtId="0" fontId="20" fillId="12" borderId="60" xfId="0" applyFont="1" applyFill="1" applyBorder="1" applyAlignment="1" applyProtection="1">
      <alignment horizontal="center" vertical="center"/>
      <protection locked="0"/>
    </xf>
    <xf numFmtId="0" fontId="20" fillId="11" borderId="18" xfId="0" applyFont="1" applyFill="1" applyBorder="1" applyAlignment="1" applyProtection="1">
      <alignment horizontal="center" vertical="center"/>
      <protection locked="0"/>
    </xf>
    <xf numFmtId="0" fontId="20" fillId="11" borderId="4" xfId="0" applyFont="1" applyFill="1" applyBorder="1" applyAlignment="1" applyProtection="1">
      <alignment horizontal="center" vertical="center"/>
      <protection locked="0"/>
    </xf>
    <xf numFmtId="0" fontId="20" fillId="22" borderId="29" xfId="0" applyFont="1" applyFill="1" applyBorder="1" applyAlignment="1" applyProtection="1">
      <alignment horizontal="center" vertical="center"/>
      <protection locked="0"/>
    </xf>
    <xf numFmtId="0" fontId="20" fillId="11" borderId="10" xfId="0" applyFont="1" applyFill="1" applyBorder="1" applyAlignment="1" applyProtection="1">
      <alignment horizontal="center" vertical="center"/>
      <protection locked="0"/>
    </xf>
    <xf numFmtId="0" fontId="33" fillId="0" borderId="30" xfId="0" applyFont="1" applyBorder="1" applyAlignment="1">
      <alignment horizontal="center" vertical="center" wrapText="1"/>
    </xf>
    <xf numFmtId="0" fontId="16" fillId="4" borderId="4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5" fillId="0" borderId="65" xfId="0" applyFont="1" applyBorder="1" applyAlignment="1" applyProtection="1">
      <alignment horizontal="center" vertical="center" wrapText="1"/>
      <protection locked="0"/>
    </xf>
    <xf numFmtId="0" fontId="5" fillId="0" borderId="66" xfId="0" applyFont="1" applyBorder="1" applyAlignment="1" applyProtection="1">
      <alignment horizontal="center" vertical="center" wrapText="1"/>
      <protection locked="0"/>
    </xf>
    <xf numFmtId="0" fontId="5" fillId="0" borderId="68" xfId="0" applyFont="1" applyBorder="1" applyAlignment="1" applyProtection="1">
      <alignment horizontal="center" vertical="center" wrapText="1"/>
      <protection locked="0"/>
    </xf>
    <xf numFmtId="0" fontId="5" fillId="0" borderId="72" xfId="0" applyFont="1" applyBorder="1" applyAlignment="1" applyProtection="1">
      <alignment horizontal="center" vertical="center" wrapText="1"/>
      <protection locked="0"/>
    </xf>
    <xf numFmtId="0" fontId="2" fillId="0" borderId="3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2" borderId="15" xfId="0" applyFont="1" applyFill="1" applyBorder="1" applyAlignment="1">
      <alignment horizontal="center" vertical="center"/>
    </xf>
    <xf numFmtId="0" fontId="2" fillId="0" borderId="15" xfId="0" applyFont="1" applyBorder="1"/>
    <xf numFmtId="0" fontId="4" fillId="32" borderId="15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/>
    <xf numFmtId="0" fontId="0" fillId="0" borderId="12" xfId="0" applyBorder="1"/>
    <xf numFmtId="0" fontId="13" fillId="3" borderId="13" xfId="0" applyFont="1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4" fillId="0" borderId="37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38" xfId="0" applyFont="1" applyBorder="1" applyAlignment="1" applyProtection="1">
      <alignment horizontal="center" vertical="center"/>
      <protection locked="0"/>
    </xf>
    <xf numFmtId="0" fontId="4" fillId="0" borderId="39" xfId="0" applyFont="1" applyBorder="1" applyAlignment="1" applyProtection="1">
      <alignment horizontal="center" vertical="center"/>
      <protection locked="0"/>
    </xf>
    <xf numFmtId="0" fontId="22" fillId="6" borderId="53" xfId="1" applyFont="1" applyFill="1" applyBorder="1" applyAlignment="1" applyProtection="1">
      <alignment horizontal="center" vertical="center" wrapText="1"/>
      <protection locked="0"/>
    </xf>
    <xf numFmtId="49" fontId="16" fillId="0" borderId="4" xfId="0" applyNumberFormat="1" applyFont="1" applyBorder="1" applyAlignment="1" applyProtection="1">
      <alignment horizontal="center" vertical="center" wrapText="1"/>
      <protection locked="0"/>
    </xf>
    <xf numFmtId="0" fontId="0" fillId="27" borderId="1" xfId="0" applyFill="1" applyBorder="1" applyAlignment="1">
      <alignment horizontal="center" vertical="center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0" fontId="0" fillId="27" borderId="18" xfId="0" applyFill="1" applyBorder="1" applyAlignment="1">
      <alignment horizontal="center" vertical="center"/>
    </xf>
    <xf numFmtId="0" fontId="0" fillId="27" borderId="4" xfId="0" applyFill="1" applyBorder="1" applyAlignment="1">
      <alignment horizontal="center" vertical="center"/>
    </xf>
    <xf numFmtId="0" fontId="0" fillId="27" borderId="51" xfId="0" applyFill="1" applyBorder="1" applyAlignment="1">
      <alignment horizontal="center" vertical="center"/>
    </xf>
    <xf numFmtId="0" fontId="0" fillId="27" borderId="22" xfId="0" applyFill="1" applyBorder="1" applyAlignment="1">
      <alignment horizontal="center" vertical="center"/>
    </xf>
    <xf numFmtId="0" fontId="0" fillId="27" borderId="55" xfId="0" applyFill="1" applyBorder="1" applyAlignment="1">
      <alignment horizontal="center" vertical="center"/>
    </xf>
    <xf numFmtId="0" fontId="0" fillId="27" borderId="3" xfId="0" applyFill="1" applyBorder="1" applyAlignment="1">
      <alignment horizontal="center" vertical="center"/>
    </xf>
    <xf numFmtId="0" fontId="0" fillId="27" borderId="56" xfId="0" applyFill="1" applyBorder="1" applyAlignment="1">
      <alignment horizontal="center" vertical="center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16" fillId="0" borderId="32" xfId="0" applyFont="1" applyBorder="1" applyAlignment="1" applyProtection="1">
      <alignment horizontal="center" vertical="center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28" xfId="0" applyFill="1" applyBorder="1" applyAlignment="1">
      <alignment horizontal="center" vertical="center"/>
    </xf>
    <xf numFmtId="0" fontId="0" fillId="5" borderId="62" xfId="0" applyFill="1" applyBorder="1" applyAlignment="1" applyProtection="1">
      <alignment horizontal="center" vertical="center"/>
      <protection locked="0"/>
    </xf>
    <xf numFmtId="0" fontId="20" fillId="5" borderId="29" xfId="0" applyFont="1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>
      <alignment horizontal="center" vertical="center"/>
    </xf>
    <xf numFmtId="0" fontId="0" fillId="5" borderId="61" xfId="0" applyFill="1" applyBorder="1" applyAlignment="1" applyProtection="1">
      <alignment horizontal="center" vertical="center"/>
      <protection locked="0"/>
    </xf>
    <xf numFmtId="0" fontId="4" fillId="29" borderId="15" xfId="0" applyFont="1" applyFill="1" applyBorder="1" applyAlignment="1" applyProtection="1">
      <alignment horizontal="center" vertical="center"/>
      <protection locked="0"/>
    </xf>
    <xf numFmtId="0" fontId="37" fillId="0" borderId="4" xfId="2" applyFont="1" applyBorder="1" applyAlignment="1" applyProtection="1">
      <alignment horizontal="left" vertical="top" wrapText="1"/>
      <protection locked="0"/>
    </xf>
    <xf numFmtId="0" fontId="4" fillId="0" borderId="24" xfId="0" applyFont="1" applyBorder="1" applyAlignment="1" applyProtection="1">
      <alignment horizontal="center" vertical="center" wrapText="1"/>
      <protection locked="0"/>
    </xf>
    <xf numFmtId="0" fontId="8" fillId="3" borderId="4" xfId="0" applyFont="1" applyFill="1" applyBorder="1" applyAlignment="1">
      <alignment horizontal="center" vertical="center" wrapText="1"/>
    </xf>
    <xf numFmtId="0" fontId="10" fillId="3" borderId="12" xfId="0" applyFont="1" applyFill="1" applyBorder="1" applyAlignment="1" applyProtection="1">
      <alignment horizontal="center" vertical="center" wrapText="1"/>
      <protection locked="0"/>
    </xf>
    <xf numFmtId="0" fontId="10" fillId="3" borderId="4" xfId="0" applyFont="1" applyFill="1" applyBorder="1" applyAlignment="1" applyProtection="1">
      <alignment horizontal="center" vertical="center" wrapText="1"/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7" fillId="33" borderId="8" xfId="0" applyFont="1" applyFill="1" applyBorder="1" applyAlignment="1">
      <alignment horizontal="center" vertical="center"/>
    </xf>
    <xf numFmtId="0" fontId="7" fillId="33" borderId="4" xfId="0" applyFont="1" applyFill="1" applyBorder="1" applyAlignment="1">
      <alignment horizontal="center" vertical="center"/>
    </xf>
    <xf numFmtId="0" fontId="8" fillId="33" borderId="4" xfId="0" applyFont="1" applyFill="1" applyBorder="1" applyAlignment="1">
      <alignment horizontal="center" vertical="center" wrapText="1"/>
    </xf>
    <xf numFmtId="0" fontId="4" fillId="33" borderId="23" xfId="0" applyFont="1" applyFill="1" applyBorder="1" applyAlignment="1" applyProtection="1">
      <alignment horizontal="center" vertical="center" wrapText="1"/>
      <protection locked="0"/>
    </xf>
    <xf numFmtId="0" fontId="10" fillId="33" borderId="23" xfId="0" applyFont="1" applyFill="1" applyBorder="1" applyAlignment="1" applyProtection="1">
      <alignment horizontal="center" vertical="center" wrapText="1"/>
      <protection locked="0"/>
    </xf>
    <xf numFmtId="0" fontId="16" fillId="4" borderId="13" xfId="0" applyFont="1" applyFill="1" applyBorder="1" applyAlignment="1" applyProtection="1">
      <alignment horizontal="center" vertical="center" wrapText="1"/>
      <protection locked="0"/>
    </xf>
    <xf numFmtId="0" fontId="8" fillId="4" borderId="4" xfId="0" applyFont="1" applyFill="1" applyBorder="1" applyAlignment="1" applyProtection="1">
      <alignment horizontal="center" vertical="center" wrapText="1"/>
      <protection locked="0"/>
    </xf>
    <xf numFmtId="0" fontId="16" fillId="0" borderId="33" xfId="0" applyFont="1" applyBorder="1" applyAlignment="1" applyProtection="1">
      <alignment horizontal="center" vertical="center" wrapText="1"/>
      <protection locked="0"/>
    </xf>
    <xf numFmtId="0" fontId="38" fillId="0" borderId="8" xfId="0" applyFont="1" applyBorder="1" applyAlignment="1" applyProtection="1">
      <alignment horizontal="center" vertical="center" wrapText="1"/>
      <protection locked="0"/>
    </xf>
    <xf numFmtId="0" fontId="39" fillId="32" borderId="12" xfId="0" applyFont="1" applyFill="1" applyBorder="1" applyAlignment="1" applyProtection="1">
      <alignment horizontal="center" vertical="center" wrapText="1"/>
      <protection locked="0"/>
    </xf>
    <xf numFmtId="0" fontId="39" fillId="32" borderId="8" xfId="0" applyFont="1" applyFill="1" applyBorder="1" applyAlignment="1" applyProtection="1">
      <alignment horizontal="center" vertical="center" wrapText="1"/>
      <protection locked="0"/>
    </xf>
    <xf numFmtId="0" fontId="40" fillId="32" borderId="4" xfId="0" applyFont="1" applyFill="1" applyBorder="1" applyAlignment="1" applyProtection="1">
      <alignment horizontal="center" vertical="center"/>
      <protection locked="0"/>
    </xf>
    <xf numFmtId="0" fontId="41" fillId="32" borderId="4" xfId="0" applyFont="1" applyFill="1" applyBorder="1" applyAlignment="1" applyProtection="1">
      <alignment horizontal="center" vertical="center" wrapText="1"/>
      <protection locked="0"/>
    </xf>
    <xf numFmtId="0" fontId="39" fillId="32" borderId="4" xfId="0" applyFont="1" applyFill="1" applyBorder="1" applyAlignment="1" applyProtection="1">
      <alignment horizontal="center" vertical="center"/>
      <protection locked="0"/>
    </xf>
    <xf numFmtId="0" fontId="39" fillId="32" borderId="15" xfId="0" applyFont="1" applyFill="1" applyBorder="1" applyAlignment="1" applyProtection="1">
      <alignment horizontal="center" vertical="center"/>
      <protection locked="0"/>
    </xf>
    <xf numFmtId="0" fontId="42" fillId="32" borderId="12" xfId="0" applyFont="1" applyFill="1" applyBorder="1" applyAlignment="1" applyProtection="1">
      <alignment horizontal="center" vertical="center" wrapText="1"/>
      <protection locked="0"/>
    </xf>
    <xf numFmtId="0" fontId="42" fillId="32" borderId="4" xfId="0" applyFont="1" applyFill="1" applyBorder="1" applyAlignment="1" applyProtection="1">
      <alignment horizontal="center" vertical="center" wrapText="1"/>
      <protection locked="0"/>
    </xf>
    <xf numFmtId="0" fontId="42" fillId="32" borderId="24" xfId="0" applyFont="1" applyFill="1" applyBorder="1" applyAlignment="1" applyProtection="1">
      <alignment horizontal="center" vertical="center" wrapText="1"/>
      <protection locked="0"/>
    </xf>
    <xf numFmtId="0" fontId="42" fillId="32" borderId="13" xfId="0" applyFont="1" applyFill="1" applyBorder="1" applyAlignment="1" applyProtection="1">
      <alignment horizontal="center" vertical="center" wrapText="1"/>
      <protection locked="0"/>
    </xf>
    <xf numFmtId="0" fontId="4" fillId="32" borderId="12" xfId="0" applyFont="1" applyFill="1" applyBorder="1" applyAlignment="1" applyProtection="1">
      <alignment horizontal="center" vertical="center" wrapText="1"/>
      <protection locked="0"/>
    </xf>
    <xf numFmtId="0" fontId="4" fillId="32" borderId="8" xfId="0" applyFont="1" applyFill="1" applyBorder="1" applyAlignment="1" applyProtection="1">
      <alignment horizontal="center" vertical="center" wrapText="1"/>
      <protection locked="0"/>
    </xf>
    <xf numFmtId="0" fontId="7" fillId="32" borderId="4" xfId="0" applyFont="1" applyFill="1" applyBorder="1" applyAlignment="1" applyProtection="1">
      <alignment horizontal="center" vertical="center"/>
      <protection locked="0"/>
    </xf>
    <xf numFmtId="0" fontId="8" fillId="32" borderId="4" xfId="0" applyFont="1" applyFill="1" applyBorder="1" applyAlignment="1" applyProtection="1">
      <alignment horizontal="center" vertical="center" wrapText="1"/>
      <protection locked="0"/>
    </xf>
    <xf numFmtId="0" fontId="4" fillId="32" borderId="4" xfId="0" applyFont="1" applyFill="1" applyBorder="1" applyAlignment="1" applyProtection="1">
      <alignment horizontal="center" vertical="center"/>
      <protection locked="0"/>
    </xf>
    <xf numFmtId="0" fontId="4" fillId="32" borderId="15" xfId="0" applyFont="1" applyFill="1" applyBorder="1" applyAlignment="1" applyProtection="1">
      <alignment horizontal="center" vertical="center"/>
      <protection locked="0"/>
    </xf>
    <xf numFmtId="0" fontId="16" fillId="32" borderId="12" xfId="0" applyFont="1" applyFill="1" applyBorder="1" applyAlignment="1" applyProtection="1">
      <alignment horizontal="center" vertical="center" wrapText="1"/>
      <protection locked="0"/>
    </xf>
    <xf numFmtId="0" fontId="16" fillId="32" borderId="4" xfId="0" applyFont="1" applyFill="1" applyBorder="1" applyAlignment="1" applyProtection="1">
      <alignment horizontal="center" vertical="center" wrapText="1"/>
      <protection locked="0"/>
    </xf>
    <xf numFmtId="0" fontId="16" fillId="32" borderId="24" xfId="0" applyFont="1" applyFill="1" applyBorder="1" applyAlignment="1" applyProtection="1">
      <alignment horizontal="center" vertical="center" wrapText="1"/>
      <protection locked="0"/>
    </xf>
    <xf numFmtId="0" fontId="16" fillId="32" borderId="13" xfId="0" applyFont="1" applyFill="1" applyBorder="1" applyAlignment="1" applyProtection="1">
      <alignment horizontal="center" vertical="center" wrapText="1"/>
      <protection locked="0"/>
    </xf>
    <xf numFmtId="0" fontId="4" fillId="32" borderId="23" xfId="0" applyFont="1" applyFill="1" applyBorder="1" applyAlignment="1" applyProtection="1">
      <alignment horizontal="center" vertical="center" wrapText="1"/>
      <protection locked="0"/>
    </xf>
    <xf numFmtId="0" fontId="4" fillId="32" borderId="26" xfId="0" applyFont="1" applyFill="1" applyBorder="1" applyAlignment="1" applyProtection="1">
      <alignment horizontal="center" vertical="center" wrapText="1"/>
      <protection locked="0"/>
    </xf>
    <xf numFmtId="0" fontId="7" fillId="32" borderId="24" xfId="0" applyFont="1" applyFill="1" applyBorder="1" applyAlignment="1" applyProtection="1">
      <alignment horizontal="center" vertical="center"/>
      <protection locked="0"/>
    </xf>
    <xf numFmtId="0" fontId="8" fillId="32" borderId="24" xfId="0" applyFont="1" applyFill="1" applyBorder="1" applyAlignment="1" applyProtection="1">
      <alignment horizontal="center" vertical="center" wrapText="1"/>
      <protection locked="0"/>
    </xf>
    <xf numFmtId="0" fontId="4" fillId="32" borderId="24" xfId="0" applyFont="1" applyFill="1" applyBorder="1" applyAlignment="1" applyProtection="1">
      <alignment horizontal="center" vertical="center"/>
      <protection locked="0"/>
    </xf>
    <xf numFmtId="0" fontId="4" fillId="32" borderId="38" xfId="0" applyFont="1" applyFill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7" fillId="4" borderId="18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 wrapText="1"/>
    </xf>
    <xf numFmtId="0" fontId="5" fillId="0" borderId="69" xfId="0" applyFont="1" applyBorder="1" applyAlignment="1" applyProtection="1">
      <alignment horizontal="center" vertical="center" wrapText="1"/>
      <protection locked="0"/>
    </xf>
    <xf numFmtId="0" fontId="2" fillId="0" borderId="70" xfId="0" applyFont="1" applyBorder="1" applyAlignment="1" applyProtection="1">
      <alignment horizontal="center" vertical="center"/>
      <protection locked="0"/>
    </xf>
    <xf numFmtId="0" fontId="2" fillId="0" borderId="21" xfId="0" applyFont="1" applyBorder="1" applyAlignment="1" applyProtection="1">
      <alignment horizontal="center" vertical="center"/>
      <protection locked="0"/>
    </xf>
    <xf numFmtId="0" fontId="2" fillId="0" borderId="71" xfId="0" applyFont="1" applyBorder="1" applyAlignment="1" applyProtection="1">
      <alignment horizontal="center" vertical="center"/>
      <protection locked="0"/>
    </xf>
    <xf numFmtId="0" fontId="2" fillId="0" borderId="76" xfId="0" applyFont="1" applyBorder="1" applyAlignment="1" applyProtection="1">
      <alignment horizontal="center" vertical="center"/>
      <protection locked="0"/>
    </xf>
    <xf numFmtId="0" fontId="13" fillId="0" borderId="21" xfId="0" applyFont="1" applyBorder="1" applyAlignment="1" applyProtection="1">
      <alignment horizontal="center" vertical="center"/>
      <protection locked="0"/>
    </xf>
    <xf numFmtId="0" fontId="13" fillId="0" borderId="76" xfId="0" applyFont="1" applyBorder="1" applyAlignment="1" applyProtection="1">
      <alignment horizontal="center" vertical="center"/>
      <protection locked="0"/>
    </xf>
    <xf numFmtId="0" fontId="13" fillId="0" borderId="71" xfId="0" applyFont="1" applyBorder="1" applyAlignment="1" applyProtection="1">
      <alignment horizontal="center" vertical="center"/>
      <protection locked="0"/>
    </xf>
    <xf numFmtId="0" fontId="13" fillId="32" borderId="12" xfId="0" applyFont="1" applyFill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0" fontId="2" fillId="32" borderId="12" xfId="0" applyFont="1" applyFill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5" fillId="0" borderId="74" xfId="0" applyFont="1" applyBorder="1" applyAlignment="1" applyProtection="1">
      <alignment horizontal="center" vertical="center" wrapText="1"/>
      <protection locked="0"/>
    </xf>
    <xf numFmtId="0" fontId="16" fillId="0" borderId="15" xfId="0" applyFont="1" applyBorder="1" applyAlignment="1" applyProtection="1">
      <alignment horizontal="center" vertical="center" wrapText="1"/>
      <protection locked="0"/>
    </xf>
    <xf numFmtId="0" fontId="10" fillId="0" borderId="15" xfId="0" applyFont="1" applyBorder="1" applyAlignment="1" applyProtection="1">
      <alignment horizontal="center" vertical="center" wrapText="1"/>
      <protection locked="0"/>
    </xf>
    <xf numFmtId="0" fontId="10" fillId="0" borderId="39" xfId="0" applyFont="1" applyBorder="1" applyAlignment="1" applyProtection="1">
      <alignment horizontal="center" vertical="center" wrapText="1"/>
      <protection locked="0"/>
    </xf>
    <xf numFmtId="14" fontId="4" fillId="0" borderId="15" xfId="0" applyNumberFormat="1" applyFont="1" applyBorder="1" applyAlignment="1" applyProtection="1">
      <alignment horizontal="center" vertical="center" wrapText="1"/>
      <protection locked="0"/>
    </xf>
    <xf numFmtId="14" fontId="4" fillId="0" borderId="37" xfId="0" applyNumberFormat="1" applyFont="1" applyBorder="1" applyAlignment="1" applyProtection="1">
      <alignment horizontal="center" vertical="center"/>
      <protection locked="0"/>
    </xf>
    <xf numFmtId="0" fontId="2" fillId="4" borderId="15" xfId="0" applyFont="1" applyFill="1" applyBorder="1" applyAlignment="1" applyProtection="1">
      <alignment horizontal="center" vertical="center"/>
      <protection locked="0"/>
    </xf>
    <xf numFmtId="0" fontId="13" fillId="4" borderId="15" xfId="0" applyFont="1" applyFill="1" applyBorder="1" applyAlignment="1" applyProtection="1">
      <alignment horizontal="center" vertical="center"/>
      <protection locked="0"/>
    </xf>
    <xf numFmtId="0" fontId="13" fillId="4" borderId="38" xfId="0" applyFon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 applyProtection="1">
      <alignment horizontal="center" vertical="center"/>
      <protection locked="0"/>
    </xf>
    <xf numFmtId="0" fontId="2" fillId="4" borderId="24" xfId="0" applyFont="1" applyFill="1" applyBorder="1" applyAlignment="1" applyProtection="1">
      <alignment horizontal="center" vertical="center"/>
      <protection locked="0"/>
    </xf>
    <xf numFmtId="0" fontId="0" fillId="8" borderId="18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17" fillId="29" borderId="14" xfId="0" applyFont="1" applyFill="1" applyBorder="1" applyAlignment="1">
      <alignment horizontal="center" vertical="center" wrapText="1"/>
    </xf>
    <xf numFmtId="0" fontId="17" fillId="29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7" fillId="3" borderId="14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9" fillId="3" borderId="2" xfId="0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0" fontId="19" fillId="5" borderId="14" xfId="0" applyFont="1" applyFill="1" applyBorder="1" applyAlignment="1">
      <alignment horizontal="center" vertical="center"/>
    </xf>
    <xf numFmtId="0" fontId="19" fillId="5" borderId="3" xfId="0" applyFont="1" applyFill="1" applyBorder="1" applyAlignment="1">
      <alignment horizontal="center" vertical="center"/>
    </xf>
    <xf numFmtId="0" fontId="19" fillId="18" borderId="2" xfId="0" applyFont="1" applyFill="1" applyBorder="1" applyAlignment="1">
      <alignment horizontal="center" vertical="center"/>
    </xf>
    <xf numFmtId="0" fontId="19" fillId="18" borderId="14" xfId="0" applyFont="1" applyFill="1" applyBorder="1" applyAlignment="1">
      <alignment horizontal="center" vertical="center"/>
    </xf>
    <xf numFmtId="0" fontId="19" fillId="18" borderId="3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19" fillId="4" borderId="14" xfId="0" applyFont="1" applyFill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center" vertical="center"/>
    </xf>
    <xf numFmtId="0" fontId="19" fillId="7" borderId="14" xfId="0" applyFont="1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19" fillId="26" borderId="2" xfId="0" applyFont="1" applyFill="1" applyBorder="1" applyAlignment="1">
      <alignment horizontal="center" vertical="center"/>
    </xf>
    <xf numFmtId="0" fontId="19" fillId="26" borderId="14" xfId="0" applyFont="1" applyFill="1" applyBorder="1" applyAlignment="1">
      <alignment horizontal="center" vertical="center"/>
    </xf>
    <xf numFmtId="0" fontId="19" fillId="26" borderId="3" xfId="0" applyFont="1" applyFill="1" applyBorder="1" applyAlignment="1">
      <alignment horizontal="center" vertical="center"/>
    </xf>
    <xf numFmtId="0" fontId="19" fillId="25" borderId="2" xfId="0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center" vertical="center"/>
    </xf>
    <xf numFmtId="0" fontId="19" fillId="25" borderId="3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29" xfId="0" applyFont="1" applyBorder="1" applyAlignment="1" applyProtection="1">
      <alignment horizontal="center" vertical="center" wrapText="1"/>
      <protection locked="0"/>
    </xf>
    <xf numFmtId="0" fontId="17" fillId="0" borderId="2" xfId="0" applyFont="1" applyBorder="1" applyAlignment="1" applyProtection="1">
      <alignment horizontal="center" vertical="center" wrapText="1"/>
      <protection locked="0"/>
    </xf>
    <xf numFmtId="0" fontId="17" fillId="0" borderId="3" xfId="0" applyFont="1" applyBorder="1" applyAlignment="1" applyProtection="1">
      <alignment horizontal="center" vertical="center" wrapText="1"/>
      <protection locked="0"/>
    </xf>
    <xf numFmtId="0" fontId="17" fillId="3" borderId="2" xfId="0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5" fillId="0" borderId="29" xfId="0" applyFont="1" applyBorder="1" applyAlignment="1" applyProtection="1">
      <alignment horizontal="center" vertical="center" wrapText="1"/>
      <protection locked="0"/>
    </xf>
    <xf numFmtId="0" fontId="22" fillId="6" borderId="52" xfId="1" applyFont="1" applyFill="1" applyBorder="1" applyAlignment="1" applyProtection="1">
      <alignment horizontal="center" vertical="center" wrapText="1"/>
      <protection locked="0"/>
    </xf>
    <xf numFmtId="0" fontId="22" fillId="6" borderId="60" xfId="1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3" borderId="14" xfId="0" applyFont="1" applyFill="1" applyBorder="1" applyAlignment="1" applyProtection="1">
      <alignment horizontal="center" vertical="center" wrapText="1"/>
      <protection locked="0"/>
    </xf>
    <xf numFmtId="0" fontId="17" fillId="0" borderId="14" xfId="0" applyFont="1" applyBorder="1" applyAlignment="1" applyProtection="1">
      <alignment horizontal="center" vertical="center" wrapText="1"/>
      <protection locked="0"/>
    </xf>
    <xf numFmtId="0" fontId="17" fillId="3" borderId="2" xfId="0" applyFont="1" applyFill="1" applyBorder="1" applyAlignment="1">
      <alignment horizontal="center" vertical="center" wrapText="1"/>
    </xf>
    <xf numFmtId="0" fontId="22" fillId="25" borderId="2" xfId="1" applyFont="1" applyFill="1" applyBorder="1" applyAlignment="1" applyProtection="1">
      <alignment horizontal="center" vertical="center" wrapText="1"/>
      <protection locked="0"/>
    </xf>
    <xf numFmtId="0" fontId="22" fillId="25" borderId="14" xfId="1" applyFont="1" applyFill="1" applyBorder="1" applyAlignment="1" applyProtection="1">
      <alignment horizontal="center" vertical="center" wrapText="1"/>
      <protection locked="0"/>
    </xf>
    <xf numFmtId="0" fontId="22" fillId="25" borderId="40" xfId="1" applyFont="1" applyFill="1" applyBorder="1" applyAlignment="1" applyProtection="1">
      <alignment horizontal="center" vertical="center" wrapText="1"/>
      <protection locked="0"/>
    </xf>
    <xf numFmtId="0" fontId="22" fillId="25" borderId="6" xfId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35" fillId="10" borderId="2" xfId="0" applyFont="1" applyFill="1" applyBorder="1" applyAlignment="1" applyProtection="1">
      <alignment horizontal="center" vertical="center" wrapText="1"/>
      <protection locked="0"/>
    </xf>
    <xf numFmtId="0" fontId="35" fillId="10" borderId="14" xfId="0" applyFont="1" applyFill="1" applyBorder="1" applyAlignment="1" applyProtection="1">
      <alignment horizontal="center" vertical="center" wrapText="1"/>
      <protection locked="0"/>
    </xf>
    <xf numFmtId="0" fontId="35" fillId="10" borderId="3" xfId="0" applyFont="1" applyFill="1" applyBorder="1" applyAlignment="1" applyProtection="1">
      <alignment horizontal="center" vertical="center" wrapText="1"/>
      <protection locked="0"/>
    </xf>
    <xf numFmtId="0" fontId="5" fillId="31" borderId="5" xfId="0" applyFont="1" applyFill="1" applyBorder="1" applyAlignment="1" applyProtection="1">
      <alignment horizontal="left" vertical="top" wrapText="1"/>
      <protection locked="0"/>
    </xf>
    <xf numFmtId="0" fontId="5" fillId="31" borderId="40" xfId="0" applyFont="1" applyFill="1" applyBorder="1" applyAlignment="1" applyProtection="1">
      <alignment horizontal="left" vertical="top" wrapText="1"/>
      <protection locked="0"/>
    </xf>
    <xf numFmtId="0" fontId="5" fillId="31" borderId="6" xfId="0" applyFont="1" applyFill="1" applyBorder="1" applyAlignment="1" applyProtection="1">
      <alignment horizontal="left" vertical="top" wrapText="1"/>
      <protection locked="0"/>
    </xf>
    <xf numFmtId="0" fontId="5" fillId="31" borderId="16" xfId="0" applyFont="1" applyFill="1" applyBorder="1" applyAlignment="1" applyProtection="1">
      <alignment horizontal="left" vertical="top" wrapText="1"/>
      <protection locked="0"/>
    </xf>
    <xf numFmtId="0" fontId="5" fillId="31" borderId="0" xfId="0" applyFont="1" applyFill="1" applyAlignment="1" applyProtection="1">
      <alignment horizontal="left" vertical="top" wrapText="1"/>
      <protection locked="0"/>
    </xf>
    <xf numFmtId="0" fontId="5" fillId="31" borderId="7" xfId="0" applyFont="1" applyFill="1" applyBorder="1" applyAlignment="1" applyProtection="1">
      <alignment horizontal="left" vertical="top" wrapText="1"/>
      <protection locked="0"/>
    </xf>
    <xf numFmtId="0" fontId="5" fillId="31" borderId="41" xfId="0" applyFont="1" applyFill="1" applyBorder="1" applyAlignment="1" applyProtection="1">
      <alignment horizontal="left" vertical="top" wrapText="1"/>
      <protection locked="0"/>
    </xf>
    <xf numFmtId="0" fontId="5" fillId="31" borderId="69" xfId="0" applyFont="1" applyFill="1" applyBorder="1" applyAlignment="1" applyProtection="1">
      <alignment horizontal="left" vertical="top" wrapText="1"/>
      <protection locked="0"/>
    </xf>
    <xf numFmtId="0" fontId="5" fillId="31" borderId="42" xfId="0" applyFont="1" applyFill="1" applyBorder="1" applyAlignment="1" applyProtection="1">
      <alignment horizontal="left" vertical="top" wrapText="1"/>
      <protection locked="0"/>
    </xf>
    <xf numFmtId="0" fontId="22" fillId="2" borderId="2" xfId="1" applyFont="1" applyFill="1" applyBorder="1" applyAlignment="1" applyProtection="1">
      <alignment horizontal="center" vertical="center" wrapText="1"/>
      <protection locked="0"/>
    </xf>
    <xf numFmtId="0" fontId="22" fillId="2" borderId="14" xfId="1" applyFont="1" applyFill="1" applyBorder="1" applyAlignment="1" applyProtection="1">
      <alignment horizontal="center" vertical="center" wrapText="1"/>
      <protection locked="0"/>
    </xf>
    <xf numFmtId="0" fontId="22" fillId="2" borderId="3" xfId="1" applyFont="1" applyFill="1" applyBorder="1" applyAlignment="1" applyProtection="1">
      <alignment horizontal="center" vertical="center" wrapText="1"/>
      <protection locked="0"/>
    </xf>
    <xf numFmtId="0" fontId="22" fillId="7" borderId="2" xfId="1" applyFont="1" applyFill="1" applyBorder="1" applyAlignment="1" applyProtection="1">
      <alignment horizontal="center" vertical="center" wrapText="1"/>
      <protection locked="0"/>
    </xf>
    <xf numFmtId="0" fontId="22" fillId="7" borderId="14" xfId="1" applyFont="1" applyFill="1" applyBorder="1" applyAlignment="1" applyProtection="1">
      <alignment horizontal="center" vertical="center" wrapText="1"/>
      <protection locked="0"/>
    </xf>
    <xf numFmtId="0" fontId="22" fillId="7" borderId="3" xfId="1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Alignment="1">
      <alignment horizontal="center" vertical="center" wrapText="1"/>
    </xf>
    <xf numFmtId="0" fontId="22" fillId="26" borderId="2" xfId="0" applyFont="1" applyFill="1" applyBorder="1" applyAlignment="1" applyProtection="1">
      <alignment horizontal="center" vertical="center" wrapText="1"/>
      <protection locked="0"/>
    </xf>
    <xf numFmtId="0" fontId="22" fillId="26" borderId="14" xfId="0" applyFont="1" applyFill="1" applyBorder="1" applyAlignment="1" applyProtection="1">
      <alignment horizontal="center" vertical="center" wrapText="1"/>
      <protection locked="0"/>
    </xf>
    <xf numFmtId="0" fontId="22" fillId="26" borderId="3" xfId="0" applyFont="1" applyFill="1" applyBorder="1" applyAlignment="1" applyProtection="1">
      <alignment horizontal="center" vertical="center" wrapText="1"/>
      <protection locked="0"/>
    </xf>
    <xf numFmtId="0" fontId="4" fillId="0" borderId="15" xfId="0" applyFont="1" applyBorder="1" applyAlignment="1" applyProtection="1">
      <alignment horizontal="center" vertical="center" wrapText="1"/>
      <protection locked="0"/>
    </xf>
    <xf numFmtId="0" fontId="4" fillId="0" borderId="21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4" fillId="0" borderId="37" xfId="0" applyFont="1" applyBorder="1" applyAlignment="1" applyProtection="1">
      <alignment horizontal="center" vertical="center" wrapText="1"/>
      <protection locked="0"/>
    </xf>
    <xf numFmtId="0" fontId="4" fillId="0" borderId="70" xfId="0" applyFont="1" applyBorder="1" applyAlignment="1" applyProtection="1">
      <alignment horizontal="center" vertical="center" wrapText="1"/>
      <protection locked="0"/>
    </xf>
    <xf numFmtId="0" fontId="4" fillId="0" borderId="27" xfId="0" applyFont="1" applyBorder="1" applyAlignment="1" applyProtection="1">
      <alignment horizontal="center" vertical="center" wrapText="1"/>
      <protection locked="0"/>
    </xf>
    <xf numFmtId="0" fontId="4" fillId="0" borderId="62" xfId="0" applyFont="1" applyBorder="1" applyAlignment="1" applyProtection="1">
      <alignment horizontal="center" vertical="center" wrapText="1"/>
      <protection locked="0"/>
    </xf>
    <xf numFmtId="0" fontId="4" fillId="0" borderId="14" xfId="0" applyFont="1" applyBorder="1" applyAlignment="1" applyProtection="1">
      <alignment horizontal="center" vertical="center" wrapText="1"/>
      <protection locked="0"/>
    </xf>
    <xf numFmtId="0" fontId="4" fillId="0" borderId="61" xfId="0" applyFont="1" applyBorder="1" applyAlignment="1" applyProtection="1">
      <alignment horizontal="center" vertical="center" wrapText="1"/>
      <protection locked="0"/>
    </xf>
    <xf numFmtId="0" fontId="22" fillId="26" borderId="2" xfId="1" applyFont="1" applyFill="1" applyBorder="1" applyAlignment="1" applyProtection="1">
      <alignment horizontal="center" vertical="center" wrapText="1"/>
      <protection locked="0"/>
    </xf>
    <xf numFmtId="0" fontId="22" fillId="26" borderId="14" xfId="1" applyFont="1" applyFill="1" applyBorder="1" applyAlignment="1" applyProtection="1">
      <alignment horizontal="center" vertical="center" wrapText="1"/>
      <protection locked="0"/>
    </xf>
    <xf numFmtId="0" fontId="22" fillId="26" borderId="3" xfId="1" applyFont="1" applyFill="1" applyBorder="1" applyAlignment="1" applyProtection="1">
      <alignment horizontal="center" vertical="center" wrapText="1"/>
      <protection locked="0"/>
    </xf>
    <xf numFmtId="0" fontId="4" fillId="0" borderId="39" xfId="0" applyFont="1" applyBorder="1" applyAlignment="1" applyProtection="1">
      <alignment horizontal="center" vertical="center" wrapText="1"/>
      <protection locked="0"/>
    </xf>
    <xf numFmtId="0" fontId="4" fillId="0" borderId="71" xfId="0" applyFont="1" applyBorder="1" applyAlignment="1" applyProtection="1">
      <alignment horizontal="center" vertical="center" wrapText="1"/>
      <protection locked="0"/>
    </xf>
    <xf numFmtId="0" fontId="4" fillId="0" borderId="20" xfId="0" applyFont="1" applyBorder="1" applyAlignment="1" applyProtection="1">
      <alignment horizontal="center" vertical="center" wrapText="1"/>
      <protection locked="0"/>
    </xf>
    <xf numFmtId="0" fontId="0" fillId="27" borderId="13" xfId="0" applyFill="1" applyBorder="1" applyAlignment="1" applyProtection="1">
      <alignment horizontal="center" vertical="center"/>
      <protection locked="0"/>
    </xf>
    <xf numFmtId="0" fontId="0" fillId="27" borderId="12" xfId="0" applyFill="1" applyBorder="1" applyAlignment="1">
      <alignment horizontal="center" vertical="center"/>
    </xf>
    <xf numFmtId="0" fontId="0" fillId="19" borderId="25" xfId="0" applyFill="1" applyBorder="1" applyAlignment="1" applyProtection="1">
      <alignment horizontal="center" vertical="center"/>
      <protection locked="0"/>
    </xf>
    <xf numFmtId="0" fontId="0" fillId="19" borderId="64" xfId="0" applyFill="1" applyBorder="1" applyAlignment="1" applyProtection="1">
      <alignment horizontal="center" vertical="center"/>
      <protection locked="0"/>
    </xf>
    <xf numFmtId="0" fontId="0" fillId="19" borderId="23" xfId="0" applyFill="1" applyBorder="1" applyAlignment="1">
      <alignment horizontal="center" vertical="center"/>
    </xf>
    <xf numFmtId="0" fontId="0" fillId="19" borderId="63" xfId="0" applyFill="1" applyBorder="1" applyAlignment="1">
      <alignment horizontal="center" vertical="center"/>
    </xf>
    <xf numFmtId="0" fontId="0" fillId="25" borderId="52" xfId="0" applyFill="1" applyBorder="1" applyAlignment="1">
      <alignment horizontal="center" vertical="center"/>
    </xf>
    <xf numFmtId="0" fontId="0" fillId="25" borderId="63" xfId="0" applyFill="1" applyBorder="1" applyAlignment="1">
      <alignment horizontal="center" vertical="center"/>
    </xf>
    <xf numFmtId="0" fontId="0" fillId="25" borderId="65" xfId="0" applyFill="1" applyBorder="1" applyAlignment="1">
      <alignment horizontal="center" vertical="center"/>
    </xf>
    <xf numFmtId="0" fontId="0" fillId="25" borderId="53" xfId="0" applyFill="1" applyBorder="1" applyAlignment="1" applyProtection="1">
      <alignment horizontal="center" vertical="center"/>
      <protection locked="0"/>
    </xf>
    <xf numFmtId="0" fontId="0" fillId="25" borderId="64" xfId="0" applyFill="1" applyBorder="1" applyAlignment="1" applyProtection="1">
      <alignment horizontal="center" vertical="center"/>
      <protection locked="0"/>
    </xf>
    <xf numFmtId="0" fontId="0" fillId="25" borderId="68" xfId="0" applyFill="1" applyBorder="1" applyAlignment="1" applyProtection="1">
      <alignment horizontal="center" vertical="center"/>
      <protection locked="0"/>
    </xf>
    <xf numFmtId="0" fontId="0" fillId="30" borderId="52" xfId="0" applyFill="1" applyBorder="1" applyAlignment="1">
      <alignment horizontal="center" vertical="center"/>
    </xf>
    <xf numFmtId="0" fontId="0" fillId="30" borderId="65" xfId="0" applyFill="1" applyBorder="1" applyAlignment="1">
      <alignment horizontal="center" vertical="center"/>
    </xf>
    <xf numFmtId="0" fontId="0" fillId="30" borderId="53" xfId="0" applyFill="1" applyBorder="1" applyAlignment="1" applyProtection="1">
      <alignment horizontal="center" vertical="center"/>
      <protection locked="0"/>
    </xf>
    <xf numFmtId="0" fontId="0" fillId="30" borderId="68" xfId="0" applyFill="1" applyBorder="1" applyAlignment="1" applyProtection="1">
      <alignment horizontal="center" vertical="center"/>
      <protection locked="0"/>
    </xf>
    <xf numFmtId="0" fontId="17" fillId="3" borderId="16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 wrapText="1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42" xfId="0" applyFont="1" applyBorder="1" applyAlignment="1" applyProtection="1">
      <alignment horizontal="center" vertical="center" wrapText="1"/>
      <protection locked="0"/>
    </xf>
    <xf numFmtId="0" fontId="0" fillId="16" borderId="52" xfId="0" applyFill="1" applyBorder="1" applyAlignment="1" applyProtection="1">
      <alignment horizontal="center" vertical="center"/>
      <protection locked="0"/>
    </xf>
    <xf numFmtId="0" fontId="0" fillId="16" borderId="65" xfId="0" applyFill="1" applyBorder="1" applyAlignment="1" applyProtection="1">
      <alignment horizontal="center" vertical="center"/>
      <protection locked="0"/>
    </xf>
    <xf numFmtId="0" fontId="0" fillId="10" borderId="52" xfId="0" applyFill="1" applyBorder="1" applyAlignment="1" applyProtection="1">
      <alignment horizontal="center" vertical="center"/>
      <protection locked="0"/>
    </xf>
    <xf numFmtId="0" fontId="0" fillId="10" borderId="63" xfId="0" applyFill="1" applyBorder="1" applyAlignment="1" applyProtection="1">
      <alignment horizontal="center" vertical="center"/>
      <protection locked="0"/>
    </xf>
    <xf numFmtId="0" fontId="0" fillId="16" borderId="53" xfId="0" applyFill="1" applyBorder="1" applyAlignment="1">
      <alignment horizontal="center" vertical="center"/>
    </xf>
    <xf numFmtId="0" fontId="0" fillId="16" borderId="68" xfId="0" applyFill="1" applyBorder="1" applyAlignment="1">
      <alignment horizontal="center" vertical="center"/>
    </xf>
    <xf numFmtId="0" fontId="0" fillId="10" borderId="53" xfId="0" applyFill="1" applyBorder="1" applyAlignment="1">
      <alignment horizontal="center" vertical="center"/>
    </xf>
    <xf numFmtId="0" fontId="0" fillId="10" borderId="64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68" xfId="0" applyFill="1" applyBorder="1" applyAlignment="1">
      <alignment horizontal="center" vertical="center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65" xfId="0" applyFill="1" applyBorder="1" applyAlignment="1" applyProtection="1">
      <alignment horizontal="center" vertical="center"/>
      <protection locked="0"/>
    </xf>
    <xf numFmtId="0" fontId="0" fillId="13" borderId="23" xfId="0" applyFill="1" applyBorder="1" applyAlignment="1" applyProtection="1">
      <alignment horizontal="center" vertical="center"/>
      <protection locked="0"/>
    </xf>
    <xf numFmtId="0" fontId="0" fillId="13" borderId="65" xfId="0" applyFill="1" applyBorder="1" applyAlignment="1" applyProtection="1">
      <alignment horizontal="center" vertical="center"/>
      <protection locked="0"/>
    </xf>
    <xf numFmtId="0" fontId="0" fillId="13" borderId="25" xfId="0" applyFill="1" applyBorder="1" applyAlignment="1">
      <alignment horizontal="center" vertical="center"/>
    </xf>
    <xf numFmtId="0" fontId="0" fillId="13" borderId="68" xfId="0" applyFill="1" applyBorder="1" applyAlignment="1">
      <alignment horizontal="center" vertical="center"/>
    </xf>
    <xf numFmtId="0" fontId="21" fillId="0" borderId="47" xfId="0" applyFont="1" applyBorder="1" applyAlignment="1">
      <alignment horizontal="center" vertical="center" wrapText="1"/>
    </xf>
    <xf numFmtId="0" fontId="21" fillId="0" borderId="48" xfId="0" applyFont="1" applyBorder="1" applyAlignment="1">
      <alignment horizontal="center" vertical="center" wrapText="1"/>
    </xf>
    <xf numFmtId="0" fontId="21" fillId="0" borderId="49" xfId="0" applyFont="1" applyBorder="1" applyAlignment="1">
      <alignment horizontal="center" vertical="center" wrapText="1"/>
    </xf>
    <xf numFmtId="0" fontId="0" fillId="18" borderId="23" xfId="0" applyFill="1" applyBorder="1" applyAlignment="1">
      <alignment horizontal="center" vertical="center"/>
    </xf>
    <xf numFmtId="0" fontId="0" fillId="18" borderId="31" xfId="0" applyFill="1" applyBorder="1" applyAlignment="1">
      <alignment horizontal="center" vertical="center"/>
    </xf>
    <xf numFmtId="0" fontId="0" fillId="18" borderId="15" xfId="0" applyFill="1" applyBorder="1" applyAlignment="1" applyProtection="1">
      <alignment horizontal="center" vertical="center"/>
      <protection locked="0"/>
    </xf>
    <xf numFmtId="0" fontId="19" fillId="3" borderId="17" xfId="0" applyFont="1" applyFill="1" applyBorder="1" applyAlignment="1">
      <alignment horizontal="center" vertical="center"/>
    </xf>
    <xf numFmtId="0" fontId="19" fillId="3" borderId="18" xfId="0" applyFont="1" applyFill="1" applyBorder="1" applyAlignment="1">
      <alignment horizontal="center" vertical="center"/>
    </xf>
    <xf numFmtId="0" fontId="19" fillId="3" borderId="19" xfId="0" applyFont="1" applyFill="1" applyBorder="1" applyAlignment="1">
      <alignment horizontal="center" vertical="center"/>
    </xf>
    <xf numFmtId="0" fontId="0" fillId="15" borderId="37" xfId="0" applyFill="1" applyBorder="1" applyAlignment="1" applyProtection="1">
      <alignment horizontal="center" vertical="center"/>
      <protection locked="0"/>
    </xf>
    <xf numFmtId="0" fontId="0" fillId="15" borderId="39" xfId="0" applyFill="1" applyBorder="1" applyAlignment="1" applyProtection="1">
      <alignment horizontal="center" vertical="center"/>
      <protection locked="0"/>
    </xf>
    <xf numFmtId="0" fontId="0" fillId="17" borderId="23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15" xfId="0" applyFill="1" applyBorder="1" applyAlignment="1" applyProtection="1">
      <alignment horizontal="center" vertical="center"/>
      <protection locked="0"/>
    </xf>
    <xf numFmtId="0" fontId="0" fillId="15" borderId="52" xfId="0" applyFill="1" applyBorder="1" applyAlignment="1">
      <alignment horizontal="center" vertical="center"/>
    </xf>
    <xf numFmtId="0" fontId="0" fillId="15" borderId="65" xfId="0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0" fillId="17" borderId="53" xfId="0" applyFill="1" applyBorder="1" applyAlignment="1" applyProtection="1">
      <alignment horizontal="center" vertical="center"/>
      <protection locked="0"/>
    </xf>
    <xf numFmtId="0" fontId="0" fillId="17" borderId="33" xfId="0" applyFill="1" applyBorder="1" applyAlignment="1" applyProtection="1">
      <alignment horizontal="center" vertical="center"/>
      <protection locked="0"/>
    </xf>
    <xf numFmtId="0" fontId="0" fillId="18" borderId="53" xfId="0" applyFill="1" applyBorder="1" applyAlignment="1" applyProtection="1">
      <alignment horizontal="center" vertical="center"/>
      <protection locked="0"/>
    </xf>
    <xf numFmtId="0" fontId="0" fillId="18" borderId="33" xfId="0" applyFill="1" applyBorder="1" applyAlignment="1" applyProtection="1">
      <alignment horizontal="center" vertical="center"/>
      <protection locked="0"/>
    </xf>
    <xf numFmtId="0" fontId="0" fillId="18" borderId="52" xfId="0" applyFill="1" applyBorder="1" applyAlignment="1">
      <alignment horizontal="center" vertical="center"/>
    </xf>
    <xf numFmtId="0" fontId="19" fillId="3" borderId="27" xfId="0" applyFont="1" applyFill="1" applyBorder="1" applyAlignment="1">
      <alignment horizontal="center" vertical="center"/>
    </xf>
    <xf numFmtId="0" fontId="0" fillId="11" borderId="37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Alignment="1" applyProtection="1">
      <alignment horizontal="center" vertical="center"/>
      <protection locked="0"/>
    </xf>
    <xf numFmtId="0" fontId="0" fillId="13" borderId="13" xfId="0" applyFill="1" applyBorder="1" applyAlignment="1" applyProtection="1">
      <alignment horizontal="center" vertical="center"/>
      <protection locked="0"/>
    </xf>
    <xf numFmtId="0" fontId="24" fillId="0" borderId="5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4" fillId="0" borderId="41" xfId="0" applyFont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 wrapText="1"/>
    </xf>
    <xf numFmtId="0" fontId="19" fillId="3" borderId="37" xfId="0" applyFont="1" applyFill="1" applyBorder="1" applyAlignment="1">
      <alignment horizontal="center" vertical="center"/>
    </xf>
    <xf numFmtId="0" fontId="22" fillId="4" borderId="5" xfId="1" applyFont="1" applyFill="1" applyBorder="1" applyAlignment="1" applyProtection="1">
      <alignment horizontal="center" vertical="center" wrapText="1"/>
      <protection locked="0"/>
    </xf>
    <xf numFmtId="0" fontId="22" fillId="4" borderId="40" xfId="1" applyFont="1" applyFill="1" applyBorder="1" applyAlignment="1" applyProtection="1">
      <alignment horizontal="center" vertical="center" wrapText="1"/>
      <protection locked="0"/>
    </xf>
    <xf numFmtId="0" fontId="22" fillId="4" borderId="6" xfId="1" applyFont="1" applyFill="1" applyBorder="1" applyAlignment="1" applyProtection="1">
      <alignment horizontal="center" vertical="center" wrapText="1"/>
      <protection locked="0"/>
    </xf>
    <xf numFmtId="0" fontId="22" fillId="18" borderId="2" xfId="1" applyFont="1" applyFill="1" applyBorder="1" applyAlignment="1" applyProtection="1">
      <alignment horizontal="center" vertical="center" wrapText="1"/>
      <protection locked="0"/>
    </xf>
    <xf numFmtId="0" fontId="22" fillId="18" borderId="14" xfId="1" applyFont="1" applyFill="1" applyBorder="1" applyAlignment="1" applyProtection="1">
      <alignment horizontal="center" vertical="center" wrapText="1"/>
      <protection locked="0"/>
    </xf>
    <xf numFmtId="0" fontId="22" fillId="18" borderId="3" xfId="1" applyFont="1" applyFill="1" applyBorder="1" applyAlignment="1" applyProtection="1">
      <alignment horizontal="center" vertical="center" wrapText="1"/>
      <protection locked="0"/>
    </xf>
    <xf numFmtId="0" fontId="22" fillId="5" borderId="52" xfId="1" applyFont="1" applyFill="1" applyBorder="1" applyAlignment="1" applyProtection="1">
      <alignment horizontal="center" vertical="center" wrapText="1"/>
      <protection locked="0"/>
    </xf>
    <xf numFmtId="0" fontId="22" fillId="5" borderId="60" xfId="1" applyFont="1" applyFill="1" applyBorder="1" applyAlignment="1" applyProtection="1">
      <alignment horizontal="center" vertical="center" wrapText="1"/>
      <protection locked="0"/>
    </xf>
    <xf numFmtId="0" fontId="22" fillId="5" borderId="53" xfId="1" applyFont="1" applyFill="1" applyBorder="1" applyAlignment="1" applyProtection="1">
      <alignment horizontal="center" vertical="center" wrapText="1"/>
      <protection locked="0"/>
    </xf>
    <xf numFmtId="0" fontId="19" fillId="0" borderId="16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40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</cellXfs>
  <cellStyles count="3">
    <cellStyle name="Lien hypertexte" xfId="1" builtinId="8"/>
    <cellStyle name="Normal" xfId="0" builtinId="0"/>
    <cellStyle name="Normal 15" xfId="2" xr:uid="{4D3D8673-6438-43D2-B85C-D3B3F27749DE}"/>
  </cellStyles>
  <dxfs count="22">
    <dxf>
      <fill>
        <patternFill>
          <bgColor rgb="FFFF0000"/>
        </patternFill>
      </fill>
    </dxf>
    <dxf>
      <font>
        <color rgb="FFFF0000"/>
      </font>
      <fill>
        <patternFill>
          <bgColor theme="0" tint="-0.24994659260841701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 patternType="solid">
          <fgColor rgb="FFE2EFDA"/>
          <bgColor rgb="FF00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89D4F9"/>
      <color rgb="FF85FD8B"/>
      <color rgb="FFE8F191"/>
      <color rgb="FFA8BCDA"/>
      <color rgb="FF19C0E7"/>
      <color rgb="FF99E1E9"/>
      <color rgb="FFC3B0D2"/>
      <color rgb="FFDC83FF"/>
      <color rgb="FF69985C"/>
      <color rgb="FFA5DD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2352675</xdr:colOff>
      <xdr:row>1</xdr:row>
      <xdr:rowOff>38100</xdr:rowOff>
    </xdr:from>
    <xdr:to>
      <xdr:col>4</xdr:col>
      <xdr:colOff>3951779</xdr:colOff>
      <xdr:row>2</xdr:row>
      <xdr:rowOff>342900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238125"/>
          <a:ext cx="1599104" cy="638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1512151</xdr:colOff>
      <xdr:row>1</xdr:row>
      <xdr:rowOff>166966</xdr:rowOff>
    </xdr:from>
    <xdr:to>
      <xdr:col>6</xdr:col>
      <xdr:colOff>3505547</xdr:colOff>
      <xdr:row>4</xdr:row>
      <xdr:rowOff>88438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0592" y="402290"/>
          <a:ext cx="1993396" cy="7955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361950</xdr:colOff>
          <xdr:row>2</xdr:row>
          <xdr:rowOff>104775</xdr:rowOff>
        </xdr:from>
        <xdr:to>
          <xdr:col>32</xdr:col>
          <xdr:colOff>95250</xdr:colOff>
          <xdr:row>3</xdr:row>
          <xdr:rowOff>219075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352425</xdr:colOff>
          <xdr:row>4</xdr:row>
          <xdr:rowOff>66675</xdr:rowOff>
        </xdr:from>
        <xdr:to>
          <xdr:col>32</xdr:col>
          <xdr:colOff>219075</xdr:colOff>
          <xdr:row>5</xdr:row>
          <xdr:rowOff>247650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361950</xdr:colOff>
          <xdr:row>6</xdr:row>
          <xdr:rowOff>504825</xdr:rowOff>
        </xdr:from>
        <xdr:to>
          <xdr:col>33</xdr:col>
          <xdr:colOff>323850</xdr:colOff>
          <xdr:row>7</xdr:row>
          <xdr:rowOff>361950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352425</xdr:colOff>
          <xdr:row>5</xdr:row>
          <xdr:rowOff>342900</xdr:rowOff>
        </xdr:from>
        <xdr:to>
          <xdr:col>33</xdr:col>
          <xdr:colOff>419100</xdr:colOff>
          <xdr:row>6</xdr:row>
          <xdr:rowOff>428625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1512797</xdr:colOff>
      <xdr:row>1</xdr:row>
      <xdr:rowOff>168648</xdr:rowOff>
    </xdr:from>
    <xdr:to>
      <xdr:col>6</xdr:col>
      <xdr:colOff>3506193</xdr:colOff>
      <xdr:row>4</xdr:row>
      <xdr:rowOff>90120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8997" y="406773"/>
          <a:ext cx="1993396" cy="7977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1512797</xdr:colOff>
      <xdr:row>1</xdr:row>
      <xdr:rowOff>168648</xdr:rowOff>
    </xdr:from>
    <xdr:to>
      <xdr:col>6</xdr:col>
      <xdr:colOff>3506193</xdr:colOff>
      <xdr:row>4</xdr:row>
      <xdr:rowOff>90120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238" y="403972"/>
          <a:ext cx="1993396" cy="7955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246529</xdr:colOff>
      <xdr:row>5</xdr:row>
      <xdr:rowOff>33617</xdr:rowOff>
    </xdr:from>
    <xdr:to>
      <xdr:col>35</xdr:col>
      <xdr:colOff>266433</xdr:colOff>
      <xdr:row>26</xdr:row>
      <xdr:rowOff>462643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861500" y="1602441"/>
          <a:ext cx="6115904" cy="85641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1512797</xdr:colOff>
      <xdr:row>1</xdr:row>
      <xdr:rowOff>168648</xdr:rowOff>
    </xdr:from>
    <xdr:to>
      <xdr:col>6</xdr:col>
      <xdr:colOff>3506193</xdr:colOff>
      <xdr:row>4</xdr:row>
      <xdr:rowOff>90120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872" y="406773"/>
          <a:ext cx="1993396" cy="7977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1512797</xdr:colOff>
      <xdr:row>1</xdr:row>
      <xdr:rowOff>168648</xdr:rowOff>
    </xdr:from>
    <xdr:to>
      <xdr:col>6</xdr:col>
      <xdr:colOff>3506193</xdr:colOff>
      <xdr:row>4</xdr:row>
      <xdr:rowOff>90120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872" y="406773"/>
          <a:ext cx="1993396" cy="7977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1512797</xdr:colOff>
      <xdr:row>1</xdr:row>
      <xdr:rowOff>168648</xdr:rowOff>
    </xdr:from>
    <xdr:to>
      <xdr:col>5</xdr:col>
      <xdr:colOff>3506193</xdr:colOff>
      <xdr:row>4</xdr:row>
      <xdr:rowOff>90120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872" y="406773"/>
          <a:ext cx="1993396" cy="79777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1512797</xdr:colOff>
      <xdr:row>1</xdr:row>
      <xdr:rowOff>168648</xdr:rowOff>
    </xdr:from>
    <xdr:to>
      <xdr:col>6</xdr:col>
      <xdr:colOff>3506193</xdr:colOff>
      <xdr:row>4</xdr:row>
      <xdr:rowOff>90120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872" y="406773"/>
          <a:ext cx="1993396" cy="79777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1512797</xdr:colOff>
      <xdr:row>1</xdr:row>
      <xdr:rowOff>168648</xdr:rowOff>
    </xdr:from>
    <xdr:to>
      <xdr:col>6</xdr:col>
      <xdr:colOff>3506193</xdr:colOff>
      <xdr:row>4</xdr:row>
      <xdr:rowOff>90120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872" y="406773"/>
          <a:ext cx="1993396" cy="79777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1512797</xdr:colOff>
      <xdr:row>1</xdr:row>
      <xdr:rowOff>168648</xdr:rowOff>
    </xdr:from>
    <xdr:to>
      <xdr:col>6</xdr:col>
      <xdr:colOff>3506193</xdr:colOff>
      <xdr:row>4</xdr:row>
      <xdr:rowOff>90120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872" y="406773"/>
          <a:ext cx="1993396" cy="797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>
    <tabColor rgb="FF00B0F0"/>
  </sheetPr>
  <dimension ref="B1:F30"/>
  <sheetViews>
    <sheetView workbookViewId="0">
      <selection activeCell="E6" sqref="E6"/>
    </sheetView>
  </sheetViews>
  <sheetFormatPr baseColWidth="10" defaultColWidth="11.42578125" defaultRowHeight="15"/>
  <cols>
    <col min="1" max="1" width="11.42578125" style="59"/>
    <col min="2" max="2" width="13.5703125" style="59" customWidth="1"/>
    <col min="3" max="3" width="11.42578125" style="59"/>
    <col min="4" max="4" width="14.42578125" style="59" customWidth="1"/>
    <col min="5" max="5" width="119.7109375" style="59" customWidth="1"/>
    <col min="6" max="6" width="15.140625" style="59" customWidth="1"/>
    <col min="7" max="16384" width="11.42578125" style="59"/>
  </cols>
  <sheetData>
    <row r="1" spans="2:6" ht="15.75" thickBot="1"/>
    <row r="2" spans="2:6" ht="26.25" customHeight="1" thickBot="1">
      <c r="B2" s="424" t="s">
        <v>0</v>
      </c>
      <c r="C2" s="660" t="s">
        <v>159</v>
      </c>
      <c r="D2" s="661"/>
      <c r="E2" s="662"/>
    </row>
    <row r="3" spans="2:6" ht="30.75" customHeight="1" thickBot="1">
      <c r="B3" s="425">
        <f>NOMENCLATURE_GEN!B3</f>
        <v>224102</v>
      </c>
      <c r="C3" s="663" t="str">
        <f>NOMENCLATURE_GEN!B5</f>
        <v>PAPREC - CHAGNY</v>
      </c>
      <c r="D3" s="664"/>
      <c r="E3" s="662"/>
    </row>
    <row r="4" spans="2:6" ht="15.75" thickBot="1"/>
    <row r="5" spans="2:6" ht="20.25" customHeight="1" thickBot="1">
      <c r="B5" s="689" t="s">
        <v>356</v>
      </c>
      <c r="C5" s="690"/>
      <c r="D5" s="690"/>
      <c r="E5" s="690"/>
      <c r="F5" s="691"/>
    </row>
    <row r="6" spans="2:6" ht="33" customHeight="1" thickBot="1">
      <c r="B6" s="426" t="str">
        <f>LOOKUP(2,1/(NOMENCLATURE_GEN!B:B&lt;&gt;""),NOMENCLATURE_GEN!B:B)</f>
        <v>ANA</v>
      </c>
      <c r="C6" s="427" t="str">
        <f>LOOKUP(2,1/(NOMENCLATURE_GEN!C:C&lt;&gt;""),NOMENCLATURE_GEN!C:C)</f>
        <v>D</v>
      </c>
      <c r="D6" s="428">
        <f>LOOKUP(2,1/(NOMENCLATURE_GEN!D:D&lt;&gt;""),NOMENCLATURE_GEN!D:D)</f>
        <v>45434</v>
      </c>
      <c r="E6" s="537" t="str">
        <f ca="1">LOOKUP(2,1/(NOMENCLATURE_GEN!E:E&lt;&gt;""),NOMENCLATURE_GEN!E:E)</f>
        <v>-</v>
      </c>
      <c r="F6" s="432" t="str">
        <f>LOOKUP(2,1/(NOMENCLATURE_GEN!K:K&lt;&gt;""),NOMENCLATURE_GEN!K:K)</f>
        <v>-</v>
      </c>
    </row>
    <row r="7" spans="2:6" ht="15.75" thickBot="1"/>
    <row r="8" spans="2:6" ht="20.25" customHeight="1" thickBot="1">
      <c r="B8" s="686" t="s">
        <v>357</v>
      </c>
      <c r="C8" s="687"/>
      <c r="D8" s="687"/>
      <c r="E8" s="687"/>
      <c r="F8" s="688"/>
    </row>
    <row r="9" spans="2:6" ht="33" customHeight="1" thickBot="1">
      <c r="B9" s="426" t="str">
        <f>LOOKUP(2,1/(Motorisation!B:B&lt;&gt;""),Motorisation!B:B)</f>
        <v>LUS</v>
      </c>
      <c r="C9" s="427" t="str">
        <f>LOOKUP(2,1/(Motorisation!C:C&lt;&gt;""),Motorisation!C:C)</f>
        <v>E</v>
      </c>
      <c r="D9" s="428">
        <f>LOOKUP(2,1/(Motorisation!D:D&lt;&gt;""),Motorisation!D:D)</f>
        <v>45441</v>
      </c>
      <c r="E9" s="429" t="str">
        <f ca="1">LOOKUP(2,1/(Motorisation!E:E&lt;&gt;""),Motorisation!E:E)</f>
        <v>Ajout dates de livraison</v>
      </c>
      <c r="F9" s="432">
        <f>LOOKUP(2,1/(Motorisation!K:K&lt;&gt;""),Motorisation!K:K)</f>
        <v>45441</v>
      </c>
    </row>
    <row r="10" spans="2:6" ht="15.75" thickBot="1"/>
    <row r="11" spans="2:6" ht="20.25" customHeight="1" thickBot="1">
      <c r="B11" s="683" t="s">
        <v>358</v>
      </c>
      <c r="C11" s="684"/>
      <c r="D11" s="684"/>
      <c r="E11" s="684"/>
      <c r="F11" s="685"/>
    </row>
    <row r="12" spans="2:6" ht="33" customHeight="1" thickBot="1">
      <c r="B12" s="426" t="str">
        <f>LOOKUP(2,1/(Tambours!B:B&lt;&gt;""),Tambours!B:B)</f>
        <v>LUS</v>
      </c>
      <c r="C12" s="427" t="str">
        <f>LOOKUP(2,1/(Tambours!C:C&lt;&gt;""),Tambours!C:C)</f>
        <v>B</v>
      </c>
      <c r="D12" s="428">
        <f>LOOKUP(2,1/(Tambours!D:D&lt;&gt;""),Tambours!D:D)</f>
        <v>45456</v>
      </c>
      <c r="E12" s="429" t="str">
        <f ca="1">LOOKUP(2,1/(Tambours!E:E&lt;&gt;""),Tambours!E:E)</f>
        <v>Ajout Tambours CBA</v>
      </c>
      <c r="F12" s="432">
        <f>LOOKUP(2,1/(Tambours!K:K&lt;&gt;""),Tambours!K:K)</f>
        <v>45456</v>
      </c>
    </row>
    <row r="13" spans="2:6" ht="15.75" thickBot="1"/>
    <row r="14" spans="2:6" ht="20.25" customHeight="1" thickBot="1">
      <c r="B14" s="680" t="s">
        <v>359</v>
      </c>
      <c r="C14" s="681"/>
      <c r="D14" s="681"/>
      <c r="E14" s="681"/>
      <c r="F14" s="682"/>
    </row>
    <row r="15" spans="2:6" ht="33" customHeight="1" thickBot="1">
      <c r="B15" s="426" t="str">
        <f>LOOKUP(2,1/(Rouleaux!B:B&lt;&gt;""),Rouleaux!B:B)</f>
        <v>LUS</v>
      </c>
      <c r="C15" s="427" t="str">
        <f>LOOKUP(2,1/(Rouleaux!C:C&lt;&gt;""),Rouleaux!C:C)</f>
        <v>B</v>
      </c>
      <c r="D15" s="428">
        <f>LOOKUP(2,1/(Rouleaux!D:D&lt;&gt;""),Rouleaux!D:D)</f>
        <v>45462</v>
      </c>
      <c r="E15" s="429" t="str">
        <f ca="1">LOOKUP(2,1/(Rouleaux!E:E&lt;&gt;""),Rouleaux!E:E)</f>
        <v>Ajout quantité réelle</v>
      </c>
      <c r="F15" s="432">
        <f>LOOKUP(2,1/(Rouleaux!K:K&lt;&gt;""),Rouleaux!K:K)</f>
        <v>45462</v>
      </c>
    </row>
    <row r="16" spans="2:6" ht="15.75" thickBot="1"/>
    <row r="17" spans="2:6" ht="20.25" customHeight="1" thickBot="1">
      <c r="B17" s="677" t="s">
        <v>360</v>
      </c>
      <c r="C17" s="678"/>
      <c r="D17" s="678"/>
      <c r="E17" s="678"/>
      <c r="F17" s="679"/>
    </row>
    <row r="18" spans="2:6" ht="33" customHeight="1" thickBot="1">
      <c r="B18" s="426" t="str">
        <f>LOOKUP(2,1/(Bandes!B:B&lt;&gt;""),Bandes!B:B)</f>
        <v>LUS</v>
      </c>
      <c r="C18" s="427" t="str">
        <f>LOOKUP(2,1/(Bandes!C:C&lt;&gt;""),Bandes!C:C)</f>
        <v>C</v>
      </c>
      <c r="D18" s="428">
        <f>LOOKUP(2,1/(Bandes!D:D&lt;&gt;""),Bandes!D:D)</f>
        <v>45440</v>
      </c>
      <c r="E18" s="429" t="str">
        <f ca="1">LOOKUP(2,1/(Bandes!E:E&lt;&gt;""),Bandes!E:E)</f>
        <v>Corrections longueurs 101, 115, 127, 138, 144A, 144B, 157, 160, Plans bandes à chevrons, lieux de vulacnisation et de livraison (SITE pour TBE/CBA)</v>
      </c>
      <c r="F18" s="432">
        <f>LOOKUP(2,1/(Bandes!K:K&lt;&gt;""),Bandes!K:K)</f>
        <v>45442</v>
      </c>
    </row>
    <row r="19" spans="2:6" ht="15.75" thickBot="1"/>
    <row r="20" spans="2:6" ht="20.25" customHeight="1" thickBot="1">
      <c r="B20" s="674" t="s">
        <v>361</v>
      </c>
      <c r="C20" s="675"/>
      <c r="D20" s="675"/>
      <c r="E20" s="675"/>
      <c r="F20" s="676"/>
    </row>
    <row r="21" spans="2:6" ht="33" customHeight="1" thickBot="1">
      <c r="B21" s="426" t="str">
        <f>LOOKUP(2,1/(Chaines!B:B&lt;&gt;""),Chaines!B:B)</f>
        <v>LUS</v>
      </c>
      <c r="C21" s="427" t="str">
        <f>LOOKUP(2,1/(Chaines!C:C&lt;&gt;""),Chaines!C:C)</f>
        <v>A</v>
      </c>
      <c r="D21" s="428">
        <f>LOOKUP(2,1/(Chaines!D:D&lt;&gt;""),Chaines!D:D)</f>
        <v>45391</v>
      </c>
      <c r="E21" s="429" t="str">
        <f ca="1">LOOKUP(2,1/(Chaines!E:E&lt;&gt;""),Chaines!E:E)</f>
        <v>Première emission</v>
      </c>
      <c r="F21" s="432" t="str">
        <f>LOOKUP(2,1/(Chaines!K:K&lt;&gt;""),Chaines!K:K)</f>
        <v>JJ/MM/AAAA</v>
      </c>
    </row>
    <row r="22" spans="2:6" ht="15.75" thickBot="1"/>
    <row r="23" spans="2:6" ht="20.25" customHeight="1" thickBot="1">
      <c r="B23" s="671" t="s">
        <v>362</v>
      </c>
      <c r="C23" s="672"/>
      <c r="D23" s="672"/>
      <c r="E23" s="672"/>
      <c r="F23" s="673"/>
    </row>
    <row r="24" spans="2:6" ht="33" customHeight="1" thickBot="1">
      <c r="B24" s="426" t="str">
        <f>LOOKUP(2,1/(Elec!B:B&lt;&gt;""),Elec!B:B)</f>
        <v>JEM</v>
      </c>
      <c r="C24" s="427" t="str">
        <f>LOOKUP(2,1/(Elec!C:C&lt;&gt;""),Elec!C:C)</f>
        <v>B</v>
      </c>
      <c r="D24" s="428">
        <f>LOOKUP(2,1/(Elec!D:D&lt;&gt;""),Elec!D:D)</f>
        <v>45434</v>
      </c>
      <c r="E24" s="429" t="str">
        <f ca="1">LOOKUP(2,1/(Elec!E:E&lt;&gt;""),Elec!E:E)</f>
        <v>MODIFICATION</v>
      </c>
      <c r="F24" s="432">
        <f>LOOKUP(2,1/(Elec!K:K&lt;&gt;""),Elec!K:K)</f>
        <v>45434</v>
      </c>
    </row>
    <row r="25" spans="2:6" ht="15.75" thickBot="1"/>
    <row r="26" spans="2:6" ht="20.25" customHeight="1" thickBot="1">
      <c r="B26" s="668" t="s">
        <v>363</v>
      </c>
      <c r="C26" s="669"/>
      <c r="D26" s="669"/>
      <c r="E26" s="669"/>
      <c r="F26" s="670"/>
    </row>
    <row r="27" spans="2:6" ht="33" customHeight="1" thickBot="1">
      <c r="B27" s="426" t="str">
        <f>LOOKUP(2,1/('Bilan puissance'!B:B&lt;&gt;""),'Bilan puissance'!B:B)</f>
        <v>XXX</v>
      </c>
      <c r="C27" s="427" t="str">
        <f>LOOKUP(2,1/('Bilan puissance'!C:C&lt;&gt;""),'Bilan puissance'!C:C)</f>
        <v>A</v>
      </c>
      <c r="D27" s="428" t="str">
        <f>LOOKUP(2,1/('Bilan puissance'!D:D&lt;&gt;""),'Bilan puissance'!D:D)</f>
        <v>JJ/MM/AAAA</v>
      </c>
      <c r="E27" s="429" t="str">
        <f ca="1">LOOKUP(2,1/('Bilan puissance'!E:E&lt;&gt;""),'Bilan puissance'!E:E)</f>
        <v>Première emission</v>
      </c>
      <c r="F27" s="432" t="str">
        <f>LOOKUP(2,1/('Bilan puissance'!M:M&lt;&gt;""),'Bilan puissance'!M:M)</f>
        <v>JJ/MM/AAAA</v>
      </c>
    </row>
    <row r="28" spans="2:6" ht="15.75" thickBot="1"/>
    <row r="29" spans="2:6" ht="20.25" customHeight="1" thickBot="1">
      <c r="B29" s="665" t="s">
        <v>364</v>
      </c>
      <c r="C29" s="666"/>
      <c r="D29" s="666"/>
      <c r="E29" s="666"/>
      <c r="F29" s="667"/>
    </row>
    <row r="30" spans="2:6" ht="33" customHeight="1" thickBot="1">
      <c r="B30" s="426" t="str">
        <f>LOOKUP(2,1/(Paliers!B:B&lt;&gt;""),Paliers!B:B)</f>
        <v>LUS</v>
      </c>
      <c r="C30" s="427" t="str">
        <f>LOOKUP(2,1/(Paliers!C:C&lt;&gt;""),Paliers!C:C)</f>
        <v>D</v>
      </c>
      <c r="D30" s="428">
        <f>LOOKUP(2,1/(Paliers!D:D&lt;&gt;""),Paliers!D:D)</f>
        <v>45453</v>
      </c>
      <c r="E30" s="429" t="str">
        <f>LOOKUP(2,1/(Paliers!E:E&lt;&gt;""),Paliers!E:E)</f>
        <v>Correction paliers BAL</v>
      </c>
      <c r="F30" s="432">
        <f>LOOKUP(2,1/(Paliers!K:K&lt;&gt;""),Paliers!K:K)</f>
        <v>45453</v>
      </c>
    </row>
  </sheetData>
  <sheetProtection algorithmName="SHA-512" hashValue="Kx7RdYTS3pI7WCwEu2+OKlqyy7h7CwE7S8ndE9xNafKytJU/nbeTqPsqXWj6EikPHIggeHvd3OXfG2ksz6dUSw==" saltValue="02j9MGu8irp4IFKMr0R4sQ==" spinCount="100000" sheet="1" objects="1" scenarios="1" formatCells="0" formatColumns="0" formatRows="0" insertHyperlinks="0" autoFilter="0" pivotTables="0"/>
  <mergeCells count="12">
    <mergeCell ref="C2:D2"/>
    <mergeCell ref="E2:E3"/>
    <mergeCell ref="C3:D3"/>
    <mergeCell ref="B29:F29"/>
    <mergeCell ref="B26:F26"/>
    <mergeCell ref="B23:F23"/>
    <mergeCell ref="B20:F20"/>
    <mergeCell ref="B17:F17"/>
    <mergeCell ref="B14:F14"/>
    <mergeCell ref="B11:F11"/>
    <mergeCell ref="B8:F8"/>
    <mergeCell ref="B5:F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pageSetUpPr fitToPage="1"/>
  </sheetPr>
  <dimension ref="B1:AC152"/>
  <sheetViews>
    <sheetView showGridLines="0" tabSelected="1" view="pageBreakPreview" zoomScale="70" zoomScaleNormal="70" zoomScaleSheetLayoutView="70" workbookViewId="0">
      <pane xSplit="6" ySplit="7" topLeftCell="H8" activePane="bottomRight" state="frozen"/>
      <selection pane="topRight" activeCell="G1" sqref="G1"/>
      <selection pane="bottomLeft" activeCell="A8" sqref="A8"/>
      <selection pane="bottomRight" activeCell="L4" sqref="L4"/>
    </sheetView>
  </sheetViews>
  <sheetFormatPr baseColWidth="10" defaultColWidth="11.42578125" defaultRowHeight="15"/>
  <cols>
    <col min="1" max="1" width="3.5703125" style="49" customWidth="1"/>
    <col min="2" max="2" width="12.5703125" style="8" customWidth="1"/>
    <col min="3" max="4" width="14.28515625" style="8" customWidth="1"/>
    <col min="5" max="5" width="13.42578125" style="8" bestFit="1" customWidth="1"/>
    <col min="6" max="6" width="13.5703125" style="8" customWidth="1"/>
    <col min="7" max="7" width="75.140625" style="8" bestFit="1" customWidth="1"/>
    <col min="8" max="8" width="23.42578125" style="152" bestFit="1" customWidth="1"/>
    <col min="9" max="9" width="25.5703125" style="152" customWidth="1"/>
    <col min="10" max="10" width="19.85546875" style="152" customWidth="1"/>
    <col min="11" max="11" width="20.42578125" style="49" customWidth="1"/>
    <col min="12" max="12" width="19.5703125" style="49" customWidth="1"/>
    <col min="13" max="13" width="17.28515625" style="49" customWidth="1"/>
    <col min="14" max="14" width="19.140625" style="49" customWidth="1"/>
    <col min="15" max="15" width="16.7109375" style="51" customWidth="1"/>
    <col min="16" max="17" width="17.140625" style="51" customWidth="1"/>
    <col min="18" max="18" width="14.5703125" style="51" customWidth="1"/>
    <col min="19" max="19" width="13.28515625" style="51" customWidth="1"/>
    <col min="20" max="20" width="18.28515625" style="51" customWidth="1"/>
    <col min="21" max="22" width="17.7109375" style="51" customWidth="1"/>
    <col min="23" max="23" width="27.85546875" style="51" customWidth="1"/>
    <col min="24" max="24" width="19.28515625" style="51" customWidth="1"/>
    <col min="25" max="25" width="19.7109375" style="51" customWidth="1"/>
    <col min="26" max="26" width="14.5703125" style="49" customWidth="1"/>
    <col min="27" max="27" width="16.42578125" style="49" customWidth="1"/>
    <col min="28" max="28" width="17" style="49" customWidth="1"/>
    <col min="29" max="29" width="20.85546875" style="49" customWidth="1"/>
    <col min="30" max="30" width="3.5703125" style="49" customWidth="1"/>
    <col min="31" max="16384" width="11.42578125" style="49"/>
  </cols>
  <sheetData>
    <row r="1" spans="2:29" ht="18.75" customHeight="1" thickBot="1">
      <c r="B1" s="49"/>
      <c r="C1" s="49"/>
      <c r="D1" s="49"/>
      <c r="E1" s="49"/>
      <c r="F1" s="49"/>
      <c r="G1" s="50"/>
      <c r="H1" s="51"/>
      <c r="I1" s="51"/>
      <c r="J1" s="51"/>
    </row>
    <row r="2" spans="2:29" ht="19.5" customHeight="1" thickBot="1">
      <c r="B2" s="696" t="s">
        <v>0</v>
      </c>
      <c r="C2" s="697"/>
      <c r="D2" s="696" t="s">
        <v>100</v>
      </c>
      <c r="E2" s="697"/>
      <c r="F2" s="49"/>
      <c r="H2" s="51" t="s">
        <v>23</v>
      </c>
      <c r="I2" s="51"/>
      <c r="J2" s="51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</row>
    <row r="3" spans="2:29" ht="30" customHeight="1" thickBot="1">
      <c r="B3" s="698">
        <v>224102</v>
      </c>
      <c r="C3" s="699"/>
      <c r="D3" s="706" t="str">
        <f>LOOKUP(2,1/(C:C&lt;&gt;""),C:C)</f>
        <v>D</v>
      </c>
      <c r="E3" s="664"/>
      <c r="F3" s="49"/>
      <c r="H3" s="52" t="s">
        <v>13</v>
      </c>
      <c r="I3" s="51"/>
      <c r="J3" s="51"/>
      <c r="K3" s="75"/>
      <c r="L3" s="75"/>
      <c r="M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</row>
    <row r="4" spans="2:29" ht="19.5" customHeight="1" thickBot="1">
      <c r="B4" s="696" t="s">
        <v>159</v>
      </c>
      <c r="C4" s="705"/>
      <c r="D4" s="705"/>
      <c r="E4" s="697"/>
      <c r="F4" s="49"/>
      <c r="H4" s="51"/>
      <c r="I4" s="51"/>
      <c r="J4" s="703"/>
      <c r="R4" s="49"/>
      <c r="S4" s="49"/>
      <c r="T4" s="49"/>
      <c r="U4" s="49"/>
      <c r="V4" s="49"/>
      <c r="W4" s="49"/>
      <c r="X4" s="49"/>
      <c r="Y4" s="49"/>
    </row>
    <row r="5" spans="2:29" ht="25.15" customHeight="1" thickBot="1">
      <c r="B5" s="698" t="s">
        <v>502</v>
      </c>
      <c r="C5" s="704"/>
      <c r="D5" s="704"/>
      <c r="E5" s="699"/>
      <c r="F5" s="49"/>
      <c r="H5" s="51"/>
      <c r="I5" s="51"/>
      <c r="J5" s="703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2:29" ht="32.25" customHeight="1" thickBot="1">
      <c r="B6" s="49"/>
      <c r="C6" s="49"/>
      <c r="D6" s="49"/>
      <c r="E6" s="49"/>
      <c r="F6" s="49"/>
      <c r="G6" s="50"/>
      <c r="H6" s="51"/>
      <c r="I6" s="51"/>
      <c r="J6" s="51"/>
      <c r="K6" s="701" t="s">
        <v>15</v>
      </c>
      <c r="L6" s="702"/>
      <c r="M6" s="702"/>
      <c r="N6" s="702"/>
      <c r="O6" s="702"/>
      <c r="P6" s="702"/>
      <c r="Q6" s="702"/>
      <c r="R6" s="702"/>
      <c r="S6" s="702"/>
      <c r="T6" s="702"/>
      <c r="U6" s="702"/>
      <c r="V6" s="702"/>
      <c r="W6" s="702"/>
      <c r="X6" s="702"/>
      <c r="Y6" s="702"/>
      <c r="Z6" s="702"/>
      <c r="AA6" s="702"/>
      <c r="AB6" s="702"/>
      <c r="AC6" s="558"/>
    </row>
    <row r="7" spans="2:29" s="6" customFormat="1" ht="53.25" customHeight="1" thickBot="1">
      <c r="B7" s="172" t="s">
        <v>14</v>
      </c>
      <c r="C7" s="175" t="s">
        <v>289</v>
      </c>
      <c r="D7" s="173" t="s">
        <v>288</v>
      </c>
      <c r="E7" s="173" t="s">
        <v>353</v>
      </c>
      <c r="F7" s="173" t="s">
        <v>1</v>
      </c>
      <c r="G7" s="173" t="s">
        <v>2</v>
      </c>
      <c r="H7" s="173" t="s">
        <v>63</v>
      </c>
      <c r="I7" s="173" t="s">
        <v>315</v>
      </c>
      <c r="J7" s="176" t="s">
        <v>64</v>
      </c>
      <c r="K7" s="172" t="s">
        <v>60</v>
      </c>
      <c r="L7" s="173" t="s">
        <v>343</v>
      </c>
      <c r="M7" s="173" t="s">
        <v>527</v>
      </c>
      <c r="N7" s="173" t="s">
        <v>344</v>
      </c>
      <c r="O7" s="173" t="s">
        <v>61</v>
      </c>
      <c r="P7" s="173" t="s">
        <v>62</v>
      </c>
      <c r="Q7" s="173" t="s">
        <v>583</v>
      </c>
      <c r="R7" s="700" t="s">
        <v>65</v>
      </c>
      <c r="S7" s="700"/>
      <c r="T7" s="173" t="s">
        <v>66</v>
      </c>
      <c r="U7" s="173" t="s">
        <v>67</v>
      </c>
      <c r="V7" s="173" t="s">
        <v>558</v>
      </c>
      <c r="W7" s="173" t="s">
        <v>563</v>
      </c>
      <c r="X7" s="173" t="s">
        <v>564</v>
      </c>
      <c r="Y7" s="173" t="s">
        <v>11</v>
      </c>
      <c r="Z7" s="173" t="s">
        <v>7</v>
      </c>
      <c r="AA7" s="173" t="s">
        <v>8</v>
      </c>
      <c r="AB7" s="173" t="s">
        <v>559</v>
      </c>
      <c r="AC7" s="174" t="s">
        <v>145</v>
      </c>
    </row>
    <row r="8" spans="2:29" ht="39.950000000000003" customHeight="1">
      <c r="B8" s="268"/>
      <c r="C8" s="272"/>
      <c r="D8" s="273">
        <v>101</v>
      </c>
      <c r="E8" s="150" t="str">
        <f ca="1">IF(AND(D7=D8,D8&gt;0),SUBSTITUTE(ADDRESS(1,COLUMN(INDIRECT(CONCATENATE(E7,1)))+1,4,1),1,""),"A")</f>
        <v>A</v>
      </c>
      <c r="F8" s="273" t="s">
        <v>36</v>
      </c>
      <c r="G8" s="274" t="s">
        <v>366</v>
      </c>
      <c r="H8" s="317">
        <v>1600</v>
      </c>
      <c r="I8" s="317">
        <v>33400</v>
      </c>
      <c r="J8" s="554">
        <v>35</v>
      </c>
      <c r="K8" s="571" t="s">
        <v>493</v>
      </c>
      <c r="L8" s="570" t="s">
        <v>494</v>
      </c>
      <c r="M8" s="570" t="s">
        <v>494</v>
      </c>
      <c r="N8" s="570" t="s">
        <v>495</v>
      </c>
      <c r="O8" s="570">
        <v>35</v>
      </c>
      <c r="P8" s="570">
        <v>35</v>
      </c>
      <c r="Q8" s="570"/>
      <c r="R8" s="570" t="s">
        <v>496</v>
      </c>
      <c r="S8" s="570" t="s">
        <v>497</v>
      </c>
      <c r="T8" s="570" t="s">
        <v>574</v>
      </c>
      <c r="U8" s="570" t="s">
        <v>573</v>
      </c>
      <c r="V8" s="570" t="s">
        <v>576</v>
      </c>
      <c r="W8" s="570" t="s">
        <v>494</v>
      </c>
      <c r="X8" s="570" t="s">
        <v>494</v>
      </c>
      <c r="Y8" s="570" t="s">
        <v>494</v>
      </c>
      <c r="Z8" s="570"/>
      <c r="AA8" s="570"/>
      <c r="AB8" s="570" t="s">
        <v>566</v>
      </c>
      <c r="AC8" s="594"/>
    </row>
    <row r="9" spans="2:29" ht="39.950000000000003" customHeight="1">
      <c r="B9" s="9"/>
      <c r="C9" s="160"/>
      <c r="D9" s="150">
        <v>101</v>
      </c>
      <c r="E9" s="150" t="str">
        <f ca="1">IF(AND(D8=D9,D9&gt;0),SUBSTITUTE(ADDRESS(1,COLUMN(INDIRECT(CONCATENATE(E8,1)))+1,4,1),1,""),"A")</f>
        <v>B</v>
      </c>
      <c r="F9" s="150" t="s">
        <v>367</v>
      </c>
      <c r="G9" s="24" t="s">
        <v>368</v>
      </c>
      <c r="H9" s="313"/>
      <c r="I9" s="313"/>
      <c r="J9" s="555"/>
      <c r="K9" s="53"/>
      <c r="L9" s="54" t="s">
        <v>494</v>
      </c>
      <c r="M9" s="54" t="s">
        <v>494</v>
      </c>
      <c r="N9" s="54" t="s">
        <v>494</v>
      </c>
      <c r="O9" s="54"/>
      <c r="P9" s="54"/>
      <c r="Q9" s="54"/>
      <c r="R9" s="54" t="s">
        <v>26</v>
      </c>
      <c r="S9" s="54" t="s">
        <v>26</v>
      </c>
      <c r="T9" s="54"/>
      <c r="U9" s="54"/>
      <c r="V9" s="569"/>
      <c r="W9" s="54" t="s">
        <v>494</v>
      </c>
      <c r="X9" s="54" t="s">
        <v>494</v>
      </c>
      <c r="Y9" s="54" t="s">
        <v>494</v>
      </c>
      <c r="Z9" s="54"/>
      <c r="AA9" s="54"/>
      <c r="AB9" s="54" t="s">
        <v>566</v>
      </c>
      <c r="AC9" s="55"/>
    </row>
    <row r="10" spans="2:29" ht="39.950000000000003" customHeight="1">
      <c r="B10" s="9"/>
      <c r="C10" s="160"/>
      <c r="D10" s="150">
        <v>102</v>
      </c>
      <c r="E10" s="150" t="str">
        <f t="shared" ref="E10:E65" ca="1" si="0">IF(AND(D9=D10,D10&gt;0),SUBSTITUTE(ADDRESS(1,COLUMN(INDIRECT(CONCATENATE(E9,1)))+1,4,1),1,""),"A")</f>
        <v>A</v>
      </c>
      <c r="F10" s="150" t="s">
        <v>24</v>
      </c>
      <c r="G10" s="24" t="s">
        <v>369</v>
      </c>
      <c r="H10" s="313">
        <v>1400</v>
      </c>
      <c r="I10" s="313">
        <v>7000</v>
      </c>
      <c r="J10" s="555">
        <v>17</v>
      </c>
      <c r="K10" s="53" t="s">
        <v>493</v>
      </c>
      <c r="L10" s="54" t="s">
        <v>494</v>
      </c>
      <c r="M10" s="54" t="s">
        <v>494</v>
      </c>
      <c r="N10" s="54">
        <v>40</v>
      </c>
      <c r="O10" s="54"/>
      <c r="P10" s="54"/>
      <c r="Q10" s="54"/>
      <c r="R10" s="54" t="s">
        <v>496</v>
      </c>
      <c r="S10" s="54" t="s">
        <v>497</v>
      </c>
      <c r="T10" s="54" t="s">
        <v>574</v>
      </c>
      <c r="U10" s="54" t="s">
        <v>574</v>
      </c>
      <c r="V10" s="54" t="s">
        <v>586</v>
      </c>
      <c r="W10" s="54" t="s">
        <v>648</v>
      </c>
      <c r="X10" s="54" t="s">
        <v>565</v>
      </c>
      <c r="Y10" s="54" t="s">
        <v>495</v>
      </c>
      <c r="Z10" s="54"/>
      <c r="AA10" s="54"/>
      <c r="AB10" s="54" t="s">
        <v>566</v>
      </c>
      <c r="AC10" s="55"/>
    </row>
    <row r="11" spans="2:29" ht="39.950000000000003" customHeight="1">
      <c r="B11" s="9"/>
      <c r="C11" s="160"/>
      <c r="D11" s="150">
        <v>103</v>
      </c>
      <c r="E11" s="150" t="str">
        <f t="shared" ca="1" si="0"/>
        <v>A</v>
      </c>
      <c r="F11" s="150" t="s">
        <v>35</v>
      </c>
      <c r="G11" s="24" t="s">
        <v>370</v>
      </c>
      <c r="H11" s="313">
        <v>2500</v>
      </c>
      <c r="I11" s="313">
        <v>6000</v>
      </c>
      <c r="J11" s="555">
        <v>3</v>
      </c>
      <c r="K11" s="53" t="s">
        <v>493</v>
      </c>
      <c r="L11" s="54" t="s">
        <v>494</v>
      </c>
      <c r="M11" s="54" t="s">
        <v>494</v>
      </c>
      <c r="N11" s="54" t="s">
        <v>494</v>
      </c>
      <c r="O11" s="54"/>
      <c r="P11" s="54"/>
      <c r="Q11" s="54"/>
      <c r="R11" s="54" t="s">
        <v>554</v>
      </c>
      <c r="S11" s="54" t="s">
        <v>497</v>
      </c>
      <c r="T11" s="54" t="s">
        <v>575</v>
      </c>
      <c r="U11" s="54" t="s">
        <v>575</v>
      </c>
      <c r="V11" s="54" t="s">
        <v>575</v>
      </c>
      <c r="W11" s="54" t="s">
        <v>494</v>
      </c>
      <c r="X11" s="54" t="s">
        <v>494</v>
      </c>
      <c r="Y11" s="54" t="s">
        <v>494</v>
      </c>
      <c r="Z11" s="54"/>
      <c r="AA11" s="54"/>
      <c r="AB11" s="54" t="s">
        <v>566</v>
      </c>
      <c r="AC11" s="55"/>
    </row>
    <row r="12" spans="2:29" ht="39.950000000000003" customHeight="1">
      <c r="B12" s="9"/>
      <c r="C12" s="160"/>
      <c r="D12" s="150">
        <v>104</v>
      </c>
      <c r="E12" s="150" t="str">
        <f t="shared" ca="1" si="0"/>
        <v>A</v>
      </c>
      <c r="F12" s="150" t="s">
        <v>24</v>
      </c>
      <c r="G12" s="24" t="s">
        <v>371</v>
      </c>
      <c r="H12" s="313">
        <v>1400</v>
      </c>
      <c r="I12" s="313">
        <v>7000</v>
      </c>
      <c r="J12" s="555">
        <v>0</v>
      </c>
      <c r="K12" s="53" t="s">
        <v>493</v>
      </c>
      <c r="L12" s="54" t="s">
        <v>495</v>
      </c>
      <c r="M12" s="54" t="s">
        <v>494</v>
      </c>
      <c r="N12" s="54">
        <v>40</v>
      </c>
      <c r="O12" s="54"/>
      <c r="P12" s="54"/>
      <c r="Q12" s="54"/>
      <c r="R12" s="54" t="s">
        <v>496</v>
      </c>
      <c r="S12" s="54" t="s">
        <v>497</v>
      </c>
      <c r="T12" s="54" t="s">
        <v>574</v>
      </c>
      <c r="U12" s="54" t="s">
        <v>577</v>
      </c>
      <c r="V12" s="54" t="s">
        <v>575</v>
      </c>
      <c r="W12" s="54" t="s">
        <v>648</v>
      </c>
      <c r="X12" s="54" t="s">
        <v>494</v>
      </c>
      <c r="Y12" s="54" t="s">
        <v>495</v>
      </c>
      <c r="Z12" s="54"/>
      <c r="AA12" s="54"/>
      <c r="AB12" s="54" t="s">
        <v>544</v>
      </c>
      <c r="AC12" s="55"/>
    </row>
    <row r="13" spans="2:29" ht="39.950000000000003" customHeight="1">
      <c r="B13" s="9"/>
      <c r="C13" s="160"/>
      <c r="D13" s="150">
        <v>105</v>
      </c>
      <c r="E13" s="150" t="str">
        <f t="shared" ca="1" si="0"/>
        <v>A</v>
      </c>
      <c r="F13" s="150" t="s">
        <v>372</v>
      </c>
      <c r="G13" s="24" t="s">
        <v>373</v>
      </c>
      <c r="H13" s="313">
        <v>1200</v>
      </c>
      <c r="I13" s="313">
        <v>1200</v>
      </c>
      <c r="J13" s="578"/>
      <c r="K13" s="53"/>
      <c r="L13" s="54" t="s">
        <v>494</v>
      </c>
      <c r="M13" s="54" t="s">
        <v>494</v>
      </c>
      <c r="N13" s="54" t="s">
        <v>494</v>
      </c>
      <c r="O13" s="54"/>
      <c r="P13" s="54"/>
      <c r="Q13" s="54"/>
      <c r="R13" s="54" t="s">
        <v>496</v>
      </c>
      <c r="S13" s="54" t="s">
        <v>497</v>
      </c>
      <c r="T13" s="54" t="s">
        <v>578</v>
      </c>
      <c r="U13" s="54" t="s">
        <v>578</v>
      </c>
      <c r="V13" s="54" t="s">
        <v>575</v>
      </c>
      <c r="W13" s="54" t="s">
        <v>494</v>
      </c>
      <c r="X13" s="54" t="s">
        <v>494</v>
      </c>
      <c r="Y13" s="54" t="s">
        <v>494</v>
      </c>
      <c r="Z13" s="54"/>
      <c r="AA13" s="54"/>
      <c r="AB13" s="54" t="s">
        <v>544</v>
      </c>
      <c r="AC13" s="55"/>
    </row>
    <row r="14" spans="2:29" ht="39.950000000000003" customHeight="1">
      <c r="B14" s="9"/>
      <c r="C14" s="160"/>
      <c r="D14" s="150">
        <v>106</v>
      </c>
      <c r="E14" s="150" t="str">
        <f t="shared" ca="1" si="0"/>
        <v>A</v>
      </c>
      <c r="F14" s="150" t="s">
        <v>39</v>
      </c>
      <c r="G14" s="24" t="s">
        <v>374</v>
      </c>
      <c r="H14" s="313">
        <v>1200</v>
      </c>
      <c r="I14" s="313">
        <v>1200</v>
      </c>
      <c r="J14" s="555">
        <v>0</v>
      </c>
      <c r="K14" s="53" t="s">
        <v>493</v>
      </c>
      <c r="L14" s="54" t="s">
        <v>494</v>
      </c>
      <c r="M14" s="54" t="s">
        <v>494</v>
      </c>
      <c r="N14" s="54" t="s">
        <v>494</v>
      </c>
      <c r="O14" s="54"/>
      <c r="P14" s="54"/>
      <c r="Q14" s="54"/>
      <c r="R14" s="54" t="s">
        <v>26</v>
      </c>
      <c r="S14" s="54" t="s">
        <v>26</v>
      </c>
      <c r="T14" s="54"/>
      <c r="U14" s="54"/>
      <c r="V14" s="569"/>
      <c r="W14" s="54" t="s">
        <v>494</v>
      </c>
      <c r="X14" s="54" t="s">
        <v>494</v>
      </c>
      <c r="Y14" s="54" t="s">
        <v>494</v>
      </c>
      <c r="Z14" s="54"/>
      <c r="AA14" s="54"/>
      <c r="AB14" s="54" t="s">
        <v>544</v>
      </c>
      <c r="AC14" s="55"/>
    </row>
    <row r="15" spans="2:29" ht="39.950000000000003" customHeight="1">
      <c r="B15" s="9"/>
      <c r="C15" s="160"/>
      <c r="D15" s="150">
        <v>107</v>
      </c>
      <c r="E15" s="150" t="str">
        <f t="shared" ca="1" si="0"/>
        <v>A</v>
      </c>
      <c r="F15" s="150" t="s">
        <v>24</v>
      </c>
      <c r="G15" s="24" t="s">
        <v>375</v>
      </c>
      <c r="H15" s="313">
        <v>1400</v>
      </c>
      <c r="I15" s="313">
        <v>9250</v>
      </c>
      <c r="J15" s="555">
        <v>4</v>
      </c>
      <c r="K15" s="53" t="s">
        <v>493</v>
      </c>
      <c r="L15" s="54" t="s">
        <v>494</v>
      </c>
      <c r="M15" s="54" t="s">
        <v>494</v>
      </c>
      <c r="N15" s="54">
        <v>40</v>
      </c>
      <c r="O15" s="54"/>
      <c r="P15" s="54"/>
      <c r="Q15" s="54"/>
      <c r="R15" s="54" t="s">
        <v>496</v>
      </c>
      <c r="S15" s="54" t="s">
        <v>498</v>
      </c>
      <c r="T15" s="54" t="s">
        <v>577</v>
      </c>
      <c r="U15" s="54" t="s">
        <v>577</v>
      </c>
      <c r="V15" s="54" t="s">
        <v>575</v>
      </c>
      <c r="W15" s="54" t="s">
        <v>648</v>
      </c>
      <c r="X15" s="54" t="s">
        <v>565</v>
      </c>
      <c r="Y15" s="54" t="s">
        <v>495</v>
      </c>
      <c r="Z15" s="54"/>
      <c r="AA15" s="54"/>
      <c r="AB15" s="538" t="s">
        <v>685</v>
      </c>
      <c r="AC15" s="592" t="s">
        <v>690</v>
      </c>
    </row>
    <row r="16" spans="2:29" ht="39.950000000000003" customHeight="1">
      <c r="B16" s="9"/>
      <c r="C16" s="160"/>
      <c r="D16" s="150">
        <v>108</v>
      </c>
      <c r="E16" s="150" t="str">
        <f t="shared" ca="1" si="0"/>
        <v>A</v>
      </c>
      <c r="F16" s="150" t="s">
        <v>24</v>
      </c>
      <c r="G16" s="24" t="s">
        <v>376</v>
      </c>
      <c r="H16" s="313">
        <v>1400</v>
      </c>
      <c r="I16" s="313">
        <v>14750</v>
      </c>
      <c r="J16" s="555">
        <v>6</v>
      </c>
      <c r="K16" s="53" t="s">
        <v>493</v>
      </c>
      <c r="L16" s="54" t="s">
        <v>494</v>
      </c>
      <c r="M16" s="54" t="s">
        <v>494</v>
      </c>
      <c r="N16" s="54">
        <v>30</v>
      </c>
      <c r="O16" s="54"/>
      <c r="P16" s="54"/>
      <c r="Q16" s="54"/>
      <c r="R16" s="54" t="s">
        <v>496</v>
      </c>
      <c r="S16" s="54" t="s">
        <v>498</v>
      </c>
      <c r="T16" s="54" t="s">
        <v>577</v>
      </c>
      <c r="U16" s="54" t="s">
        <v>476</v>
      </c>
      <c r="V16" s="54" t="s">
        <v>579</v>
      </c>
      <c r="W16" s="54" t="s">
        <v>648</v>
      </c>
      <c r="X16" s="54" t="s">
        <v>565</v>
      </c>
      <c r="Y16" s="54" t="s">
        <v>495</v>
      </c>
      <c r="Z16" s="54"/>
      <c r="AA16" s="54"/>
      <c r="AB16" s="538" t="s">
        <v>685</v>
      </c>
      <c r="AC16" s="55"/>
    </row>
    <row r="17" spans="2:29" ht="39.950000000000003" customHeight="1">
      <c r="B17" s="9"/>
      <c r="C17" s="160"/>
      <c r="D17" s="150">
        <v>109</v>
      </c>
      <c r="E17" s="150" t="str">
        <f t="shared" ca="1" si="0"/>
        <v>A</v>
      </c>
      <c r="F17" s="150" t="s">
        <v>24</v>
      </c>
      <c r="G17" s="24" t="s">
        <v>376</v>
      </c>
      <c r="H17" s="313">
        <v>1400</v>
      </c>
      <c r="I17" s="313">
        <v>15250</v>
      </c>
      <c r="J17" s="555">
        <v>14</v>
      </c>
      <c r="K17" s="53" t="s">
        <v>493</v>
      </c>
      <c r="L17" s="54" t="s">
        <v>494</v>
      </c>
      <c r="M17" s="54" t="s">
        <v>494</v>
      </c>
      <c r="N17" s="54">
        <v>30</v>
      </c>
      <c r="O17" s="54"/>
      <c r="P17" s="54"/>
      <c r="Q17" s="54"/>
      <c r="R17" s="54" t="s">
        <v>496</v>
      </c>
      <c r="S17" s="54" t="s">
        <v>498</v>
      </c>
      <c r="T17" s="54" t="s">
        <v>581</v>
      </c>
      <c r="U17" s="54" t="s">
        <v>476</v>
      </c>
      <c r="V17" s="54" t="s">
        <v>574</v>
      </c>
      <c r="W17" s="54" t="s">
        <v>648</v>
      </c>
      <c r="X17" s="54" t="s">
        <v>565</v>
      </c>
      <c r="Y17" s="54" t="s">
        <v>495</v>
      </c>
      <c r="Z17" s="54"/>
      <c r="AA17" s="54"/>
      <c r="AB17" s="538" t="s">
        <v>685</v>
      </c>
      <c r="AC17" s="55"/>
    </row>
    <row r="18" spans="2:29" ht="39.950000000000003" customHeight="1">
      <c r="B18" s="9"/>
      <c r="C18" s="160"/>
      <c r="D18" s="150">
        <v>110</v>
      </c>
      <c r="E18" s="150" t="str">
        <f t="shared" ca="1" si="0"/>
        <v>A</v>
      </c>
      <c r="F18" s="150" t="s">
        <v>24</v>
      </c>
      <c r="G18" s="24" t="s">
        <v>377</v>
      </c>
      <c r="H18" s="313">
        <v>1400</v>
      </c>
      <c r="I18" s="313">
        <v>20000</v>
      </c>
      <c r="J18" s="555">
        <v>25</v>
      </c>
      <c r="K18" s="53" t="s">
        <v>493</v>
      </c>
      <c r="L18" s="54" t="s">
        <v>494</v>
      </c>
      <c r="M18" s="54" t="s">
        <v>494</v>
      </c>
      <c r="N18" s="54">
        <v>30</v>
      </c>
      <c r="O18" s="54"/>
      <c r="P18" s="54"/>
      <c r="Q18" s="54"/>
      <c r="R18" s="54" t="s">
        <v>496</v>
      </c>
      <c r="S18" s="54" t="s">
        <v>497</v>
      </c>
      <c r="T18" s="538" t="s">
        <v>686</v>
      </c>
      <c r="U18" s="54" t="s">
        <v>476</v>
      </c>
      <c r="V18" s="54" t="s">
        <v>576</v>
      </c>
      <c r="W18" s="54" t="s">
        <v>643</v>
      </c>
      <c r="X18" s="54" t="s">
        <v>565</v>
      </c>
      <c r="Y18" s="54" t="s">
        <v>495</v>
      </c>
      <c r="Z18" s="54"/>
      <c r="AA18" s="54"/>
      <c r="AB18" s="538" t="s">
        <v>685</v>
      </c>
      <c r="AC18" s="55"/>
    </row>
    <row r="19" spans="2:29" ht="51">
      <c r="B19" s="9"/>
      <c r="C19" s="160"/>
      <c r="D19" s="150">
        <v>111</v>
      </c>
      <c r="E19" s="150" t="str">
        <f t="shared" ca="1" si="0"/>
        <v>A</v>
      </c>
      <c r="F19" s="150" t="s">
        <v>24</v>
      </c>
      <c r="G19" s="24" t="s">
        <v>378</v>
      </c>
      <c r="H19" s="313">
        <v>1400</v>
      </c>
      <c r="I19" s="313">
        <v>4500</v>
      </c>
      <c r="J19" s="555">
        <v>0</v>
      </c>
      <c r="K19" s="53" t="s">
        <v>493</v>
      </c>
      <c r="L19" s="54" t="s">
        <v>494</v>
      </c>
      <c r="M19" s="54" t="s">
        <v>495</v>
      </c>
      <c r="N19" s="54" t="s">
        <v>754</v>
      </c>
      <c r="O19" s="54"/>
      <c r="P19" s="54"/>
      <c r="Q19" s="54"/>
      <c r="R19" s="54" t="s">
        <v>496</v>
      </c>
      <c r="S19" s="54" t="s">
        <v>497</v>
      </c>
      <c r="T19" s="569" t="s">
        <v>582</v>
      </c>
      <c r="U19" s="54" t="s">
        <v>582</v>
      </c>
      <c r="V19" s="54" t="s">
        <v>576</v>
      </c>
      <c r="W19" s="54" t="s">
        <v>648</v>
      </c>
      <c r="X19" s="54" t="s">
        <v>565</v>
      </c>
      <c r="Y19" s="54" t="s">
        <v>494</v>
      </c>
      <c r="Z19" s="54"/>
      <c r="AA19" s="54"/>
      <c r="AB19" s="538" t="s">
        <v>685</v>
      </c>
      <c r="AC19" s="592" t="s">
        <v>689</v>
      </c>
    </row>
    <row r="20" spans="2:29" ht="39.950000000000003" customHeight="1">
      <c r="B20" s="9"/>
      <c r="C20" s="160"/>
      <c r="D20" s="150" t="s">
        <v>550</v>
      </c>
      <c r="E20" s="150" t="str">
        <f t="shared" ca="1" si="0"/>
        <v>A</v>
      </c>
      <c r="F20" s="150" t="s">
        <v>24</v>
      </c>
      <c r="G20" s="593" t="s">
        <v>688</v>
      </c>
      <c r="H20" s="313">
        <v>1400</v>
      </c>
      <c r="I20" s="313">
        <v>8250</v>
      </c>
      <c r="J20" s="555">
        <v>0</v>
      </c>
      <c r="K20" s="53" t="s">
        <v>493</v>
      </c>
      <c r="L20" s="54" t="s">
        <v>494</v>
      </c>
      <c r="M20" s="54" t="s">
        <v>495</v>
      </c>
      <c r="N20" s="54" t="s">
        <v>753</v>
      </c>
      <c r="O20" s="54"/>
      <c r="P20" s="54"/>
      <c r="Q20" s="54"/>
      <c r="R20" s="54" t="s">
        <v>496</v>
      </c>
      <c r="S20" s="54" t="s">
        <v>498</v>
      </c>
      <c r="T20" s="54" t="s">
        <v>574</v>
      </c>
      <c r="U20" s="54" t="s">
        <v>574</v>
      </c>
      <c r="V20" s="54" t="s">
        <v>574</v>
      </c>
      <c r="W20" s="54" t="s">
        <v>648</v>
      </c>
      <c r="X20" s="54" t="s">
        <v>565</v>
      </c>
      <c r="Y20" s="54" t="s">
        <v>494</v>
      </c>
      <c r="Z20" s="54"/>
      <c r="AA20" s="54"/>
      <c r="AB20" s="538" t="s">
        <v>685</v>
      </c>
      <c r="AC20" s="592" t="s">
        <v>687</v>
      </c>
    </row>
    <row r="21" spans="2:29" ht="39.950000000000003" customHeight="1">
      <c r="B21" s="9"/>
      <c r="C21" s="160"/>
      <c r="D21" s="150" t="s">
        <v>551</v>
      </c>
      <c r="E21" s="150" t="str">
        <f t="shared" ca="1" si="0"/>
        <v>A</v>
      </c>
      <c r="F21" s="150" t="s">
        <v>24</v>
      </c>
      <c r="G21" s="593" t="s">
        <v>688</v>
      </c>
      <c r="H21" s="313">
        <v>1400</v>
      </c>
      <c r="I21" s="313">
        <v>8250</v>
      </c>
      <c r="J21" s="555">
        <v>0</v>
      </c>
      <c r="K21" s="53" t="s">
        <v>493</v>
      </c>
      <c r="L21" s="54" t="s">
        <v>494</v>
      </c>
      <c r="M21" s="54" t="s">
        <v>495</v>
      </c>
      <c r="N21" s="54" t="s">
        <v>753</v>
      </c>
      <c r="O21" s="54"/>
      <c r="P21" s="54"/>
      <c r="Q21" s="54"/>
      <c r="R21" s="54" t="s">
        <v>496</v>
      </c>
      <c r="S21" s="54" t="s">
        <v>498</v>
      </c>
      <c r="T21" s="570" t="s">
        <v>574</v>
      </c>
      <c r="U21" s="54" t="s">
        <v>574</v>
      </c>
      <c r="V21" s="54" t="s">
        <v>574</v>
      </c>
      <c r="W21" s="54" t="s">
        <v>648</v>
      </c>
      <c r="X21" s="54" t="s">
        <v>565</v>
      </c>
      <c r="Y21" s="54" t="s">
        <v>494</v>
      </c>
      <c r="Z21" s="54"/>
      <c r="AA21" s="54"/>
      <c r="AB21" s="538" t="s">
        <v>685</v>
      </c>
      <c r="AC21" s="592" t="s">
        <v>687</v>
      </c>
    </row>
    <row r="22" spans="2:29" ht="39.950000000000003" customHeight="1">
      <c r="B22" s="9"/>
      <c r="C22" s="160"/>
      <c r="D22" s="150" t="s">
        <v>552</v>
      </c>
      <c r="E22" s="150" t="str">
        <f t="shared" ca="1" si="0"/>
        <v>A</v>
      </c>
      <c r="F22" s="150" t="s">
        <v>96</v>
      </c>
      <c r="G22" s="24" t="s">
        <v>379</v>
      </c>
      <c r="H22" s="313"/>
      <c r="I22" s="313"/>
      <c r="J22" s="555"/>
      <c r="K22" s="53" t="s">
        <v>493</v>
      </c>
      <c r="L22" s="54" t="s">
        <v>494</v>
      </c>
      <c r="M22" s="54" t="s">
        <v>494</v>
      </c>
      <c r="N22" s="54" t="s">
        <v>494</v>
      </c>
      <c r="O22" s="54"/>
      <c r="P22" s="54"/>
      <c r="Q22" s="54"/>
      <c r="R22" s="54" t="s">
        <v>26</v>
      </c>
      <c r="S22" s="54" t="s">
        <v>498</v>
      </c>
      <c r="T22" s="54"/>
      <c r="U22" s="54"/>
      <c r="V22" s="54"/>
      <c r="W22" s="54" t="s">
        <v>494</v>
      </c>
      <c r="X22" s="54" t="s">
        <v>494</v>
      </c>
      <c r="Y22" s="538" t="s">
        <v>494</v>
      </c>
      <c r="Z22" s="54"/>
      <c r="AA22" s="54"/>
      <c r="AB22" s="538" t="s">
        <v>685</v>
      </c>
      <c r="AC22" s="55"/>
    </row>
    <row r="23" spans="2:29" ht="39.950000000000003" customHeight="1">
      <c r="B23" s="9"/>
      <c r="C23" s="160"/>
      <c r="D23" s="150" t="s">
        <v>553</v>
      </c>
      <c r="E23" s="150" t="str">
        <f t="shared" ca="1" si="0"/>
        <v>A</v>
      </c>
      <c r="F23" s="150" t="s">
        <v>96</v>
      </c>
      <c r="G23" s="24" t="s">
        <v>379</v>
      </c>
      <c r="H23" s="313"/>
      <c r="I23" s="313"/>
      <c r="J23" s="555"/>
      <c r="K23" s="53" t="s">
        <v>493</v>
      </c>
      <c r="L23" s="54" t="s">
        <v>494</v>
      </c>
      <c r="M23" s="54" t="s">
        <v>494</v>
      </c>
      <c r="N23" s="54" t="s">
        <v>494</v>
      </c>
      <c r="O23" s="54"/>
      <c r="P23" s="54"/>
      <c r="Q23" s="54"/>
      <c r="R23" s="54" t="s">
        <v>26</v>
      </c>
      <c r="S23" s="54" t="s">
        <v>498</v>
      </c>
      <c r="T23" s="54"/>
      <c r="U23" s="54"/>
      <c r="V23" s="54"/>
      <c r="W23" s="54" t="s">
        <v>494</v>
      </c>
      <c r="X23" s="54" t="s">
        <v>494</v>
      </c>
      <c r="Y23" s="538" t="s">
        <v>494</v>
      </c>
      <c r="Z23" s="54"/>
      <c r="AA23" s="54"/>
      <c r="AB23" s="538" t="s">
        <v>685</v>
      </c>
      <c r="AC23" s="55"/>
    </row>
    <row r="24" spans="2:29" ht="39.950000000000003" customHeight="1">
      <c r="B24" s="596" t="s">
        <v>691</v>
      </c>
      <c r="C24" s="597"/>
      <c r="D24" s="598">
        <v>114</v>
      </c>
      <c r="E24" s="598" t="str">
        <f t="shared" ca="1" si="0"/>
        <v>A</v>
      </c>
      <c r="F24" s="598" t="s">
        <v>380</v>
      </c>
      <c r="G24" s="599" t="s">
        <v>381</v>
      </c>
      <c r="H24" s="600"/>
      <c r="I24" s="600"/>
      <c r="J24" s="601"/>
      <c r="K24" s="602" t="s">
        <v>493</v>
      </c>
      <c r="L24" s="603" t="s">
        <v>494</v>
      </c>
      <c r="M24" s="603" t="s">
        <v>494</v>
      </c>
      <c r="N24" s="603" t="s">
        <v>494</v>
      </c>
      <c r="O24" s="603"/>
      <c r="P24" s="603"/>
      <c r="Q24" s="603"/>
      <c r="R24" s="603" t="s">
        <v>26</v>
      </c>
      <c r="S24" s="603" t="s">
        <v>26</v>
      </c>
      <c r="T24" s="603"/>
      <c r="U24" s="603"/>
      <c r="V24" s="604"/>
      <c r="W24" s="603" t="s">
        <v>494</v>
      </c>
      <c r="X24" s="603" t="s">
        <v>494</v>
      </c>
      <c r="Y24" s="603" t="s">
        <v>494</v>
      </c>
      <c r="Z24" s="603"/>
      <c r="AA24" s="603"/>
      <c r="AB24" s="603" t="s">
        <v>566</v>
      </c>
      <c r="AC24" s="605"/>
    </row>
    <row r="25" spans="2:29" ht="39.950000000000003" customHeight="1">
      <c r="B25" s="9"/>
      <c r="C25" s="160"/>
      <c r="D25" s="150">
        <v>115</v>
      </c>
      <c r="E25" s="150" t="str">
        <f t="shared" ca="1" si="0"/>
        <v>A</v>
      </c>
      <c r="F25" s="150" t="s">
        <v>36</v>
      </c>
      <c r="G25" s="24" t="s">
        <v>382</v>
      </c>
      <c r="H25" s="313">
        <v>1400</v>
      </c>
      <c r="I25" s="313">
        <v>18400</v>
      </c>
      <c r="J25" s="555">
        <v>35</v>
      </c>
      <c r="K25" s="53" t="s">
        <v>493</v>
      </c>
      <c r="L25" s="54" t="s">
        <v>494</v>
      </c>
      <c r="M25" s="54" t="s">
        <v>494</v>
      </c>
      <c r="N25" s="54" t="s">
        <v>495</v>
      </c>
      <c r="O25" s="54">
        <v>35</v>
      </c>
      <c r="P25" s="54">
        <v>40</v>
      </c>
      <c r="Q25" s="54"/>
      <c r="R25" s="54" t="s">
        <v>496</v>
      </c>
      <c r="S25" s="54" t="s">
        <v>497</v>
      </c>
      <c r="T25" s="54" t="s">
        <v>578</v>
      </c>
      <c r="U25" s="570" t="s">
        <v>574</v>
      </c>
      <c r="V25" s="538" t="s">
        <v>575</v>
      </c>
      <c r="W25" s="54" t="s">
        <v>494</v>
      </c>
      <c r="X25" s="54" t="s">
        <v>494</v>
      </c>
      <c r="Y25" s="538" t="s">
        <v>494</v>
      </c>
      <c r="Z25" s="54"/>
      <c r="AA25" s="54"/>
      <c r="AB25" s="54" t="s">
        <v>545</v>
      </c>
      <c r="AC25" s="55"/>
    </row>
    <row r="26" spans="2:29" ht="39.950000000000003" customHeight="1">
      <c r="B26" s="9"/>
      <c r="C26" s="160"/>
      <c r="D26" s="150">
        <v>115</v>
      </c>
      <c r="E26" s="150" t="str">
        <f t="shared" ca="1" si="0"/>
        <v>B</v>
      </c>
      <c r="F26" s="150" t="s">
        <v>367</v>
      </c>
      <c r="G26" s="24" t="s">
        <v>368</v>
      </c>
      <c r="H26" s="313"/>
      <c r="I26" s="313"/>
      <c r="J26" s="555"/>
      <c r="K26" s="53"/>
      <c r="L26" s="54" t="s">
        <v>494</v>
      </c>
      <c r="M26" s="54" t="s">
        <v>494</v>
      </c>
      <c r="N26" s="54" t="s">
        <v>494</v>
      </c>
      <c r="O26" s="54"/>
      <c r="P26" s="54"/>
      <c r="Q26" s="54"/>
      <c r="R26" s="54" t="s">
        <v>26</v>
      </c>
      <c r="S26" s="54" t="s">
        <v>26</v>
      </c>
      <c r="T26" s="54"/>
      <c r="U26" s="54"/>
      <c r="V26" s="54"/>
      <c r="W26" s="54" t="s">
        <v>494</v>
      </c>
      <c r="X26" s="54" t="s">
        <v>494</v>
      </c>
      <c r="Y26" s="54" t="s">
        <v>495</v>
      </c>
      <c r="Z26" s="54"/>
      <c r="AA26" s="54"/>
      <c r="AB26" s="54" t="s">
        <v>545</v>
      </c>
      <c r="AC26" s="55"/>
    </row>
    <row r="27" spans="2:29" ht="39.950000000000003" customHeight="1">
      <c r="B27" s="9"/>
      <c r="C27" s="160"/>
      <c r="D27" s="150">
        <v>116</v>
      </c>
      <c r="E27" s="150" t="str">
        <f t="shared" ca="1" si="0"/>
        <v>A</v>
      </c>
      <c r="F27" s="150" t="s">
        <v>35</v>
      </c>
      <c r="G27" s="24" t="s">
        <v>383</v>
      </c>
      <c r="H27" s="313">
        <v>2500</v>
      </c>
      <c r="I27" s="313">
        <v>6000</v>
      </c>
      <c r="J27" s="555">
        <v>3</v>
      </c>
      <c r="K27" s="53" t="s">
        <v>493</v>
      </c>
      <c r="L27" s="54" t="s">
        <v>494</v>
      </c>
      <c r="M27" s="54" t="s">
        <v>494</v>
      </c>
      <c r="N27" s="54" t="s">
        <v>494</v>
      </c>
      <c r="O27" s="54"/>
      <c r="P27" s="54"/>
      <c r="Q27" s="54"/>
      <c r="R27" s="54" t="s">
        <v>554</v>
      </c>
      <c r="S27" s="54" t="s">
        <v>497</v>
      </c>
      <c r="T27" s="54" t="s">
        <v>575</v>
      </c>
      <c r="U27" s="54" t="s">
        <v>575</v>
      </c>
      <c r="V27" s="54" t="s">
        <v>575</v>
      </c>
      <c r="W27" s="54" t="s">
        <v>494</v>
      </c>
      <c r="X27" s="54" t="s">
        <v>494</v>
      </c>
      <c r="Y27" s="54" t="s">
        <v>495</v>
      </c>
      <c r="Z27" s="54"/>
      <c r="AA27" s="54"/>
      <c r="AB27" s="54" t="s">
        <v>545</v>
      </c>
      <c r="AC27" s="55"/>
    </row>
    <row r="28" spans="2:29" ht="39.950000000000003" customHeight="1">
      <c r="B28" s="9"/>
      <c r="C28" s="160"/>
      <c r="D28" s="150">
        <v>117</v>
      </c>
      <c r="E28" s="150" t="str">
        <f t="shared" ca="1" si="0"/>
        <v>A</v>
      </c>
      <c r="F28" s="150" t="s">
        <v>384</v>
      </c>
      <c r="G28" s="24" t="s">
        <v>385</v>
      </c>
      <c r="H28" s="313"/>
      <c r="I28" s="313"/>
      <c r="J28" s="555"/>
      <c r="K28" s="53"/>
      <c r="L28" s="54" t="s">
        <v>494</v>
      </c>
      <c r="M28" s="54" t="s">
        <v>494</v>
      </c>
      <c r="N28" s="54" t="s">
        <v>494</v>
      </c>
      <c r="O28" s="54"/>
      <c r="P28" s="54"/>
      <c r="Q28" s="54"/>
      <c r="R28" s="54" t="s">
        <v>26</v>
      </c>
      <c r="S28" s="54" t="s">
        <v>26</v>
      </c>
      <c r="T28" s="54"/>
      <c r="U28" s="54"/>
      <c r="V28" s="569"/>
      <c r="W28" s="54" t="s">
        <v>494</v>
      </c>
      <c r="X28" s="54" t="s">
        <v>494</v>
      </c>
      <c r="Y28" s="54" t="s">
        <v>495</v>
      </c>
      <c r="Z28" s="54"/>
      <c r="AA28" s="54"/>
      <c r="AB28" s="54" t="s">
        <v>545</v>
      </c>
      <c r="AC28" s="55"/>
    </row>
    <row r="29" spans="2:29" ht="76.5">
      <c r="B29" s="9"/>
      <c r="C29" s="160"/>
      <c r="D29" s="150">
        <v>118</v>
      </c>
      <c r="E29" s="150" t="str">
        <f t="shared" ca="1" si="0"/>
        <v>A</v>
      </c>
      <c r="F29" s="150" t="s">
        <v>24</v>
      </c>
      <c r="G29" s="24" t="s">
        <v>386</v>
      </c>
      <c r="H29" s="313">
        <v>1200</v>
      </c>
      <c r="I29" s="313">
        <v>9000</v>
      </c>
      <c r="J29" s="555">
        <v>5</v>
      </c>
      <c r="K29" s="53" t="s">
        <v>493</v>
      </c>
      <c r="L29" s="54" t="s">
        <v>495</v>
      </c>
      <c r="M29" s="54" t="s">
        <v>494</v>
      </c>
      <c r="N29" s="54" t="s">
        <v>494</v>
      </c>
      <c r="O29" s="54"/>
      <c r="P29" s="54"/>
      <c r="Q29" s="54"/>
      <c r="R29" s="54" t="s">
        <v>496</v>
      </c>
      <c r="S29" s="54" t="s">
        <v>497</v>
      </c>
      <c r="T29" s="54" t="s">
        <v>578</v>
      </c>
      <c r="U29" s="570" t="s">
        <v>574</v>
      </c>
      <c r="V29" s="54" t="s">
        <v>575</v>
      </c>
      <c r="W29" s="538" t="s">
        <v>494</v>
      </c>
      <c r="X29" s="54" t="s">
        <v>494</v>
      </c>
      <c r="Y29" s="54" t="s">
        <v>495</v>
      </c>
      <c r="Z29" s="54"/>
      <c r="AA29" s="54"/>
      <c r="AB29" s="54" t="s">
        <v>547</v>
      </c>
      <c r="AC29" s="592" t="s">
        <v>698</v>
      </c>
    </row>
    <row r="30" spans="2:29" ht="39.950000000000003" customHeight="1">
      <c r="B30" s="9"/>
      <c r="C30" s="160"/>
      <c r="D30" s="150">
        <v>119</v>
      </c>
      <c r="E30" s="150" t="str">
        <f t="shared" ca="1" si="0"/>
        <v>A</v>
      </c>
      <c r="F30" s="150" t="s">
        <v>372</v>
      </c>
      <c r="G30" s="24" t="s">
        <v>373</v>
      </c>
      <c r="H30" s="313">
        <v>1200</v>
      </c>
      <c r="I30" s="313">
        <v>1200</v>
      </c>
      <c r="J30" s="555"/>
      <c r="K30" s="53"/>
      <c r="L30" s="54" t="s">
        <v>494</v>
      </c>
      <c r="M30" s="54" t="s">
        <v>494</v>
      </c>
      <c r="N30" s="54" t="s">
        <v>494</v>
      </c>
      <c r="O30" s="54"/>
      <c r="P30" s="54"/>
      <c r="Q30" s="54"/>
      <c r="R30" s="54" t="s">
        <v>496</v>
      </c>
      <c r="S30" s="54" t="s">
        <v>498</v>
      </c>
      <c r="T30" s="54" t="s">
        <v>578</v>
      </c>
      <c r="U30" s="54" t="s">
        <v>578</v>
      </c>
      <c r="V30" s="54" t="s">
        <v>575</v>
      </c>
      <c r="W30" s="54" t="s">
        <v>494</v>
      </c>
      <c r="X30" s="54" t="s">
        <v>494</v>
      </c>
      <c r="Y30" s="54" t="s">
        <v>495</v>
      </c>
      <c r="Z30" s="54"/>
      <c r="AA30" s="54"/>
      <c r="AB30" s="54" t="s">
        <v>547</v>
      </c>
      <c r="AC30" s="55"/>
    </row>
    <row r="31" spans="2:29" ht="39.950000000000003" customHeight="1">
      <c r="B31" s="9"/>
      <c r="C31" s="160"/>
      <c r="D31" s="150">
        <v>120</v>
      </c>
      <c r="E31" s="150" t="str">
        <f t="shared" ca="1" si="0"/>
        <v>A</v>
      </c>
      <c r="F31" s="150" t="s">
        <v>387</v>
      </c>
      <c r="G31" s="24" t="s">
        <v>388</v>
      </c>
      <c r="H31" s="313">
        <v>1200</v>
      </c>
      <c r="I31" s="313"/>
      <c r="J31" s="555"/>
      <c r="K31" s="53"/>
      <c r="L31" s="54" t="s">
        <v>494</v>
      </c>
      <c r="M31" s="54" t="s">
        <v>494</v>
      </c>
      <c r="N31" s="54" t="s">
        <v>494</v>
      </c>
      <c r="O31" s="54"/>
      <c r="P31" s="54"/>
      <c r="Q31" s="54"/>
      <c r="R31" s="54" t="s">
        <v>26</v>
      </c>
      <c r="S31" s="54" t="s">
        <v>26</v>
      </c>
      <c r="T31" s="54"/>
      <c r="U31" s="54"/>
      <c r="V31" s="569"/>
      <c r="W31" s="54" t="s">
        <v>494</v>
      </c>
      <c r="X31" s="54" t="s">
        <v>494</v>
      </c>
      <c r="Y31" s="54" t="s">
        <v>495</v>
      </c>
      <c r="Z31" s="54"/>
      <c r="AA31" s="54"/>
      <c r="AB31" s="54" t="s">
        <v>547</v>
      </c>
      <c r="AC31" s="55"/>
    </row>
    <row r="32" spans="2:29" ht="39.950000000000003" customHeight="1">
      <c r="B32" s="9"/>
      <c r="C32" s="160"/>
      <c r="D32" s="150">
        <v>121</v>
      </c>
      <c r="E32" s="150" t="str">
        <f t="shared" ca="1" si="0"/>
        <v>A</v>
      </c>
      <c r="F32" s="150" t="s">
        <v>389</v>
      </c>
      <c r="G32" s="24" t="s">
        <v>390</v>
      </c>
      <c r="H32" s="313">
        <v>1200</v>
      </c>
      <c r="I32" s="313">
        <v>2500</v>
      </c>
      <c r="J32" s="555"/>
      <c r="K32" s="53" t="s">
        <v>26</v>
      </c>
      <c r="L32" s="54" t="s">
        <v>494</v>
      </c>
      <c r="M32" s="54" t="s">
        <v>494</v>
      </c>
      <c r="N32" s="54" t="s">
        <v>494</v>
      </c>
      <c r="O32" s="54"/>
      <c r="P32" s="54"/>
      <c r="Q32" s="54"/>
      <c r="R32" s="54" t="s">
        <v>496</v>
      </c>
      <c r="S32" s="54" t="s">
        <v>497</v>
      </c>
      <c r="T32" s="570" t="s">
        <v>574</v>
      </c>
      <c r="U32" s="570" t="s">
        <v>574</v>
      </c>
      <c r="V32" s="54" t="s">
        <v>585</v>
      </c>
      <c r="W32" s="54" t="s">
        <v>494</v>
      </c>
      <c r="X32" s="54" t="s">
        <v>494</v>
      </c>
      <c r="Y32" s="54" t="s">
        <v>495</v>
      </c>
      <c r="Z32" s="54"/>
      <c r="AA32" s="54"/>
      <c r="AB32" s="54" t="s">
        <v>547</v>
      </c>
      <c r="AC32" s="55"/>
    </row>
    <row r="33" spans="2:29" ht="39.950000000000003" customHeight="1">
      <c r="B33" s="9"/>
      <c r="C33" s="160"/>
      <c r="D33" s="150">
        <v>121</v>
      </c>
      <c r="E33" s="150" t="str">
        <f t="shared" ca="1" si="0"/>
        <v>B</v>
      </c>
      <c r="F33" s="150" t="s">
        <v>389</v>
      </c>
      <c r="G33" s="24" t="s">
        <v>391</v>
      </c>
      <c r="H33" s="313"/>
      <c r="I33" s="313"/>
      <c r="J33" s="555"/>
      <c r="K33" s="53"/>
      <c r="L33" s="54" t="s">
        <v>494</v>
      </c>
      <c r="M33" s="54" t="s">
        <v>494</v>
      </c>
      <c r="N33" s="54" t="s">
        <v>494</v>
      </c>
      <c r="O33" s="54"/>
      <c r="P33" s="54"/>
      <c r="Q33" s="54"/>
      <c r="R33" s="54" t="s">
        <v>554</v>
      </c>
      <c r="S33" s="54" t="s">
        <v>497</v>
      </c>
      <c r="T33" s="570" t="s">
        <v>574</v>
      </c>
      <c r="U33" s="570" t="s">
        <v>574</v>
      </c>
      <c r="V33" s="54" t="s">
        <v>585</v>
      </c>
      <c r="W33" s="54" t="s">
        <v>494</v>
      </c>
      <c r="X33" s="54" t="s">
        <v>494</v>
      </c>
      <c r="Y33" s="54" t="s">
        <v>495</v>
      </c>
      <c r="Z33" s="54"/>
      <c r="AA33" s="54"/>
      <c r="AB33" s="54" t="s">
        <v>547</v>
      </c>
      <c r="AC33" s="55"/>
    </row>
    <row r="34" spans="2:29" ht="39.950000000000003" customHeight="1">
      <c r="B34" s="9"/>
      <c r="C34" s="160"/>
      <c r="D34" s="150">
        <v>122</v>
      </c>
      <c r="E34" s="150" t="str">
        <f t="shared" ca="1" si="0"/>
        <v>A</v>
      </c>
      <c r="F34" s="150" t="s">
        <v>29</v>
      </c>
      <c r="G34" s="24" t="s">
        <v>392</v>
      </c>
      <c r="H34" s="313">
        <v>600</v>
      </c>
      <c r="I34" s="313">
        <v>3000</v>
      </c>
      <c r="J34" s="555">
        <v>0</v>
      </c>
      <c r="K34" s="53" t="s">
        <v>493</v>
      </c>
      <c r="L34" s="54" t="s">
        <v>494</v>
      </c>
      <c r="M34" s="54" t="s">
        <v>494</v>
      </c>
      <c r="N34" s="54" t="s">
        <v>494</v>
      </c>
      <c r="O34" s="54"/>
      <c r="P34" s="54"/>
      <c r="Q34" s="54"/>
      <c r="R34" s="54" t="s">
        <v>496</v>
      </c>
      <c r="S34" s="54" t="s">
        <v>498</v>
      </c>
      <c r="T34" s="54" t="s">
        <v>582</v>
      </c>
      <c r="U34" s="54" t="s">
        <v>577</v>
      </c>
      <c r="V34" s="54" t="s">
        <v>582</v>
      </c>
      <c r="W34" s="54" t="s">
        <v>493</v>
      </c>
      <c r="X34" s="54" t="s">
        <v>494</v>
      </c>
      <c r="Y34" s="54" t="s">
        <v>495</v>
      </c>
      <c r="Z34" s="54">
        <f>(INT((VLOOKUP(H34,données!$D$34:$G$40,2,FALSE)+VLOOKUP(H34,données!$D$34:$G$40,3,FALSE)+VLOOKUP(H34,données!$D$34:$G$40,4,FALSE)*(I34-2000)/1000)/50)+1)*50</f>
        <v>550</v>
      </c>
      <c r="AA34" s="54"/>
      <c r="AB34" s="54" t="s">
        <v>547</v>
      </c>
      <c r="AC34" s="55"/>
    </row>
    <row r="35" spans="2:29" ht="39.950000000000003" customHeight="1">
      <c r="B35" s="9"/>
      <c r="C35" s="160"/>
      <c r="D35" s="150">
        <v>123</v>
      </c>
      <c r="E35" s="150" t="str">
        <f t="shared" ca="1" si="0"/>
        <v>A</v>
      </c>
      <c r="F35" s="150" t="s">
        <v>29</v>
      </c>
      <c r="G35" s="24" t="s">
        <v>393</v>
      </c>
      <c r="H35" s="313">
        <v>800</v>
      </c>
      <c r="I35" s="313">
        <v>10000</v>
      </c>
      <c r="J35" s="555">
        <v>20</v>
      </c>
      <c r="K35" s="53" t="s">
        <v>493</v>
      </c>
      <c r="L35" s="54" t="s">
        <v>494</v>
      </c>
      <c r="M35" s="54" t="s">
        <v>494</v>
      </c>
      <c r="N35" s="54" t="s">
        <v>494</v>
      </c>
      <c r="O35" s="54"/>
      <c r="P35" s="54">
        <v>20</v>
      </c>
      <c r="Q35" s="54"/>
      <c r="R35" s="54" t="s">
        <v>496</v>
      </c>
      <c r="S35" s="54" t="s">
        <v>498</v>
      </c>
      <c r="T35" s="570" t="s">
        <v>574</v>
      </c>
      <c r="U35" s="54" t="s">
        <v>578</v>
      </c>
      <c r="V35" s="54" t="s">
        <v>694</v>
      </c>
      <c r="W35" s="538" t="s">
        <v>494</v>
      </c>
      <c r="X35" s="54" t="s">
        <v>494</v>
      </c>
      <c r="Y35" s="54" t="s">
        <v>495</v>
      </c>
      <c r="Z35" s="54">
        <f>(INT((VLOOKUP(H35,données!$D$34:$G$40,2,FALSE)+VLOOKUP(H35,données!$D$34:$G$40,3,FALSE)+VLOOKUP(H35,données!$D$34:$G$40,4,FALSE)*(I35-2000)/1000)/50)+1)*50</f>
        <v>1150</v>
      </c>
      <c r="AA35" s="54"/>
      <c r="AB35" s="54" t="s">
        <v>545</v>
      </c>
      <c r="AC35" s="592" t="s">
        <v>695</v>
      </c>
    </row>
    <row r="36" spans="2:29" ht="39.950000000000003" customHeight="1">
      <c r="B36" s="9"/>
      <c r="C36" s="160"/>
      <c r="D36" s="150">
        <v>124</v>
      </c>
      <c r="E36" s="150" t="str">
        <f t="shared" ca="1" si="0"/>
        <v>A</v>
      </c>
      <c r="F36" s="150" t="s">
        <v>29</v>
      </c>
      <c r="G36" s="24" t="s">
        <v>696</v>
      </c>
      <c r="H36" s="313">
        <v>800</v>
      </c>
      <c r="I36" s="313">
        <v>3000</v>
      </c>
      <c r="J36" s="555">
        <v>0</v>
      </c>
      <c r="K36" s="53" t="s">
        <v>493</v>
      </c>
      <c r="L36" s="54" t="s">
        <v>494</v>
      </c>
      <c r="M36" s="54" t="s">
        <v>495</v>
      </c>
      <c r="N36" s="54" t="s">
        <v>494</v>
      </c>
      <c r="O36" s="54"/>
      <c r="P36" s="54"/>
      <c r="Q36" s="54"/>
      <c r="R36" s="54" t="s">
        <v>496</v>
      </c>
      <c r="S36" s="54" t="s">
        <v>498</v>
      </c>
      <c r="T36" s="54" t="s">
        <v>577</v>
      </c>
      <c r="U36" s="570" t="s">
        <v>574</v>
      </c>
      <c r="V36" s="54" t="s">
        <v>588</v>
      </c>
      <c r="W36" s="54" t="s">
        <v>572</v>
      </c>
      <c r="X36" s="54" t="s">
        <v>494</v>
      </c>
      <c r="Y36" s="54" t="s">
        <v>494</v>
      </c>
      <c r="Z36" s="54">
        <f>(INT((VLOOKUP(H36,données!$D$34:$G$40,2,FALSE)+VLOOKUP(H36,données!$D$34:$G$40,3,FALSE)+VLOOKUP(H36,données!$D$34:$G$40,4,FALSE)*(I36-2000)/1000)/50)+1)*50</f>
        <v>600</v>
      </c>
      <c r="AA36" s="54"/>
      <c r="AB36" s="538" t="s">
        <v>547</v>
      </c>
      <c r="AC36" s="55"/>
    </row>
    <row r="37" spans="2:29" ht="39.950000000000003" customHeight="1">
      <c r="B37" s="9"/>
      <c r="C37" s="160"/>
      <c r="D37" s="150">
        <v>125</v>
      </c>
      <c r="E37" s="150" t="str">
        <f t="shared" ca="1" si="0"/>
        <v>A</v>
      </c>
      <c r="F37" s="150" t="s">
        <v>24</v>
      </c>
      <c r="G37" s="24" t="s">
        <v>394</v>
      </c>
      <c r="H37" s="313">
        <v>1000</v>
      </c>
      <c r="I37" s="313">
        <v>7500</v>
      </c>
      <c r="J37" s="555">
        <v>14</v>
      </c>
      <c r="K37" s="53" t="s">
        <v>493</v>
      </c>
      <c r="L37" s="54" t="s">
        <v>494</v>
      </c>
      <c r="M37" s="54" t="s">
        <v>494</v>
      </c>
      <c r="N37" s="54" t="s">
        <v>494</v>
      </c>
      <c r="O37" s="54"/>
      <c r="P37" s="54"/>
      <c r="Q37" s="54"/>
      <c r="R37" s="54" t="s">
        <v>496</v>
      </c>
      <c r="S37" s="54" t="s">
        <v>497</v>
      </c>
      <c r="T37" s="54" t="s">
        <v>686</v>
      </c>
      <c r="U37" s="54" t="s">
        <v>476</v>
      </c>
      <c r="V37" s="54" t="s">
        <v>575</v>
      </c>
      <c r="W37" s="54" t="s">
        <v>647</v>
      </c>
      <c r="X37" s="54" t="s">
        <v>494</v>
      </c>
      <c r="Y37" s="54" t="s">
        <v>495</v>
      </c>
      <c r="Z37" s="54"/>
      <c r="AA37" s="54"/>
      <c r="AB37" s="54" t="s">
        <v>547</v>
      </c>
      <c r="AC37" s="55"/>
    </row>
    <row r="38" spans="2:29" ht="39.950000000000003" customHeight="1">
      <c r="B38" s="9"/>
      <c r="C38" s="160"/>
      <c r="D38" s="150">
        <v>126</v>
      </c>
      <c r="E38" s="150" t="str">
        <f t="shared" ca="1" si="0"/>
        <v>A</v>
      </c>
      <c r="F38" s="150" t="s">
        <v>24</v>
      </c>
      <c r="G38" s="24" t="s">
        <v>395</v>
      </c>
      <c r="H38" s="313">
        <v>1000</v>
      </c>
      <c r="I38" s="313">
        <v>14250</v>
      </c>
      <c r="J38" s="555">
        <v>10</v>
      </c>
      <c r="K38" s="53" t="s">
        <v>493</v>
      </c>
      <c r="L38" s="54" t="s">
        <v>494</v>
      </c>
      <c r="M38" s="54" t="s">
        <v>494</v>
      </c>
      <c r="N38" s="54" t="s">
        <v>494</v>
      </c>
      <c r="O38" s="54"/>
      <c r="P38" s="54"/>
      <c r="Q38" s="54"/>
      <c r="R38" s="54" t="s">
        <v>496</v>
      </c>
      <c r="S38" s="54" t="s">
        <v>497</v>
      </c>
      <c r="T38" s="54" t="s">
        <v>686</v>
      </c>
      <c r="U38" s="54" t="s">
        <v>476</v>
      </c>
      <c r="V38" s="54" t="s">
        <v>579</v>
      </c>
      <c r="W38" s="54" t="s">
        <v>647</v>
      </c>
      <c r="X38" s="54" t="s">
        <v>494</v>
      </c>
      <c r="Y38" s="54" t="s">
        <v>495</v>
      </c>
      <c r="Z38" s="54"/>
      <c r="AA38" s="54"/>
      <c r="AB38" s="54" t="s">
        <v>547</v>
      </c>
      <c r="AC38" s="55"/>
    </row>
    <row r="39" spans="2:29" ht="39.950000000000003" customHeight="1">
      <c r="B39" s="9"/>
      <c r="C39" s="160"/>
      <c r="D39" s="150">
        <v>127</v>
      </c>
      <c r="E39" s="150" t="str">
        <f t="shared" ca="1" si="0"/>
        <v>A</v>
      </c>
      <c r="F39" s="150" t="s">
        <v>29</v>
      </c>
      <c r="G39" s="24" t="s">
        <v>396</v>
      </c>
      <c r="H39" s="313">
        <v>600</v>
      </c>
      <c r="I39" s="313">
        <v>3750</v>
      </c>
      <c r="J39" s="555">
        <v>10</v>
      </c>
      <c r="K39" s="53" t="s">
        <v>493</v>
      </c>
      <c r="L39" s="54" t="s">
        <v>494</v>
      </c>
      <c r="M39" s="54" t="s">
        <v>494</v>
      </c>
      <c r="N39" s="54" t="s">
        <v>494</v>
      </c>
      <c r="O39" s="54"/>
      <c r="P39" s="54"/>
      <c r="Q39" s="54"/>
      <c r="R39" s="54" t="s">
        <v>496</v>
      </c>
      <c r="S39" s="54" t="s">
        <v>497</v>
      </c>
      <c r="T39" s="570" t="s">
        <v>574</v>
      </c>
      <c r="U39" s="570" t="s">
        <v>574</v>
      </c>
      <c r="V39" s="54" t="s">
        <v>697</v>
      </c>
      <c r="W39" s="54" t="s">
        <v>493</v>
      </c>
      <c r="X39" s="54" t="s">
        <v>494</v>
      </c>
      <c r="Y39" s="54" t="s">
        <v>495</v>
      </c>
      <c r="Z39" s="54">
        <f>(INT((VLOOKUP(H39,données!$D$34:$G$40,2,FALSE)+VLOOKUP(H39,données!$D$34:$G$40,3,FALSE)+VLOOKUP(H39,données!$D$34:$G$40,4,FALSE)*(I39-2000)/1000)/50)+1)*50</f>
        <v>600</v>
      </c>
      <c r="AA39" s="54"/>
      <c r="AB39" s="54" t="s">
        <v>547</v>
      </c>
      <c r="AC39" s="592" t="s">
        <v>699</v>
      </c>
    </row>
    <row r="40" spans="2:29" ht="39.950000000000003" customHeight="1">
      <c r="B40" s="9"/>
      <c r="C40" s="160"/>
      <c r="D40" s="150">
        <v>128</v>
      </c>
      <c r="E40" s="150" t="str">
        <f t="shared" ca="1" si="0"/>
        <v>A</v>
      </c>
      <c r="F40" s="150" t="s">
        <v>39</v>
      </c>
      <c r="G40" s="24" t="s">
        <v>397</v>
      </c>
      <c r="H40" s="313"/>
      <c r="I40" s="313"/>
      <c r="J40" s="555"/>
      <c r="K40" s="53" t="s">
        <v>493</v>
      </c>
      <c r="L40" s="54" t="s">
        <v>494</v>
      </c>
      <c r="M40" s="54" t="s">
        <v>494</v>
      </c>
      <c r="N40" s="54" t="s">
        <v>494</v>
      </c>
      <c r="O40" s="54"/>
      <c r="P40" s="54"/>
      <c r="Q40" s="54"/>
      <c r="R40" s="54" t="s">
        <v>26</v>
      </c>
      <c r="S40" s="54" t="s">
        <v>26</v>
      </c>
      <c r="T40" s="54"/>
      <c r="U40" s="54"/>
      <c r="V40" s="54"/>
      <c r="W40" s="54" t="s">
        <v>494</v>
      </c>
      <c r="X40" s="54" t="s">
        <v>494</v>
      </c>
      <c r="Y40" s="54" t="s">
        <v>495</v>
      </c>
      <c r="Z40" s="54"/>
      <c r="AA40" s="54"/>
      <c r="AB40" s="54" t="s">
        <v>547</v>
      </c>
      <c r="AC40" s="55"/>
    </row>
    <row r="41" spans="2:29" ht="39.950000000000003" customHeight="1">
      <c r="B41" s="596" t="s">
        <v>691</v>
      </c>
      <c r="C41" s="597"/>
      <c r="D41" s="598">
        <v>129</v>
      </c>
      <c r="E41" s="598" t="str">
        <f t="shared" ca="1" si="0"/>
        <v>A</v>
      </c>
      <c r="F41" s="598" t="s">
        <v>380</v>
      </c>
      <c r="G41" s="599" t="s">
        <v>398</v>
      </c>
      <c r="H41" s="600"/>
      <c r="I41" s="600"/>
      <c r="J41" s="601"/>
      <c r="K41" s="602" t="s">
        <v>493</v>
      </c>
      <c r="L41" s="603" t="s">
        <v>494</v>
      </c>
      <c r="M41" s="603" t="s">
        <v>494</v>
      </c>
      <c r="N41" s="603" t="s">
        <v>494</v>
      </c>
      <c r="O41" s="603"/>
      <c r="P41" s="603"/>
      <c r="Q41" s="603"/>
      <c r="R41" s="603" t="s">
        <v>26</v>
      </c>
      <c r="S41" s="603" t="s">
        <v>26</v>
      </c>
      <c r="T41" s="603"/>
      <c r="U41" s="603"/>
      <c r="V41" s="604"/>
      <c r="W41" s="603" t="s">
        <v>494</v>
      </c>
      <c r="X41" s="603" t="s">
        <v>494</v>
      </c>
      <c r="Y41" s="603" t="s">
        <v>495</v>
      </c>
      <c r="Z41" s="603"/>
      <c r="AA41" s="603"/>
      <c r="AB41" s="603" t="s">
        <v>546</v>
      </c>
      <c r="AC41" s="605"/>
    </row>
    <row r="42" spans="2:29" ht="39.950000000000003" customHeight="1">
      <c r="B42" s="9"/>
      <c r="C42" s="160"/>
      <c r="D42" s="150">
        <v>130</v>
      </c>
      <c r="E42" s="150" t="str">
        <f t="shared" ca="1" si="0"/>
        <v>A</v>
      </c>
      <c r="F42" s="150" t="s">
        <v>24</v>
      </c>
      <c r="G42" s="24" t="s">
        <v>399</v>
      </c>
      <c r="H42" s="313">
        <v>1400</v>
      </c>
      <c r="I42" s="313">
        <v>7750</v>
      </c>
      <c r="J42" s="555">
        <v>0</v>
      </c>
      <c r="K42" s="53" t="s">
        <v>493</v>
      </c>
      <c r="L42" s="54" t="s">
        <v>494</v>
      </c>
      <c r="M42" s="54" t="s">
        <v>494</v>
      </c>
      <c r="N42" s="54" t="s">
        <v>494</v>
      </c>
      <c r="O42" s="54"/>
      <c r="P42" s="54"/>
      <c r="Q42" s="54"/>
      <c r="R42" s="54" t="s">
        <v>496</v>
      </c>
      <c r="S42" s="54" t="s">
        <v>498</v>
      </c>
      <c r="T42" s="54" t="s">
        <v>574</v>
      </c>
      <c r="U42" s="54" t="s">
        <v>574</v>
      </c>
      <c r="V42" s="54" t="s">
        <v>697</v>
      </c>
      <c r="W42" s="54" t="s">
        <v>648</v>
      </c>
      <c r="X42" s="54" t="s">
        <v>565</v>
      </c>
      <c r="Y42" s="54" t="s">
        <v>495</v>
      </c>
      <c r="Z42" s="54"/>
      <c r="AA42" s="54"/>
      <c r="AB42" s="54" t="s">
        <v>546</v>
      </c>
      <c r="AC42" s="592" t="s">
        <v>699</v>
      </c>
    </row>
    <row r="43" spans="2:29" ht="39.950000000000003" customHeight="1">
      <c r="B43" s="9"/>
      <c r="C43" s="160"/>
      <c r="D43" s="150">
        <v>131</v>
      </c>
      <c r="E43" s="150" t="str">
        <f t="shared" ca="1" si="0"/>
        <v>A</v>
      </c>
      <c r="F43" s="150" t="s">
        <v>24</v>
      </c>
      <c r="G43" s="24" t="s">
        <v>400</v>
      </c>
      <c r="H43" s="313">
        <v>1200</v>
      </c>
      <c r="I43" s="313">
        <v>8250</v>
      </c>
      <c r="J43" s="555">
        <v>19</v>
      </c>
      <c r="K43" s="53" t="s">
        <v>493</v>
      </c>
      <c r="L43" s="54" t="s">
        <v>495</v>
      </c>
      <c r="M43" s="54" t="s">
        <v>494</v>
      </c>
      <c r="N43" s="54" t="s">
        <v>494</v>
      </c>
      <c r="O43" s="54"/>
      <c r="P43" s="54"/>
      <c r="Q43" s="54"/>
      <c r="R43" s="54" t="s">
        <v>496</v>
      </c>
      <c r="S43" s="54" t="s">
        <v>498</v>
      </c>
      <c r="T43" s="54" t="s">
        <v>578</v>
      </c>
      <c r="U43" s="570" t="s">
        <v>574</v>
      </c>
      <c r="V43" s="54" t="s">
        <v>575</v>
      </c>
      <c r="W43" s="538" t="s">
        <v>494</v>
      </c>
      <c r="X43" s="538" t="s">
        <v>494</v>
      </c>
      <c r="Y43" s="54" t="s">
        <v>495</v>
      </c>
      <c r="Z43" s="54"/>
      <c r="AA43" s="54"/>
      <c r="AB43" s="54" t="s">
        <v>546</v>
      </c>
      <c r="AC43" s="592" t="s">
        <v>699</v>
      </c>
    </row>
    <row r="44" spans="2:29" ht="39.950000000000003" customHeight="1">
      <c r="B44" s="9"/>
      <c r="C44" s="160"/>
      <c r="D44" s="150">
        <v>132</v>
      </c>
      <c r="E44" s="150" t="str">
        <f t="shared" ca="1" si="0"/>
        <v>A</v>
      </c>
      <c r="F44" s="150" t="s">
        <v>372</v>
      </c>
      <c r="G44" s="24" t="s">
        <v>373</v>
      </c>
      <c r="H44" s="313">
        <v>1200</v>
      </c>
      <c r="I44" s="313">
        <v>1200</v>
      </c>
      <c r="J44" s="555"/>
      <c r="K44" s="53"/>
      <c r="L44" s="54" t="s">
        <v>494</v>
      </c>
      <c r="M44" s="54" t="s">
        <v>494</v>
      </c>
      <c r="N44" s="54" t="s">
        <v>494</v>
      </c>
      <c r="O44" s="54"/>
      <c r="P44" s="54"/>
      <c r="Q44" s="54"/>
      <c r="R44" s="54" t="s">
        <v>496</v>
      </c>
      <c r="S44" s="54" t="s">
        <v>497</v>
      </c>
      <c r="T44" s="54" t="s">
        <v>578</v>
      </c>
      <c r="U44" s="54" t="s">
        <v>578</v>
      </c>
      <c r="V44" s="54" t="s">
        <v>575</v>
      </c>
      <c r="W44" s="54" t="s">
        <v>494</v>
      </c>
      <c r="X44" s="54" t="s">
        <v>494</v>
      </c>
      <c r="Y44" s="538" t="s">
        <v>494</v>
      </c>
      <c r="Z44" s="54"/>
      <c r="AA44" s="54"/>
      <c r="AB44" s="54" t="s">
        <v>546</v>
      </c>
      <c r="AC44" s="55"/>
    </row>
    <row r="45" spans="2:29" ht="39.950000000000003" customHeight="1">
      <c r="B45" s="9"/>
      <c r="C45" s="160"/>
      <c r="D45" s="150">
        <v>133</v>
      </c>
      <c r="E45" s="150" t="str">
        <f t="shared" ca="1" si="0"/>
        <v>A</v>
      </c>
      <c r="F45" s="150" t="s">
        <v>387</v>
      </c>
      <c r="G45" s="24" t="s">
        <v>388</v>
      </c>
      <c r="H45" s="313">
        <v>1200</v>
      </c>
      <c r="I45" s="313"/>
      <c r="J45" s="555"/>
      <c r="K45" s="53" t="s">
        <v>26</v>
      </c>
      <c r="L45" s="54" t="s">
        <v>494</v>
      </c>
      <c r="M45" s="54" t="s">
        <v>494</v>
      </c>
      <c r="N45" s="54" t="s">
        <v>494</v>
      </c>
      <c r="O45" s="54"/>
      <c r="P45" s="54"/>
      <c r="Q45" s="54"/>
      <c r="R45" s="54" t="s">
        <v>26</v>
      </c>
      <c r="S45" s="54" t="s">
        <v>26</v>
      </c>
      <c r="T45" s="54"/>
      <c r="U45" s="54"/>
      <c r="V45" s="569"/>
      <c r="W45" s="54" t="s">
        <v>494</v>
      </c>
      <c r="X45" s="54" t="s">
        <v>494</v>
      </c>
      <c r="Y45" s="538" t="s">
        <v>494</v>
      </c>
      <c r="Z45" s="54"/>
      <c r="AA45" s="54"/>
      <c r="AB45" s="54" t="s">
        <v>546</v>
      </c>
      <c r="AC45" s="55"/>
    </row>
    <row r="46" spans="2:29" ht="39.950000000000003" customHeight="1">
      <c r="B46" s="9"/>
      <c r="C46" s="160"/>
      <c r="D46" s="150">
        <v>134</v>
      </c>
      <c r="E46" s="150" t="str">
        <f t="shared" ca="1" si="0"/>
        <v>A</v>
      </c>
      <c r="F46" s="150" t="s">
        <v>389</v>
      </c>
      <c r="G46" s="24" t="s">
        <v>401</v>
      </c>
      <c r="H46" s="313">
        <v>1200</v>
      </c>
      <c r="I46" s="313">
        <v>2500</v>
      </c>
      <c r="J46" s="555"/>
      <c r="K46" s="53"/>
      <c r="L46" s="54" t="s">
        <v>494</v>
      </c>
      <c r="M46" s="54" t="s">
        <v>494</v>
      </c>
      <c r="N46" s="54" t="s">
        <v>494</v>
      </c>
      <c r="O46" s="54"/>
      <c r="P46" s="54"/>
      <c r="Q46" s="54"/>
      <c r="R46" s="54" t="s">
        <v>496</v>
      </c>
      <c r="S46" s="54" t="s">
        <v>498</v>
      </c>
      <c r="T46" s="570" t="s">
        <v>574</v>
      </c>
      <c r="U46" s="570" t="s">
        <v>574</v>
      </c>
      <c r="V46" s="538" t="s">
        <v>700</v>
      </c>
      <c r="W46" s="54" t="s">
        <v>494</v>
      </c>
      <c r="X46" s="54" t="s">
        <v>494</v>
      </c>
      <c r="Y46" s="538" t="s">
        <v>494</v>
      </c>
      <c r="Z46" s="54"/>
      <c r="AA46" s="54"/>
      <c r="AB46" s="54" t="s">
        <v>546</v>
      </c>
      <c r="AC46" s="55"/>
    </row>
    <row r="47" spans="2:29" ht="39.950000000000003" customHeight="1">
      <c r="B47" s="9"/>
      <c r="C47" s="160"/>
      <c r="D47" s="150">
        <v>134</v>
      </c>
      <c r="E47" s="150" t="str">
        <f t="shared" ca="1" si="0"/>
        <v>B</v>
      </c>
      <c r="F47" s="150" t="s">
        <v>389</v>
      </c>
      <c r="G47" s="24" t="s">
        <v>402</v>
      </c>
      <c r="H47" s="313"/>
      <c r="I47" s="313"/>
      <c r="J47" s="555"/>
      <c r="K47" s="53"/>
      <c r="L47" s="54" t="s">
        <v>494</v>
      </c>
      <c r="M47" s="54" t="s">
        <v>494</v>
      </c>
      <c r="N47" s="54" t="s">
        <v>494</v>
      </c>
      <c r="O47" s="54"/>
      <c r="P47" s="54"/>
      <c r="Q47" s="54"/>
      <c r="R47" s="54" t="s">
        <v>554</v>
      </c>
      <c r="S47" s="54" t="s">
        <v>498</v>
      </c>
      <c r="T47" s="570" t="s">
        <v>574</v>
      </c>
      <c r="U47" s="570" t="s">
        <v>574</v>
      </c>
      <c r="V47" s="538" t="s">
        <v>700</v>
      </c>
      <c r="W47" s="54" t="s">
        <v>494</v>
      </c>
      <c r="X47" s="54" t="s">
        <v>494</v>
      </c>
      <c r="Y47" s="538" t="s">
        <v>494</v>
      </c>
      <c r="Z47" s="54"/>
      <c r="AA47" s="54"/>
      <c r="AB47" s="54" t="s">
        <v>546</v>
      </c>
      <c r="AC47" s="55"/>
    </row>
    <row r="48" spans="2:29" ht="39.950000000000003" customHeight="1">
      <c r="B48" s="9"/>
      <c r="C48" s="160"/>
      <c r="D48" s="150">
        <v>135</v>
      </c>
      <c r="E48" s="150" t="str">
        <f t="shared" ca="1" si="0"/>
        <v>A</v>
      </c>
      <c r="F48" s="150" t="s">
        <v>29</v>
      </c>
      <c r="G48" s="24" t="s">
        <v>392</v>
      </c>
      <c r="H48" s="313">
        <v>600</v>
      </c>
      <c r="I48" s="313">
        <v>3750</v>
      </c>
      <c r="J48" s="555">
        <v>0</v>
      </c>
      <c r="K48" s="53" t="s">
        <v>493</v>
      </c>
      <c r="L48" s="54" t="s">
        <v>494</v>
      </c>
      <c r="M48" s="54" t="s">
        <v>494</v>
      </c>
      <c r="N48" s="54" t="s">
        <v>494</v>
      </c>
      <c r="O48" s="54"/>
      <c r="P48" s="54"/>
      <c r="Q48" s="54"/>
      <c r="R48" s="54" t="s">
        <v>496</v>
      </c>
      <c r="S48" s="54" t="s">
        <v>497</v>
      </c>
      <c r="T48" s="54" t="s">
        <v>582</v>
      </c>
      <c r="U48" s="54" t="s">
        <v>582</v>
      </c>
      <c r="V48" s="54" t="s">
        <v>582</v>
      </c>
      <c r="W48" s="54" t="s">
        <v>493</v>
      </c>
      <c r="X48" s="54" t="s">
        <v>494</v>
      </c>
      <c r="Y48" s="54" t="s">
        <v>495</v>
      </c>
      <c r="Z48" s="54">
        <f>(INT((VLOOKUP(H48,données!$D$34:$G$40,2,FALSE)+VLOOKUP(H48,données!$D$34:$G$40,3,FALSE)+VLOOKUP(H48,données!$D$34:$G$40,4,FALSE)*(I48-2000)/1000)/50)+1)*50</f>
        <v>600</v>
      </c>
      <c r="AA48" s="54"/>
      <c r="AB48" s="54" t="s">
        <v>546</v>
      </c>
      <c r="AC48" s="55"/>
    </row>
    <row r="49" spans="2:29" ht="39.950000000000003" customHeight="1">
      <c r="B49" s="596" t="s">
        <v>691</v>
      </c>
      <c r="C49" s="597"/>
      <c r="D49" s="598">
        <v>136</v>
      </c>
      <c r="E49" s="598" t="str">
        <f t="shared" ca="1" si="0"/>
        <v>A</v>
      </c>
      <c r="F49" s="598" t="s">
        <v>403</v>
      </c>
      <c r="G49" s="599" t="s">
        <v>404</v>
      </c>
      <c r="H49" s="600"/>
      <c r="I49" s="600"/>
      <c r="J49" s="601"/>
      <c r="K49" s="602" t="s">
        <v>493</v>
      </c>
      <c r="L49" s="603" t="s">
        <v>494</v>
      </c>
      <c r="M49" s="603" t="s">
        <v>494</v>
      </c>
      <c r="N49" s="603" t="s">
        <v>494</v>
      </c>
      <c r="O49" s="603"/>
      <c r="P49" s="603"/>
      <c r="Q49" s="603"/>
      <c r="R49" s="603" t="s">
        <v>26</v>
      </c>
      <c r="S49" s="603" t="s">
        <v>26</v>
      </c>
      <c r="T49" s="603"/>
      <c r="U49" s="603"/>
      <c r="V49" s="604"/>
      <c r="W49" s="603" t="s">
        <v>494</v>
      </c>
      <c r="X49" s="603" t="s">
        <v>494</v>
      </c>
      <c r="Y49" s="603" t="s">
        <v>494</v>
      </c>
      <c r="Z49" s="603"/>
      <c r="AA49" s="603"/>
      <c r="AB49" s="603" t="s">
        <v>546</v>
      </c>
      <c r="AC49" s="605"/>
    </row>
    <row r="50" spans="2:29" ht="39.950000000000003" customHeight="1">
      <c r="B50" s="9"/>
      <c r="C50" s="160"/>
      <c r="D50" s="150">
        <v>137</v>
      </c>
      <c r="E50" s="150" t="str">
        <f t="shared" ca="1" si="0"/>
        <v>A</v>
      </c>
      <c r="F50" s="150" t="s">
        <v>24</v>
      </c>
      <c r="G50" s="24" t="s">
        <v>405</v>
      </c>
      <c r="H50" s="313">
        <v>1600</v>
      </c>
      <c r="I50" s="313">
        <v>21250</v>
      </c>
      <c r="J50" s="555">
        <v>20</v>
      </c>
      <c r="K50" s="53" t="s">
        <v>493</v>
      </c>
      <c r="L50" s="54" t="s">
        <v>494</v>
      </c>
      <c r="M50" s="54" t="s">
        <v>494</v>
      </c>
      <c r="N50" s="54" t="s">
        <v>494</v>
      </c>
      <c r="O50" s="54"/>
      <c r="P50" s="54"/>
      <c r="Q50" s="54"/>
      <c r="R50" s="54" t="s">
        <v>496</v>
      </c>
      <c r="S50" s="54" t="s">
        <v>498</v>
      </c>
      <c r="T50" s="54" t="s">
        <v>574</v>
      </c>
      <c r="U50" s="54" t="s">
        <v>578</v>
      </c>
      <c r="V50" s="54" t="s">
        <v>579</v>
      </c>
      <c r="W50" s="54" t="s">
        <v>644</v>
      </c>
      <c r="X50" s="54" t="s">
        <v>565</v>
      </c>
      <c r="Y50" s="54" t="s">
        <v>495</v>
      </c>
      <c r="Z50" s="54"/>
      <c r="AA50" s="54"/>
      <c r="AB50" s="54" t="s">
        <v>546</v>
      </c>
      <c r="AC50" s="592" t="s">
        <v>701</v>
      </c>
    </row>
    <row r="51" spans="2:29" ht="39.950000000000003" customHeight="1">
      <c r="B51" s="9"/>
      <c r="C51" s="160"/>
      <c r="D51" s="150">
        <v>138</v>
      </c>
      <c r="E51" s="150" t="str">
        <f t="shared" ca="1" si="0"/>
        <v>A</v>
      </c>
      <c r="F51" s="150" t="s">
        <v>54</v>
      </c>
      <c r="G51" s="24" t="s">
        <v>406</v>
      </c>
      <c r="H51" s="313">
        <v>1800</v>
      </c>
      <c r="I51" s="313">
        <v>2500</v>
      </c>
      <c r="J51" s="555">
        <v>0</v>
      </c>
      <c r="K51" s="53" t="s">
        <v>493</v>
      </c>
      <c r="L51" s="538" t="s">
        <v>495</v>
      </c>
      <c r="M51" s="54" t="s">
        <v>494</v>
      </c>
      <c r="N51" s="54" t="s">
        <v>494</v>
      </c>
      <c r="O51" s="54"/>
      <c r="P51" s="54"/>
      <c r="Q51" s="54"/>
      <c r="R51" s="54" t="s">
        <v>496</v>
      </c>
      <c r="S51" s="54" t="s">
        <v>497</v>
      </c>
      <c r="T51" s="54" t="s">
        <v>574</v>
      </c>
      <c r="U51" s="54" t="s">
        <v>574</v>
      </c>
      <c r="V51" s="569"/>
      <c r="W51" s="54" t="s">
        <v>494</v>
      </c>
      <c r="X51" s="54" t="s">
        <v>494</v>
      </c>
      <c r="Y51" s="538" t="s">
        <v>702</v>
      </c>
      <c r="Z51" s="54"/>
      <c r="AA51" s="54"/>
      <c r="AB51" s="54" t="s">
        <v>546</v>
      </c>
      <c r="AC51" s="55"/>
    </row>
    <row r="52" spans="2:29" ht="39.950000000000003" customHeight="1">
      <c r="B52" s="9"/>
      <c r="C52" s="160"/>
      <c r="D52" s="150">
        <v>139</v>
      </c>
      <c r="E52" s="150" t="str">
        <f t="shared" ca="1" si="0"/>
        <v>A</v>
      </c>
      <c r="F52" s="150" t="s">
        <v>24</v>
      </c>
      <c r="G52" s="24" t="s">
        <v>407</v>
      </c>
      <c r="H52" s="313">
        <v>1600</v>
      </c>
      <c r="I52" s="313">
        <v>11500</v>
      </c>
      <c r="J52" s="555">
        <v>23</v>
      </c>
      <c r="K52" s="53" t="s">
        <v>493</v>
      </c>
      <c r="L52" s="54" t="s">
        <v>494</v>
      </c>
      <c r="M52" s="54" t="s">
        <v>494</v>
      </c>
      <c r="N52" s="54" t="s">
        <v>494</v>
      </c>
      <c r="O52" s="54"/>
      <c r="P52" s="54"/>
      <c r="Q52" s="54"/>
      <c r="R52" s="54" t="s">
        <v>496</v>
      </c>
      <c r="S52" s="54" t="s">
        <v>498</v>
      </c>
      <c r="T52" s="54" t="s">
        <v>578</v>
      </c>
      <c r="U52" s="54" t="s">
        <v>580</v>
      </c>
      <c r="V52" s="54" t="s">
        <v>579</v>
      </c>
      <c r="W52" s="54" t="s">
        <v>644</v>
      </c>
      <c r="X52" s="54" t="s">
        <v>565</v>
      </c>
      <c r="Y52" s="54" t="s">
        <v>495</v>
      </c>
      <c r="Z52" s="54"/>
      <c r="AA52" s="54"/>
      <c r="AB52" s="54" t="s">
        <v>546</v>
      </c>
      <c r="AC52" s="55"/>
    </row>
    <row r="53" spans="2:29" ht="39.950000000000003" customHeight="1">
      <c r="B53" s="606" t="s">
        <v>691</v>
      </c>
      <c r="C53" s="607"/>
      <c r="D53" s="608">
        <v>140</v>
      </c>
      <c r="E53" s="608" t="str">
        <f t="shared" ca="1" si="0"/>
        <v>A</v>
      </c>
      <c r="F53" s="608" t="s">
        <v>403</v>
      </c>
      <c r="G53" s="609" t="s">
        <v>408</v>
      </c>
      <c r="H53" s="610"/>
      <c r="I53" s="610"/>
      <c r="J53" s="611"/>
      <c r="K53" s="612" t="s">
        <v>493</v>
      </c>
      <c r="L53" s="613" t="s">
        <v>494</v>
      </c>
      <c r="M53" s="613" t="s">
        <v>494</v>
      </c>
      <c r="N53" s="613" t="s">
        <v>494</v>
      </c>
      <c r="O53" s="613"/>
      <c r="P53" s="613"/>
      <c r="Q53" s="613"/>
      <c r="R53" s="613" t="s">
        <v>26</v>
      </c>
      <c r="S53" s="613" t="s">
        <v>26</v>
      </c>
      <c r="T53" s="613"/>
      <c r="U53" s="613"/>
      <c r="V53" s="613"/>
      <c r="W53" s="613" t="s">
        <v>494</v>
      </c>
      <c r="X53" s="613" t="s">
        <v>494</v>
      </c>
      <c r="Y53" s="613" t="s">
        <v>494</v>
      </c>
      <c r="Z53" s="613"/>
      <c r="AA53" s="613"/>
      <c r="AB53" s="613" t="s">
        <v>546</v>
      </c>
      <c r="AC53" s="615"/>
    </row>
    <row r="54" spans="2:29" ht="39.950000000000003" customHeight="1">
      <c r="B54" s="9"/>
      <c r="C54" s="160"/>
      <c r="D54" s="150">
        <v>141</v>
      </c>
      <c r="E54" s="150" t="str">
        <f t="shared" ca="1" si="0"/>
        <v>A</v>
      </c>
      <c r="F54" s="150" t="s">
        <v>56</v>
      </c>
      <c r="G54" s="24" t="s">
        <v>409</v>
      </c>
      <c r="H54" s="313">
        <v>2000</v>
      </c>
      <c r="I54" s="313">
        <v>8850</v>
      </c>
      <c r="J54" s="555"/>
      <c r="K54" s="53"/>
      <c r="L54" s="54" t="s">
        <v>494</v>
      </c>
      <c r="M54" s="54" t="s">
        <v>494</v>
      </c>
      <c r="N54" s="54" t="s">
        <v>494</v>
      </c>
      <c r="O54" s="54"/>
      <c r="P54" s="54"/>
      <c r="Q54" s="54"/>
      <c r="R54" s="54" t="s">
        <v>496</v>
      </c>
      <c r="S54" s="54" t="s">
        <v>497</v>
      </c>
      <c r="T54" s="54" t="s">
        <v>574</v>
      </c>
      <c r="U54" s="54" t="s">
        <v>574</v>
      </c>
      <c r="V54" s="54"/>
      <c r="W54" s="54" t="s">
        <v>494</v>
      </c>
      <c r="X54" s="54" t="s">
        <v>494</v>
      </c>
      <c r="Y54" s="538" t="s">
        <v>702</v>
      </c>
      <c r="Z54" s="54"/>
      <c r="AA54" s="54"/>
      <c r="AB54" s="54" t="s">
        <v>546</v>
      </c>
      <c r="AC54" s="55"/>
    </row>
    <row r="55" spans="2:29" ht="39.950000000000003" customHeight="1">
      <c r="B55" s="606" t="s">
        <v>691</v>
      </c>
      <c r="C55" s="607"/>
      <c r="D55" s="608">
        <v>142</v>
      </c>
      <c r="E55" s="608" t="str">
        <f t="shared" ca="1" si="0"/>
        <v>A</v>
      </c>
      <c r="F55" s="608" t="s">
        <v>380</v>
      </c>
      <c r="G55" s="609" t="s">
        <v>410</v>
      </c>
      <c r="H55" s="610">
        <v>2000</v>
      </c>
      <c r="I55" s="610">
        <v>8850</v>
      </c>
      <c r="J55" s="611"/>
      <c r="K55" s="612" t="s">
        <v>493</v>
      </c>
      <c r="L55" s="613" t="s">
        <v>494</v>
      </c>
      <c r="M55" s="613" t="s">
        <v>494</v>
      </c>
      <c r="N55" s="613" t="s">
        <v>494</v>
      </c>
      <c r="O55" s="613"/>
      <c r="P55" s="613"/>
      <c r="Q55" s="613"/>
      <c r="R55" s="613" t="s">
        <v>26</v>
      </c>
      <c r="S55" s="613" t="s">
        <v>26</v>
      </c>
      <c r="T55" s="613"/>
      <c r="U55" s="613"/>
      <c r="V55" s="614"/>
      <c r="W55" s="613" t="s">
        <v>494</v>
      </c>
      <c r="X55" s="613" t="s">
        <v>494</v>
      </c>
      <c r="Y55" s="613" t="s">
        <v>702</v>
      </c>
      <c r="Z55" s="613"/>
      <c r="AA55" s="613"/>
      <c r="AB55" s="613" t="s">
        <v>548</v>
      </c>
      <c r="AC55" s="615"/>
    </row>
    <row r="56" spans="2:29" ht="39.950000000000003" customHeight="1">
      <c r="B56" s="9"/>
      <c r="C56" s="160"/>
      <c r="D56" s="150">
        <v>143</v>
      </c>
      <c r="E56" s="150" t="str">
        <f t="shared" ca="1" si="0"/>
        <v>A</v>
      </c>
      <c r="F56" s="150" t="s">
        <v>24</v>
      </c>
      <c r="G56" s="24" t="s">
        <v>411</v>
      </c>
      <c r="H56" s="313">
        <v>1800</v>
      </c>
      <c r="I56" s="313">
        <v>11500</v>
      </c>
      <c r="J56" s="555">
        <v>23</v>
      </c>
      <c r="K56" s="53" t="s">
        <v>493</v>
      </c>
      <c r="L56" s="54" t="s">
        <v>494</v>
      </c>
      <c r="M56" s="54" t="s">
        <v>494</v>
      </c>
      <c r="N56" s="54" t="s">
        <v>494</v>
      </c>
      <c r="O56" s="54"/>
      <c r="P56" s="54"/>
      <c r="Q56" s="54"/>
      <c r="R56" s="54" t="s">
        <v>496</v>
      </c>
      <c r="S56" s="54" t="s">
        <v>498</v>
      </c>
      <c r="T56" s="538" t="s">
        <v>578</v>
      </c>
      <c r="U56" s="538" t="s">
        <v>578</v>
      </c>
      <c r="V56" s="54"/>
      <c r="W56" s="54" t="s">
        <v>645</v>
      </c>
      <c r="X56" s="54" t="s">
        <v>565</v>
      </c>
      <c r="Y56" s="54" t="s">
        <v>495</v>
      </c>
      <c r="Z56" s="54"/>
      <c r="AA56" s="54"/>
      <c r="AB56" s="54" t="s">
        <v>548</v>
      </c>
      <c r="AC56" s="592" t="s">
        <v>703</v>
      </c>
    </row>
    <row r="57" spans="2:29" ht="39.950000000000003" customHeight="1">
      <c r="B57" s="9"/>
      <c r="C57" s="160"/>
      <c r="D57" s="150">
        <v>144</v>
      </c>
      <c r="E57" s="150" t="str">
        <f t="shared" ca="1" si="0"/>
        <v>A</v>
      </c>
      <c r="F57" s="150" t="s">
        <v>54</v>
      </c>
      <c r="G57" s="24" t="s">
        <v>412</v>
      </c>
      <c r="H57" s="313">
        <v>1800</v>
      </c>
      <c r="I57" s="313">
        <v>2500</v>
      </c>
      <c r="J57" s="555">
        <v>0</v>
      </c>
      <c r="K57" s="53" t="s">
        <v>493</v>
      </c>
      <c r="L57" s="54" t="s">
        <v>495</v>
      </c>
      <c r="M57" s="54" t="s">
        <v>494</v>
      </c>
      <c r="N57" s="54" t="s">
        <v>494</v>
      </c>
      <c r="O57" s="54"/>
      <c r="P57" s="54"/>
      <c r="Q57" s="54"/>
      <c r="R57" s="54" t="s">
        <v>496</v>
      </c>
      <c r="S57" s="54" t="s">
        <v>498</v>
      </c>
      <c r="T57" s="538" t="s">
        <v>578</v>
      </c>
      <c r="U57" s="538" t="s">
        <v>704</v>
      </c>
      <c r="V57" s="54"/>
      <c r="W57" s="54" t="s">
        <v>494</v>
      </c>
      <c r="X57" s="54" t="s">
        <v>494</v>
      </c>
      <c r="Y57" s="54" t="s">
        <v>495</v>
      </c>
      <c r="Z57" s="54"/>
      <c r="AA57" s="54"/>
      <c r="AB57" s="54" t="s">
        <v>548</v>
      </c>
      <c r="AC57" s="55"/>
    </row>
    <row r="58" spans="2:29" ht="39.950000000000003" customHeight="1">
      <c r="B58" s="9"/>
      <c r="C58" s="160"/>
      <c r="D58" s="150">
        <v>144</v>
      </c>
      <c r="E58" s="150" t="str">
        <f t="shared" ca="1" si="0"/>
        <v>B</v>
      </c>
      <c r="F58" s="150" t="s">
        <v>54</v>
      </c>
      <c r="G58" s="24" t="s">
        <v>413</v>
      </c>
      <c r="H58" s="313">
        <v>1800</v>
      </c>
      <c r="I58" s="313">
        <v>2500</v>
      </c>
      <c r="J58" s="555">
        <v>0</v>
      </c>
      <c r="K58" s="53" t="s">
        <v>493</v>
      </c>
      <c r="L58" s="54" t="s">
        <v>494</v>
      </c>
      <c r="M58" s="54" t="s">
        <v>494</v>
      </c>
      <c r="N58" s="54" t="s">
        <v>494</v>
      </c>
      <c r="O58" s="54"/>
      <c r="P58" s="54"/>
      <c r="Q58" s="54"/>
      <c r="R58" s="54" t="s">
        <v>496</v>
      </c>
      <c r="S58" s="54" t="s">
        <v>498</v>
      </c>
      <c r="T58" s="538" t="s">
        <v>574</v>
      </c>
      <c r="U58" s="538" t="s">
        <v>705</v>
      </c>
      <c r="V58" s="569"/>
      <c r="W58" s="54" t="s">
        <v>494</v>
      </c>
      <c r="X58" s="54" t="s">
        <v>494</v>
      </c>
      <c r="Y58" s="54" t="s">
        <v>495</v>
      </c>
      <c r="Z58" s="54"/>
      <c r="AA58" s="54"/>
      <c r="AB58" s="54" t="s">
        <v>548</v>
      </c>
      <c r="AC58" s="55"/>
    </row>
    <row r="59" spans="2:29" ht="39.950000000000003" customHeight="1">
      <c r="B59" s="9"/>
      <c r="C59" s="160"/>
      <c r="D59" s="150">
        <v>145</v>
      </c>
      <c r="E59" s="150" t="str">
        <f t="shared" ca="1" si="0"/>
        <v>A</v>
      </c>
      <c r="F59" s="150" t="s">
        <v>29</v>
      </c>
      <c r="G59" s="24" t="s">
        <v>414</v>
      </c>
      <c r="H59" s="313">
        <v>800</v>
      </c>
      <c r="I59" s="313">
        <v>3500</v>
      </c>
      <c r="J59" s="555">
        <v>0</v>
      </c>
      <c r="K59" s="53" t="s">
        <v>493</v>
      </c>
      <c r="L59" s="54" t="s">
        <v>494</v>
      </c>
      <c r="M59" s="54" t="s">
        <v>495</v>
      </c>
      <c r="N59" s="54" t="s">
        <v>494</v>
      </c>
      <c r="O59" s="54"/>
      <c r="P59" s="54"/>
      <c r="Q59" s="54"/>
      <c r="R59" s="54" t="s">
        <v>496</v>
      </c>
      <c r="S59" s="54" t="s">
        <v>498</v>
      </c>
      <c r="T59" s="54" t="s">
        <v>577</v>
      </c>
      <c r="U59" s="54" t="s">
        <v>577</v>
      </c>
      <c r="V59" s="54"/>
      <c r="W59" s="54" t="s">
        <v>572</v>
      </c>
      <c r="X59" s="54" t="s">
        <v>494</v>
      </c>
      <c r="Y59" s="54" t="s">
        <v>494</v>
      </c>
      <c r="Z59" s="54">
        <f>(INT((VLOOKUP(H59,données!$D$34:$G$40,2,FALSE)+VLOOKUP(H59,données!$D$34:$G$40,3,FALSE)+VLOOKUP(H59,données!$D$34:$G$40,4,FALSE)*(I59-2000)/1000)/50)+1)*50</f>
        <v>650</v>
      </c>
      <c r="AA59" s="54"/>
      <c r="AB59" s="54" t="s">
        <v>548</v>
      </c>
      <c r="AC59" s="592" t="s">
        <v>706</v>
      </c>
    </row>
    <row r="60" spans="2:29" ht="39.950000000000003" customHeight="1">
      <c r="B60" s="9"/>
      <c r="C60" s="160"/>
      <c r="D60" s="150">
        <v>146</v>
      </c>
      <c r="E60" s="150" t="str">
        <f t="shared" ca="1" si="0"/>
        <v>A</v>
      </c>
      <c r="F60" s="150" t="s">
        <v>29</v>
      </c>
      <c r="G60" s="24" t="s">
        <v>415</v>
      </c>
      <c r="H60" s="313">
        <v>800</v>
      </c>
      <c r="I60" s="313">
        <v>16750</v>
      </c>
      <c r="J60" s="555">
        <v>6</v>
      </c>
      <c r="K60" s="53" t="s">
        <v>493</v>
      </c>
      <c r="L60" s="54" t="s">
        <v>494</v>
      </c>
      <c r="M60" s="54" t="s">
        <v>494</v>
      </c>
      <c r="N60" s="54" t="s">
        <v>494</v>
      </c>
      <c r="O60" s="54"/>
      <c r="P60" s="54"/>
      <c r="Q60" s="54"/>
      <c r="R60" s="54" t="s">
        <v>496</v>
      </c>
      <c r="S60" s="54" t="s">
        <v>498</v>
      </c>
      <c r="T60" s="54" t="s">
        <v>577</v>
      </c>
      <c r="U60" s="54" t="s">
        <v>476</v>
      </c>
      <c r="V60" s="538" t="s">
        <v>697</v>
      </c>
      <c r="W60" s="54" t="s">
        <v>493</v>
      </c>
      <c r="X60" s="54" t="s">
        <v>494</v>
      </c>
      <c r="Y60" s="54" t="s">
        <v>495</v>
      </c>
      <c r="Z60" s="54">
        <f>(INT((VLOOKUP(H60,données!$D$34:$G$40,2,FALSE)+VLOOKUP(H60,données!$D$34:$G$40,3,FALSE)+VLOOKUP(H60,données!$D$34:$G$40,4,FALSE)*(I60-2000)/1000)/50)+1)*50</f>
        <v>1700</v>
      </c>
      <c r="AA60" s="54"/>
      <c r="AB60" s="54" t="s">
        <v>546</v>
      </c>
      <c r="AC60" s="592" t="s">
        <v>706</v>
      </c>
    </row>
    <row r="61" spans="2:29" ht="39.950000000000003" customHeight="1">
      <c r="B61" s="9"/>
      <c r="C61" s="160"/>
      <c r="D61" s="150">
        <v>147</v>
      </c>
      <c r="E61" s="150" t="str">
        <f t="shared" ca="1" si="0"/>
        <v>A</v>
      </c>
      <c r="F61" s="150" t="s">
        <v>29</v>
      </c>
      <c r="G61" s="24" t="s">
        <v>415</v>
      </c>
      <c r="H61" s="313">
        <v>800</v>
      </c>
      <c r="I61" s="313">
        <v>12000</v>
      </c>
      <c r="J61" s="555">
        <v>20</v>
      </c>
      <c r="K61" s="53" t="s">
        <v>493</v>
      </c>
      <c r="L61" s="54" t="s">
        <v>494</v>
      </c>
      <c r="M61" s="54" t="s">
        <v>494</v>
      </c>
      <c r="N61" s="54" t="s">
        <v>494</v>
      </c>
      <c r="O61" s="54"/>
      <c r="P61" s="54"/>
      <c r="Q61" s="54"/>
      <c r="R61" s="54" t="s">
        <v>496</v>
      </c>
      <c r="S61" s="54" t="s">
        <v>498</v>
      </c>
      <c r="T61" s="54" t="s">
        <v>577</v>
      </c>
      <c r="U61" s="54" t="s">
        <v>476</v>
      </c>
      <c r="V61" s="54" t="s">
        <v>579</v>
      </c>
      <c r="W61" s="54" t="s">
        <v>646</v>
      </c>
      <c r="X61" s="54" t="s">
        <v>494</v>
      </c>
      <c r="Y61" s="54" t="s">
        <v>495</v>
      </c>
      <c r="Z61" s="54">
        <f>(INT((VLOOKUP(H61,données!$D$34:$G$40,2,FALSE)+VLOOKUP(H61,données!$D$34:$G$40,3,FALSE)+VLOOKUP(H61,données!$D$34:$G$40,4,FALSE)*(I61-2000)/1000)/50)+1)*50</f>
        <v>1300</v>
      </c>
      <c r="AA61" s="54"/>
      <c r="AB61" s="54" t="s">
        <v>546</v>
      </c>
      <c r="AC61" s="592" t="s">
        <v>706</v>
      </c>
    </row>
    <row r="62" spans="2:29" ht="39.950000000000003" customHeight="1">
      <c r="B62" s="9"/>
      <c r="C62" s="160"/>
      <c r="D62" s="150">
        <v>148</v>
      </c>
      <c r="E62" s="150" t="str">
        <f t="shared" ca="1" si="0"/>
        <v>A</v>
      </c>
      <c r="F62" s="150" t="s">
        <v>29</v>
      </c>
      <c r="G62" s="24" t="s">
        <v>416</v>
      </c>
      <c r="H62" s="313">
        <v>800</v>
      </c>
      <c r="I62" s="313">
        <v>5000</v>
      </c>
      <c r="J62" s="555">
        <v>0</v>
      </c>
      <c r="K62" s="53" t="s">
        <v>493</v>
      </c>
      <c r="L62" s="54" t="s">
        <v>494</v>
      </c>
      <c r="M62" s="54" t="s">
        <v>495</v>
      </c>
      <c r="N62" s="54" t="s">
        <v>494</v>
      </c>
      <c r="O62" s="54"/>
      <c r="P62" s="54"/>
      <c r="Q62" s="54"/>
      <c r="R62" s="54" t="s">
        <v>496</v>
      </c>
      <c r="S62" s="54" t="s">
        <v>497</v>
      </c>
      <c r="T62" s="54" t="s">
        <v>577</v>
      </c>
      <c r="U62" s="54" t="s">
        <v>577</v>
      </c>
      <c r="V62" s="54" t="s">
        <v>579</v>
      </c>
      <c r="W62" s="54" t="s">
        <v>572</v>
      </c>
      <c r="X62" s="54" t="s">
        <v>494</v>
      </c>
      <c r="Y62" s="54" t="s">
        <v>494</v>
      </c>
      <c r="Z62" s="54">
        <f>(INT((VLOOKUP(H62,données!$D$34:$G$40,2,FALSE)+VLOOKUP(H62,données!$D$34:$G$40,3,FALSE)+VLOOKUP(H62,données!$D$34:$G$40,4,FALSE)*(I62-2000)/1000)/50)+1)*50</f>
        <v>750</v>
      </c>
      <c r="AA62" s="54"/>
      <c r="AB62" s="54" t="s">
        <v>546</v>
      </c>
      <c r="AC62" s="55"/>
    </row>
    <row r="63" spans="2:29" ht="39.950000000000003" customHeight="1">
      <c r="B63" s="9"/>
      <c r="C63" s="160"/>
      <c r="D63" s="150">
        <v>149</v>
      </c>
      <c r="E63" s="150" t="str">
        <f t="shared" ca="1" si="0"/>
        <v>A</v>
      </c>
      <c r="F63" s="150" t="s">
        <v>417</v>
      </c>
      <c r="G63" s="24" t="s">
        <v>418</v>
      </c>
      <c r="H63" s="313">
        <v>800</v>
      </c>
      <c r="I63" s="313">
        <v>800</v>
      </c>
      <c r="J63" s="555"/>
      <c r="K63" s="53"/>
      <c r="L63" s="54" t="s">
        <v>494</v>
      </c>
      <c r="M63" s="54" t="s">
        <v>494</v>
      </c>
      <c r="N63" s="54" t="s">
        <v>494</v>
      </c>
      <c r="O63" s="54"/>
      <c r="P63" s="54"/>
      <c r="Q63" s="54"/>
      <c r="R63" s="54" t="s">
        <v>26</v>
      </c>
      <c r="S63" s="54" t="s">
        <v>26</v>
      </c>
      <c r="T63" s="54"/>
      <c r="U63" s="54"/>
      <c r="V63" s="569"/>
      <c r="W63" s="54" t="s">
        <v>494</v>
      </c>
      <c r="X63" s="54" t="s">
        <v>494</v>
      </c>
      <c r="Y63" s="538" t="s">
        <v>707</v>
      </c>
      <c r="Z63" s="54"/>
      <c r="AA63" s="54"/>
      <c r="AB63" s="54" t="s">
        <v>546</v>
      </c>
      <c r="AC63" s="55"/>
    </row>
    <row r="64" spans="2:29" ht="39.950000000000003" customHeight="1">
      <c r="B64" s="9"/>
      <c r="C64" s="160"/>
      <c r="D64" s="150">
        <v>150</v>
      </c>
      <c r="E64" s="150" t="str">
        <f t="shared" ca="1" si="0"/>
        <v>A</v>
      </c>
      <c r="F64" s="150" t="s">
        <v>29</v>
      </c>
      <c r="G64" s="24" t="s">
        <v>419</v>
      </c>
      <c r="H64" s="313">
        <v>1000</v>
      </c>
      <c r="I64" s="313">
        <v>5250</v>
      </c>
      <c r="J64" s="555">
        <v>0</v>
      </c>
      <c r="K64" s="53" t="s">
        <v>493</v>
      </c>
      <c r="L64" s="54" t="s">
        <v>494</v>
      </c>
      <c r="M64" s="54" t="s">
        <v>495</v>
      </c>
      <c r="N64" s="54" t="s">
        <v>494</v>
      </c>
      <c r="O64" s="54"/>
      <c r="P64" s="54"/>
      <c r="Q64" s="54"/>
      <c r="R64" s="54" t="s">
        <v>496</v>
      </c>
      <c r="S64" s="54" t="s">
        <v>497</v>
      </c>
      <c r="T64" s="54" t="s">
        <v>582</v>
      </c>
      <c r="U64" s="54" t="s">
        <v>582</v>
      </c>
      <c r="V64" s="54" t="s">
        <v>579</v>
      </c>
      <c r="W64" s="54" t="s">
        <v>572</v>
      </c>
      <c r="X64" s="54" t="s">
        <v>494</v>
      </c>
      <c r="Y64" s="54" t="s">
        <v>494</v>
      </c>
      <c r="Z64" s="54">
        <f>(INT((VLOOKUP(H64,données!$D$34:$G$40,2,FALSE)+VLOOKUP(H64,données!$D$34:$G$40,3,FALSE)+VLOOKUP(H64,données!$D$34:$G$40,4,FALSE)*(I64-2000)/1000)/50)+1)*50</f>
        <v>850</v>
      </c>
      <c r="AA64" s="54"/>
      <c r="AB64" s="559" t="s">
        <v>549</v>
      </c>
      <c r="AC64" s="55"/>
    </row>
    <row r="65" spans="2:29" ht="39.950000000000003" customHeight="1">
      <c r="B65" s="9"/>
      <c r="C65" s="160"/>
      <c r="D65" s="150">
        <v>151</v>
      </c>
      <c r="E65" s="150" t="str">
        <f t="shared" ca="1" si="0"/>
        <v>A</v>
      </c>
      <c r="F65" s="150" t="s">
        <v>29</v>
      </c>
      <c r="G65" s="24" t="s">
        <v>420</v>
      </c>
      <c r="H65" s="313">
        <v>1000</v>
      </c>
      <c r="I65" s="313">
        <v>5250</v>
      </c>
      <c r="J65" s="555">
        <v>0</v>
      </c>
      <c r="K65" s="53" t="s">
        <v>493</v>
      </c>
      <c r="L65" s="54" t="s">
        <v>494</v>
      </c>
      <c r="M65" s="54" t="s">
        <v>495</v>
      </c>
      <c r="N65" s="54" t="s">
        <v>494</v>
      </c>
      <c r="O65" s="54"/>
      <c r="P65" s="54"/>
      <c r="Q65" s="54"/>
      <c r="R65" s="54" t="s">
        <v>496</v>
      </c>
      <c r="S65" s="54" t="s">
        <v>497</v>
      </c>
      <c r="T65" s="54" t="s">
        <v>582</v>
      </c>
      <c r="U65" s="54" t="s">
        <v>582</v>
      </c>
      <c r="V65" s="54" t="s">
        <v>579</v>
      </c>
      <c r="W65" s="54" t="s">
        <v>572</v>
      </c>
      <c r="X65" s="54" t="s">
        <v>494</v>
      </c>
      <c r="Y65" s="54" t="s">
        <v>494</v>
      </c>
      <c r="Z65" s="54">
        <f>(INT((VLOOKUP(H65,données!$D$34:$G$40,2,FALSE)+VLOOKUP(H65,données!$D$34:$G$40,3,FALSE)+VLOOKUP(H65,données!$D$34:$G$40,4,FALSE)*(I65-2000)/1000)/50)+1)*50</f>
        <v>850</v>
      </c>
      <c r="AA65" s="54"/>
      <c r="AB65" s="54" t="s">
        <v>546</v>
      </c>
      <c r="AC65" s="592" t="s">
        <v>706</v>
      </c>
    </row>
    <row r="66" spans="2:29" ht="39.950000000000003" customHeight="1">
      <c r="B66" s="9"/>
      <c r="C66" s="160"/>
      <c r="D66" s="150">
        <v>152</v>
      </c>
      <c r="E66" s="150" t="str">
        <f t="shared" ref="E66:E130" ca="1" si="1">IF(AND(D65=D66,D66&gt;0),SUBSTITUTE(ADDRESS(1,COLUMN(INDIRECT(CONCATENATE(E65,1)))+1,4,1),1,""),"A")</f>
        <v>A</v>
      </c>
      <c r="F66" s="150" t="s">
        <v>29</v>
      </c>
      <c r="G66" s="24" t="s">
        <v>421</v>
      </c>
      <c r="H66" s="313">
        <v>1000</v>
      </c>
      <c r="I66" s="313">
        <v>15000</v>
      </c>
      <c r="J66" s="555">
        <v>8</v>
      </c>
      <c r="K66" s="53" t="s">
        <v>493</v>
      </c>
      <c r="L66" s="54" t="s">
        <v>494</v>
      </c>
      <c r="M66" s="54" t="s">
        <v>494</v>
      </c>
      <c r="N66" s="54" t="s">
        <v>494</v>
      </c>
      <c r="O66" s="54"/>
      <c r="P66" s="54"/>
      <c r="Q66" s="54"/>
      <c r="R66" s="54" t="s">
        <v>496</v>
      </c>
      <c r="S66" s="54" t="s">
        <v>498</v>
      </c>
      <c r="T66" s="538" t="s">
        <v>582</v>
      </c>
      <c r="U66" s="54" t="s">
        <v>476</v>
      </c>
      <c r="V66" s="54" t="s">
        <v>575</v>
      </c>
      <c r="W66" s="54" t="s">
        <v>493</v>
      </c>
      <c r="X66" s="54" t="s">
        <v>494</v>
      </c>
      <c r="Y66" s="54" t="s">
        <v>495</v>
      </c>
      <c r="Z66" s="54">
        <f>(INT((VLOOKUP(H66,données!$D$34:$G$40,2,FALSE)+VLOOKUP(H66,données!$D$34:$G$40,3,FALSE)+VLOOKUP(H66,données!$D$34:$G$40,4,FALSE)*(I66-2000)/1000)/50)+1)*50</f>
        <v>1750</v>
      </c>
      <c r="AA66" s="54"/>
      <c r="AB66" s="54" t="s">
        <v>546</v>
      </c>
      <c r="AC66" s="592" t="s">
        <v>706</v>
      </c>
    </row>
    <row r="67" spans="2:29" ht="39.950000000000003" customHeight="1">
      <c r="B67" s="9"/>
      <c r="C67" s="160"/>
      <c r="D67" s="150">
        <v>153</v>
      </c>
      <c r="E67" s="150" t="str">
        <f t="shared" ca="1" si="1"/>
        <v>A</v>
      </c>
      <c r="F67" s="150" t="s">
        <v>29</v>
      </c>
      <c r="G67" s="24" t="s">
        <v>421</v>
      </c>
      <c r="H67" s="313">
        <v>1000</v>
      </c>
      <c r="I67" s="313">
        <v>5000</v>
      </c>
      <c r="J67" s="555">
        <v>18</v>
      </c>
      <c r="K67" s="53" t="s">
        <v>493</v>
      </c>
      <c r="L67" s="54" t="s">
        <v>494</v>
      </c>
      <c r="M67" s="54" t="s">
        <v>494</v>
      </c>
      <c r="N67" s="54" t="s">
        <v>494</v>
      </c>
      <c r="O67" s="54"/>
      <c r="P67" s="54"/>
      <c r="Q67" s="54"/>
      <c r="R67" s="54" t="s">
        <v>496</v>
      </c>
      <c r="S67" s="538" t="s">
        <v>497</v>
      </c>
      <c r="T67" s="538" t="s">
        <v>578</v>
      </c>
      <c r="U67" s="54" t="s">
        <v>476</v>
      </c>
      <c r="V67" s="54" t="s">
        <v>575</v>
      </c>
      <c r="W67" s="54" t="s">
        <v>642</v>
      </c>
      <c r="X67" s="54" t="s">
        <v>494</v>
      </c>
      <c r="Y67" s="54" t="s">
        <v>495</v>
      </c>
      <c r="Z67" s="54">
        <f>(INT((VLOOKUP(H67,données!$D$34:$G$40,2,FALSE)+VLOOKUP(H67,données!$D$34:$G$40,3,FALSE)+VLOOKUP(H67,données!$D$34:$G$40,4,FALSE)*(I67-2000)/1000)/50)+1)*50</f>
        <v>850</v>
      </c>
      <c r="AA67" s="54"/>
      <c r="AB67" s="54" t="s">
        <v>546</v>
      </c>
      <c r="AC67" s="592" t="s">
        <v>706</v>
      </c>
    </row>
    <row r="68" spans="2:29" ht="39.950000000000003" customHeight="1">
      <c r="B68" s="9"/>
      <c r="C68" s="160"/>
      <c r="D68" s="150">
        <v>154</v>
      </c>
      <c r="E68" s="150" t="str">
        <f t="shared" ca="1" si="1"/>
        <v>A</v>
      </c>
      <c r="F68" s="150" t="s">
        <v>29</v>
      </c>
      <c r="G68" s="24" t="s">
        <v>421</v>
      </c>
      <c r="H68" s="313">
        <v>1000</v>
      </c>
      <c r="I68" s="313">
        <v>26250</v>
      </c>
      <c r="J68" s="555">
        <v>18</v>
      </c>
      <c r="K68" s="53" t="s">
        <v>493</v>
      </c>
      <c r="L68" s="54" t="s">
        <v>494</v>
      </c>
      <c r="M68" s="54" t="s">
        <v>494</v>
      </c>
      <c r="N68" s="54" t="s">
        <v>494</v>
      </c>
      <c r="O68" s="54"/>
      <c r="P68" s="54"/>
      <c r="Q68" s="54"/>
      <c r="R68" s="54" t="s">
        <v>496</v>
      </c>
      <c r="S68" s="538" t="s">
        <v>497</v>
      </c>
      <c r="T68" s="54" t="s">
        <v>574</v>
      </c>
      <c r="U68" s="54" t="s">
        <v>476</v>
      </c>
      <c r="V68" s="54" t="s">
        <v>576</v>
      </c>
      <c r="W68" s="54" t="s">
        <v>642</v>
      </c>
      <c r="X68" s="54" t="s">
        <v>494</v>
      </c>
      <c r="Y68" s="54" t="s">
        <v>495</v>
      </c>
      <c r="Z68" s="54">
        <f>(INT((VLOOKUP(H68,données!$D$34:$G$40,2,FALSE)+VLOOKUP(H68,données!$D$34:$G$40,3,FALSE)+VLOOKUP(H68,données!$D$34:$G$40,4,FALSE)*(I68-2000)/1000)/50)+1)*50</f>
        <v>2750</v>
      </c>
      <c r="AA68" s="54"/>
      <c r="AB68" s="54" t="s">
        <v>546</v>
      </c>
      <c r="AC68" s="592" t="s">
        <v>706</v>
      </c>
    </row>
    <row r="69" spans="2:29" ht="39.950000000000003" customHeight="1">
      <c r="B69" s="9"/>
      <c r="C69" s="160"/>
      <c r="D69" s="150">
        <v>155</v>
      </c>
      <c r="E69" s="150" t="str">
        <f t="shared" ca="1" si="1"/>
        <v>A</v>
      </c>
      <c r="F69" s="150" t="s">
        <v>422</v>
      </c>
      <c r="G69" s="24" t="s">
        <v>423</v>
      </c>
      <c r="H69" s="313"/>
      <c r="I69" s="313"/>
      <c r="J69" s="555"/>
      <c r="K69" s="53" t="s">
        <v>493</v>
      </c>
      <c r="L69" s="54" t="s">
        <v>494</v>
      </c>
      <c r="M69" s="54" t="s">
        <v>494</v>
      </c>
      <c r="N69" s="54" t="s">
        <v>494</v>
      </c>
      <c r="O69" s="54"/>
      <c r="P69" s="54"/>
      <c r="Q69" s="54"/>
      <c r="R69" s="54" t="s">
        <v>26</v>
      </c>
      <c r="S69" s="54" t="s">
        <v>26</v>
      </c>
      <c r="T69" s="54"/>
      <c r="U69" s="54"/>
      <c r="V69" s="54"/>
      <c r="W69" s="54" t="s">
        <v>494</v>
      </c>
      <c r="X69" s="54" t="s">
        <v>494</v>
      </c>
      <c r="Y69" s="538" t="s">
        <v>707</v>
      </c>
      <c r="Z69" s="54"/>
      <c r="AA69" s="54"/>
      <c r="AB69" s="54" t="s">
        <v>546</v>
      </c>
      <c r="AC69" s="55"/>
    </row>
    <row r="70" spans="2:29" ht="39.950000000000003" customHeight="1">
      <c r="B70" s="9"/>
      <c r="C70" s="160"/>
      <c r="D70" s="150">
        <v>155</v>
      </c>
      <c r="E70" s="150" t="str">
        <f t="shared" ca="1" si="1"/>
        <v>B</v>
      </c>
      <c r="F70" s="150" t="s">
        <v>422</v>
      </c>
      <c r="G70" s="10" t="s">
        <v>424</v>
      </c>
      <c r="H70" s="313"/>
      <c r="I70" s="313"/>
      <c r="J70" s="555"/>
      <c r="K70" s="53"/>
      <c r="L70" s="54" t="s">
        <v>494</v>
      </c>
      <c r="M70" s="54" t="s">
        <v>494</v>
      </c>
      <c r="N70" s="54" t="s">
        <v>494</v>
      </c>
      <c r="O70" s="54"/>
      <c r="P70" s="54"/>
      <c r="Q70" s="54"/>
      <c r="R70" s="54" t="s">
        <v>26</v>
      </c>
      <c r="S70" s="54" t="s">
        <v>26</v>
      </c>
      <c r="T70" s="54"/>
      <c r="U70" s="54"/>
      <c r="V70" s="54"/>
      <c r="W70" s="54" t="s">
        <v>494</v>
      </c>
      <c r="X70" s="54" t="s">
        <v>494</v>
      </c>
      <c r="Y70" s="538" t="s">
        <v>707</v>
      </c>
      <c r="Z70" s="54"/>
      <c r="AA70" s="54"/>
      <c r="AB70" s="54" t="s">
        <v>546</v>
      </c>
      <c r="AC70" s="55"/>
    </row>
    <row r="71" spans="2:29" ht="39.950000000000003" customHeight="1">
      <c r="B71" s="9"/>
      <c r="C71" s="160"/>
      <c r="D71" s="150">
        <v>155</v>
      </c>
      <c r="E71" s="150" t="str">
        <f t="shared" ca="1" si="1"/>
        <v>C</v>
      </c>
      <c r="F71" s="150" t="s">
        <v>422</v>
      </c>
      <c r="G71" s="10" t="s">
        <v>425</v>
      </c>
      <c r="H71" s="313"/>
      <c r="I71" s="313"/>
      <c r="J71" s="555"/>
      <c r="K71" s="53"/>
      <c r="L71" s="54" t="s">
        <v>494</v>
      </c>
      <c r="M71" s="54" t="s">
        <v>494</v>
      </c>
      <c r="N71" s="54" t="s">
        <v>494</v>
      </c>
      <c r="O71" s="54"/>
      <c r="P71" s="54"/>
      <c r="Q71" s="54"/>
      <c r="R71" s="54" t="s">
        <v>26</v>
      </c>
      <c r="S71" s="54" t="s">
        <v>26</v>
      </c>
      <c r="T71" s="54"/>
      <c r="U71" s="54"/>
      <c r="V71" s="54"/>
      <c r="W71" s="54" t="s">
        <v>494</v>
      </c>
      <c r="X71" s="54" t="s">
        <v>494</v>
      </c>
      <c r="Y71" s="538" t="s">
        <v>707</v>
      </c>
      <c r="Z71" s="54"/>
      <c r="AA71" s="54"/>
      <c r="AB71" s="54" t="s">
        <v>546</v>
      </c>
      <c r="AC71" s="55"/>
    </row>
    <row r="72" spans="2:29" ht="39.950000000000003" customHeight="1">
      <c r="B72" s="9"/>
      <c r="C72" s="160"/>
      <c r="D72" s="150">
        <v>155</v>
      </c>
      <c r="E72" s="150" t="str">
        <f t="shared" ca="1" si="1"/>
        <v>D</v>
      </c>
      <c r="F72" s="150" t="s">
        <v>422</v>
      </c>
      <c r="G72" s="10" t="s">
        <v>426</v>
      </c>
      <c r="H72" s="313"/>
      <c r="I72" s="313"/>
      <c r="J72" s="555"/>
      <c r="K72" s="53"/>
      <c r="L72" s="54" t="s">
        <v>494</v>
      </c>
      <c r="M72" s="54" t="s">
        <v>494</v>
      </c>
      <c r="N72" s="54" t="s">
        <v>494</v>
      </c>
      <c r="O72" s="54"/>
      <c r="P72" s="54"/>
      <c r="Q72" s="54"/>
      <c r="R72" s="54" t="s">
        <v>26</v>
      </c>
      <c r="S72" s="54" t="s">
        <v>26</v>
      </c>
      <c r="T72" s="54"/>
      <c r="U72" s="54"/>
      <c r="V72" s="569"/>
      <c r="W72" s="54" t="s">
        <v>494</v>
      </c>
      <c r="X72" s="54" t="s">
        <v>494</v>
      </c>
      <c r="Y72" s="54" t="s">
        <v>495</v>
      </c>
      <c r="Z72" s="54"/>
      <c r="AA72" s="54"/>
      <c r="AB72" s="54" t="s">
        <v>546</v>
      </c>
      <c r="AC72" s="55"/>
    </row>
    <row r="73" spans="2:29" ht="39.950000000000003" customHeight="1">
      <c r="B73" s="9"/>
      <c r="C73" s="160"/>
      <c r="D73" s="150">
        <v>156</v>
      </c>
      <c r="E73" s="150" t="str">
        <f t="shared" ca="1" si="1"/>
        <v>A</v>
      </c>
      <c r="F73" s="150" t="s">
        <v>29</v>
      </c>
      <c r="G73" s="24" t="s">
        <v>427</v>
      </c>
      <c r="H73" s="313">
        <v>800</v>
      </c>
      <c r="I73" s="313">
        <v>3000</v>
      </c>
      <c r="J73" s="555">
        <v>0</v>
      </c>
      <c r="K73" s="53" t="s">
        <v>493</v>
      </c>
      <c r="L73" s="54" t="s">
        <v>494</v>
      </c>
      <c r="M73" s="54" t="s">
        <v>494</v>
      </c>
      <c r="N73" s="54" t="s">
        <v>494</v>
      </c>
      <c r="O73" s="54"/>
      <c r="P73" s="54"/>
      <c r="Q73" s="54"/>
      <c r="R73" s="54" t="s">
        <v>496</v>
      </c>
      <c r="S73" s="54" t="s">
        <v>497</v>
      </c>
      <c r="T73" s="54" t="s">
        <v>574</v>
      </c>
      <c r="U73" s="54" t="s">
        <v>574</v>
      </c>
      <c r="V73" s="538" t="s">
        <v>576</v>
      </c>
      <c r="W73" s="54" t="s">
        <v>493</v>
      </c>
      <c r="X73" s="54" t="s">
        <v>494</v>
      </c>
      <c r="Y73" s="54" t="s">
        <v>495</v>
      </c>
      <c r="Z73" s="54">
        <f>(INT((VLOOKUP(H73,données!$D$34:$G$40,2,FALSE)+VLOOKUP(H73,données!$D$34:$G$40,3,FALSE)+VLOOKUP(H73,données!$D$34:$G$40,4,FALSE)*(I73-2000)/1000)/50)+1)*50</f>
        <v>600</v>
      </c>
      <c r="AA73" s="54"/>
      <c r="AB73" s="54" t="s">
        <v>546</v>
      </c>
      <c r="AC73" s="592" t="s">
        <v>708</v>
      </c>
    </row>
    <row r="74" spans="2:29" ht="39.950000000000003" customHeight="1">
      <c r="B74" s="9"/>
      <c r="C74" s="160"/>
      <c r="D74" s="150">
        <v>157</v>
      </c>
      <c r="E74" s="150" t="str">
        <f t="shared" ca="1" si="1"/>
        <v>A</v>
      </c>
      <c r="F74" s="150" t="s">
        <v>29</v>
      </c>
      <c r="G74" s="24" t="s">
        <v>427</v>
      </c>
      <c r="H74" s="313">
        <v>800</v>
      </c>
      <c r="I74" s="313">
        <v>10000</v>
      </c>
      <c r="J74" s="555">
        <v>6</v>
      </c>
      <c r="K74" s="53" t="s">
        <v>493</v>
      </c>
      <c r="L74" s="54" t="s">
        <v>494</v>
      </c>
      <c r="M74" s="54" t="s">
        <v>494</v>
      </c>
      <c r="N74" s="54" t="s">
        <v>494</v>
      </c>
      <c r="O74" s="54"/>
      <c r="P74" s="54"/>
      <c r="Q74" s="54"/>
      <c r="R74" s="54" t="s">
        <v>496</v>
      </c>
      <c r="S74" s="54" t="s">
        <v>497</v>
      </c>
      <c r="T74" s="54" t="s">
        <v>577</v>
      </c>
      <c r="U74" s="54" t="s">
        <v>574</v>
      </c>
      <c r="V74" s="538" t="s">
        <v>697</v>
      </c>
      <c r="W74" s="54" t="s">
        <v>493</v>
      </c>
      <c r="X74" s="54" t="s">
        <v>494</v>
      </c>
      <c r="Y74" s="54" t="s">
        <v>495</v>
      </c>
      <c r="Z74" s="54">
        <f>(INT((VLOOKUP(H74,données!$D$34:$G$40,2,FALSE)+VLOOKUP(H74,données!$D$34:$G$40,3,FALSE)+VLOOKUP(H74,données!$D$34:$G$40,4,FALSE)*(I74-2000)/1000)/50)+1)*50</f>
        <v>1150</v>
      </c>
      <c r="AA74" s="54"/>
      <c r="AB74" s="54" t="s">
        <v>548</v>
      </c>
      <c r="AC74" s="592" t="s">
        <v>709</v>
      </c>
    </row>
    <row r="75" spans="2:29" ht="39.950000000000003" customHeight="1">
      <c r="B75" s="9"/>
      <c r="C75" s="160"/>
      <c r="D75" s="150">
        <v>158</v>
      </c>
      <c r="E75" s="150" t="str">
        <f t="shared" ca="1" si="1"/>
        <v>A</v>
      </c>
      <c r="F75" s="150" t="s">
        <v>29</v>
      </c>
      <c r="G75" s="24" t="s">
        <v>428</v>
      </c>
      <c r="H75" s="313">
        <v>1800</v>
      </c>
      <c r="I75" s="313">
        <v>4000</v>
      </c>
      <c r="J75" s="555">
        <v>12</v>
      </c>
      <c r="K75" s="53" t="s">
        <v>493</v>
      </c>
      <c r="L75" s="54" t="s">
        <v>494</v>
      </c>
      <c r="M75" s="54" t="s">
        <v>494</v>
      </c>
      <c r="N75" s="54" t="s">
        <v>494</v>
      </c>
      <c r="O75" s="54"/>
      <c r="P75" s="54"/>
      <c r="Q75" s="54"/>
      <c r="R75" s="54" t="s">
        <v>496</v>
      </c>
      <c r="S75" s="54" t="s">
        <v>498</v>
      </c>
      <c r="T75" s="54" t="s">
        <v>582</v>
      </c>
      <c r="U75" s="54" t="s">
        <v>577</v>
      </c>
      <c r="V75" s="54" t="s">
        <v>575</v>
      </c>
      <c r="W75" s="54" t="s">
        <v>493</v>
      </c>
      <c r="X75" s="54" t="s">
        <v>494</v>
      </c>
      <c r="Y75" s="54" t="s">
        <v>495</v>
      </c>
      <c r="Z75" s="54">
        <f>(INT((VLOOKUP(H75,données!$D$34:$G$40,2,FALSE)+VLOOKUP(H75,données!$D$34:$G$40,3,FALSE)+VLOOKUP(H75,données!$D$34:$G$40,4,FALSE)*(I75-2000)/1000)/50)+1)*50</f>
        <v>1100</v>
      </c>
      <c r="AA75" s="54"/>
      <c r="AB75" s="54" t="s">
        <v>548</v>
      </c>
      <c r="AC75" s="55"/>
    </row>
    <row r="76" spans="2:29" ht="39.950000000000003" customHeight="1">
      <c r="B76" s="606" t="s">
        <v>691</v>
      </c>
      <c r="C76" s="607"/>
      <c r="D76" s="608">
        <v>159</v>
      </c>
      <c r="E76" s="608" t="str">
        <f t="shared" ca="1" si="1"/>
        <v>A</v>
      </c>
      <c r="F76" s="608" t="s">
        <v>39</v>
      </c>
      <c r="G76" s="609" t="s">
        <v>429</v>
      </c>
      <c r="H76" s="610"/>
      <c r="I76" s="610"/>
      <c r="J76" s="611"/>
      <c r="K76" s="612" t="s">
        <v>493</v>
      </c>
      <c r="L76" s="613" t="s">
        <v>494</v>
      </c>
      <c r="M76" s="613" t="s">
        <v>494</v>
      </c>
      <c r="N76" s="613" t="s">
        <v>494</v>
      </c>
      <c r="O76" s="613"/>
      <c r="P76" s="613"/>
      <c r="Q76" s="613"/>
      <c r="R76" s="613" t="s">
        <v>26</v>
      </c>
      <c r="S76" s="613" t="s">
        <v>26</v>
      </c>
      <c r="T76" s="613"/>
      <c r="U76" s="613"/>
      <c r="V76" s="614"/>
      <c r="W76" s="613" t="s">
        <v>494</v>
      </c>
      <c r="X76" s="613" t="s">
        <v>494</v>
      </c>
      <c r="Y76" s="613" t="s">
        <v>495</v>
      </c>
      <c r="Z76" s="613"/>
      <c r="AA76" s="613"/>
      <c r="AB76" s="613" t="s">
        <v>546</v>
      </c>
      <c r="AC76" s="615"/>
    </row>
    <row r="77" spans="2:29" ht="39.950000000000003" customHeight="1">
      <c r="B77" s="9"/>
      <c r="C77" s="160"/>
      <c r="D77" s="150">
        <v>160</v>
      </c>
      <c r="E77" s="150" t="str">
        <f t="shared" ca="1" si="1"/>
        <v>A</v>
      </c>
      <c r="F77" s="150" t="s">
        <v>29</v>
      </c>
      <c r="G77" s="24" t="s">
        <v>430</v>
      </c>
      <c r="H77" s="313">
        <v>800</v>
      </c>
      <c r="I77" s="313">
        <v>5000</v>
      </c>
      <c r="J77" s="555">
        <v>0</v>
      </c>
      <c r="K77" s="53" t="s">
        <v>493</v>
      </c>
      <c r="L77" s="54" t="s">
        <v>494</v>
      </c>
      <c r="M77" s="54" t="s">
        <v>495</v>
      </c>
      <c r="N77" s="54" t="s">
        <v>494</v>
      </c>
      <c r="O77" s="54"/>
      <c r="P77" s="54"/>
      <c r="Q77" s="54"/>
      <c r="R77" s="54" t="s">
        <v>496</v>
      </c>
      <c r="S77" s="54" t="s">
        <v>498</v>
      </c>
      <c r="T77" s="570" t="s">
        <v>574</v>
      </c>
      <c r="U77" s="570" t="s">
        <v>574</v>
      </c>
      <c r="V77" s="54" t="s">
        <v>590</v>
      </c>
      <c r="W77" s="54" t="s">
        <v>572</v>
      </c>
      <c r="X77" s="54" t="s">
        <v>494</v>
      </c>
      <c r="Y77" s="54" t="s">
        <v>494</v>
      </c>
      <c r="Z77" s="54">
        <f>(INT((VLOOKUP(H77,données!$D$34:$G$40,2,FALSE)+VLOOKUP(H77,données!$D$34:$G$40,3,FALSE)+VLOOKUP(H77,données!$D$34:$G$40,4,FALSE)*(I77-2000)/1000)/50)+1)*50</f>
        <v>750</v>
      </c>
      <c r="AA77" s="54"/>
      <c r="AB77" s="54" t="s">
        <v>546</v>
      </c>
      <c r="AC77" s="55"/>
    </row>
    <row r="78" spans="2:29" ht="39.950000000000003" customHeight="1">
      <c r="B78" s="9"/>
      <c r="C78" s="160"/>
      <c r="D78" s="150">
        <v>161</v>
      </c>
      <c r="E78" s="150" t="str">
        <f t="shared" ca="1" si="1"/>
        <v>A</v>
      </c>
      <c r="F78" s="150" t="s">
        <v>96</v>
      </c>
      <c r="G78" s="24" t="s">
        <v>431</v>
      </c>
      <c r="H78" s="313"/>
      <c r="I78" s="313"/>
      <c r="J78" s="555"/>
      <c r="K78" s="53" t="s">
        <v>493</v>
      </c>
      <c r="L78" s="54" t="s">
        <v>494</v>
      </c>
      <c r="M78" s="54" t="s">
        <v>494</v>
      </c>
      <c r="N78" s="54" t="s">
        <v>494</v>
      </c>
      <c r="O78" s="54"/>
      <c r="P78" s="54"/>
      <c r="Q78" s="54"/>
      <c r="R78" s="54" t="s">
        <v>26</v>
      </c>
      <c r="S78" s="54" t="s">
        <v>498</v>
      </c>
      <c r="T78" s="54"/>
      <c r="U78" s="54"/>
      <c r="V78" s="569"/>
      <c r="W78" s="54" t="s">
        <v>494</v>
      </c>
      <c r="X78" s="54" t="s">
        <v>494</v>
      </c>
      <c r="Y78" s="54" t="s">
        <v>494</v>
      </c>
      <c r="Z78" s="54"/>
      <c r="AA78" s="54"/>
      <c r="AB78" s="54" t="s">
        <v>546</v>
      </c>
      <c r="AC78" s="55"/>
    </row>
    <row r="79" spans="2:29" ht="39.950000000000003" customHeight="1">
      <c r="B79" s="9"/>
      <c r="C79" s="160"/>
      <c r="D79" s="150">
        <v>162</v>
      </c>
      <c r="E79" s="150" t="str">
        <f t="shared" ca="1" si="1"/>
        <v>A</v>
      </c>
      <c r="F79" s="150" t="s">
        <v>29</v>
      </c>
      <c r="G79" s="24" t="s">
        <v>432</v>
      </c>
      <c r="H79" s="313">
        <v>1000</v>
      </c>
      <c r="I79" s="313">
        <v>15500</v>
      </c>
      <c r="J79" s="555">
        <v>0</v>
      </c>
      <c r="K79" s="53" t="s">
        <v>493</v>
      </c>
      <c r="L79" s="54" t="s">
        <v>494</v>
      </c>
      <c r="M79" s="54" t="s">
        <v>494</v>
      </c>
      <c r="N79" s="54" t="s">
        <v>730</v>
      </c>
      <c r="O79" s="54"/>
      <c r="P79" s="54"/>
      <c r="Q79" s="54"/>
      <c r="R79" s="54" t="s">
        <v>496</v>
      </c>
      <c r="S79" s="54" t="s">
        <v>498</v>
      </c>
      <c r="T79" s="54" t="s">
        <v>582</v>
      </c>
      <c r="U79" s="54" t="s">
        <v>582</v>
      </c>
      <c r="V79" s="54" t="s">
        <v>575</v>
      </c>
      <c r="W79" s="54" t="s">
        <v>493</v>
      </c>
      <c r="X79" s="54" t="s">
        <v>494</v>
      </c>
      <c r="Y79" s="54" t="s">
        <v>495</v>
      </c>
      <c r="Z79" s="54">
        <f>(INT((VLOOKUP(H79,données!$D$34:$G$40,2,FALSE)+VLOOKUP(H79,données!$D$34:$G$40,3,FALSE)+VLOOKUP(H79,données!$D$34:$G$40,4,FALSE)*(I79-2000)/1000)/50)+1)*50</f>
        <v>1800</v>
      </c>
      <c r="AA79" s="54"/>
      <c r="AB79" s="54" t="s">
        <v>566</v>
      </c>
      <c r="AC79" s="55"/>
    </row>
    <row r="80" spans="2:29" ht="39.950000000000003" customHeight="1">
      <c r="B80" s="9"/>
      <c r="C80" s="160"/>
      <c r="D80" s="150">
        <v>163</v>
      </c>
      <c r="E80" s="150" t="str">
        <f t="shared" ca="1" si="1"/>
        <v>A</v>
      </c>
      <c r="F80" s="150" t="s">
        <v>29</v>
      </c>
      <c r="G80" s="24" t="s">
        <v>433</v>
      </c>
      <c r="H80" s="313">
        <v>1000</v>
      </c>
      <c r="I80" s="313">
        <v>4000</v>
      </c>
      <c r="J80" s="555">
        <v>15</v>
      </c>
      <c r="K80" s="53" t="s">
        <v>493</v>
      </c>
      <c r="L80" s="54" t="s">
        <v>494</v>
      </c>
      <c r="M80" s="54" t="s">
        <v>494</v>
      </c>
      <c r="N80" s="54" t="s">
        <v>730</v>
      </c>
      <c r="O80" s="54"/>
      <c r="P80" s="54"/>
      <c r="Q80" s="54"/>
      <c r="R80" s="54" t="s">
        <v>496</v>
      </c>
      <c r="S80" s="54" t="s">
        <v>497</v>
      </c>
      <c r="T80" s="54" t="s">
        <v>710</v>
      </c>
      <c r="U80" s="54" t="s">
        <v>476</v>
      </c>
      <c r="V80" s="54" t="s">
        <v>579</v>
      </c>
      <c r="W80" s="54" t="s">
        <v>493</v>
      </c>
      <c r="X80" s="54" t="s">
        <v>494</v>
      </c>
      <c r="Y80" s="54" t="s">
        <v>495</v>
      </c>
      <c r="Z80" s="54">
        <f>(INT((VLOOKUP(H80,données!$D$34:$G$40,2,FALSE)+VLOOKUP(H80,données!$D$34:$G$40,3,FALSE)+VLOOKUP(H80,données!$D$34:$G$40,4,FALSE)*(I80-2000)/1000)/50)+1)*50</f>
        <v>750</v>
      </c>
      <c r="AA80" s="54"/>
      <c r="AB80" s="54" t="s">
        <v>566</v>
      </c>
      <c r="AC80" s="592" t="s">
        <v>706</v>
      </c>
    </row>
    <row r="81" spans="2:29" ht="39.950000000000003" customHeight="1">
      <c r="B81" s="9"/>
      <c r="C81" s="160"/>
      <c r="D81" s="150">
        <v>164</v>
      </c>
      <c r="E81" s="150" t="str">
        <f t="shared" ca="1" si="1"/>
        <v>A</v>
      </c>
      <c r="F81" s="150" t="s">
        <v>29</v>
      </c>
      <c r="G81" s="24" t="s">
        <v>434</v>
      </c>
      <c r="H81" s="313">
        <v>1000</v>
      </c>
      <c r="I81" s="313">
        <v>11500</v>
      </c>
      <c r="J81" s="555">
        <v>25</v>
      </c>
      <c r="K81" s="53" t="s">
        <v>493</v>
      </c>
      <c r="L81" s="54" t="s">
        <v>494</v>
      </c>
      <c r="M81" s="54" t="s">
        <v>494</v>
      </c>
      <c r="N81" s="54" t="s">
        <v>730</v>
      </c>
      <c r="O81" s="54"/>
      <c r="P81" s="54">
        <v>25</v>
      </c>
      <c r="Q81" s="54"/>
      <c r="R81" s="54" t="s">
        <v>496</v>
      </c>
      <c r="S81" s="54" t="s">
        <v>498</v>
      </c>
      <c r="T81" s="54" t="s">
        <v>574</v>
      </c>
      <c r="U81" s="54" t="s">
        <v>476</v>
      </c>
      <c r="V81" s="538" t="s">
        <v>579</v>
      </c>
      <c r="W81" s="54" t="s">
        <v>642</v>
      </c>
      <c r="X81" s="54" t="s">
        <v>494</v>
      </c>
      <c r="Y81" s="54" t="s">
        <v>495</v>
      </c>
      <c r="Z81" s="54">
        <f>(INT((VLOOKUP(H81,données!$D$34:$G$40,2,FALSE)+VLOOKUP(H81,données!$D$34:$G$40,3,FALSE)+VLOOKUP(H81,données!$D$34:$G$40,4,FALSE)*(I81-2000)/1000)/50)+1)*50</f>
        <v>1400</v>
      </c>
      <c r="AA81" s="54"/>
      <c r="AB81" s="54" t="s">
        <v>566</v>
      </c>
      <c r="AC81" s="592" t="s">
        <v>695</v>
      </c>
    </row>
    <row r="82" spans="2:29" ht="39.950000000000003" customHeight="1">
      <c r="B82" s="9"/>
      <c r="C82" s="160"/>
      <c r="D82" s="150">
        <v>165</v>
      </c>
      <c r="E82" s="150" t="str">
        <f t="shared" ca="1" si="1"/>
        <v>A</v>
      </c>
      <c r="F82" s="150" t="s">
        <v>29</v>
      </c>
      <c r="G82" s="24" t="s">
        <v>435</v>
      </c>
      <c r="H82" s="313">
        <v>1000</v>
      </c>
      <c r="I82" s="313">
        <v>3000</v>
      </c>
      <c r="J82" s="555">
        <v>0</v>
      </c>
      <c r="K82" s="53" t="s">
        <v>493</v>
      </c>
      <c r="L82" s="54" t="s">
        <v>494</v>
      </c>
      <c r="M82" s="54" t="s">
        <v>495</v>
      </c>
      <c r="N82" s="54" t="s">
        <v>730</v>
      </c>
      <c r="O82" s="54"/>
      <c r="P82" s="54"/>
      <c r="Q82" s="54"/>
      <c r="R82" s="54" t="s">
        <v>496</v>
      </c>
      <c r="S82" s="54" t="s">
        <v>498</v>
      </c>
      <c r="T82" s="54" t="s">
        <v>577</v>
      </c>
      <c r="U82" s="570" t="s">
        <v>574</v>
      </c>
      <c r="V82" s="54" t="s">
        <v>589</v>
      </c>
      <c r="W82" s="54" t="s">
        <v>572</v>
      </c>
      <c r="X82" s="54" t="s">
        <v>494</v>
      </c>
      <c r="Y82" s="54" t="s">
        <v>494</v>
      </c>
      <c r="Z82" s="54">
        <f>(INT((VLOOKUP(H82,données!$D$34:$G$40,2,FALSE)+VLOOKUP(H82,données!$D$34:$G$40,3,FALSE)+VLOOKUP(H82,données!$D$34:$G$40,4,FALSE)*(I82-2000)/1000)/50)+1)*50</f>
        <v>650</v>
      </c>
      <c r="AA82" s="54"/>
      <c r="AB82" s="54" t="s">
        <v>566</v>
      </c>
      <c r="AC82" s="55"/>
    </row>
    <row r="83" spans="2:29" ht="39.950000000000003" customHeight="1">
      <c r="B83" s="9"/>
      <c r="C83" s="160"/>
      <c r="D83" s="150">
        <v>166</v>
      </c>
      <c r="E83" s="150" t="str">
        <f t="shared" ca="1" si="1"/>
        <v>A</v>
      </c>
      <c r="F83" s="150" t="s">
        <v>436</v>
      </c>
      <c r="G83" s="24" t="s">
        <v>437</v>
      </c>
      <c r="H83" s="313"/>
      <c r="I83" s="313"/>
      <c r="J83" s="555"/>
      <c r="K83" s="53"/>
      <c r="L83" s="54" t="s">
        <v>494</v>
      </c>
      <c r="M83" s="54" t="s">
        <v>494</v>
      </c>
      <c r="N83" s="54" t="s">
        <v>494</v>
      </c>
      <c r="O83" s="54"/>
      <c r="P83" s="54"/>
      <c r="Q83" s="54"/>
      <c r="R83" s="54" t="s">
        <v>26</v>
      </c>
      <c r="S83" s="54" t="s">
        <v>26</v>
      </c>
      <c r="T83" s="54"/>
      <c r="U83" s="54"/>
      <c r="V83" s="54"/>
      <c r="W83" s="54" t="s">
        <v>494</v>
      </c>
      <c r="X83" s="54" t="s">
        <v>494</v>
      </c>
      <c r="Y83" s="54" t="s">
        <v>495</v>
      </c>
      <c r="Z83" s="54"/>
      <c r="AA83" s="54"/>
      <c r="AB83" s="54"/>
      <c r="AC83" s="55"/>
    </row>
    <row r="84" spans="2:29" ht="39.950000000000003" customHeight="1">
      <c r="B84" s="9"/>
      <c r="C84" s="160"/>
      <c r="D84" s="150">
        <v>166</v>
      </c>
      <c r="E84" s="150" t="str">
        <f t="shared" ca="1" si="1"/>
        <v>B</v>
      </c>
      <c r="F84" s="150" t="s">
        <v>436</v>
      </c>
      <c r="G84" s="24" t="s">
        <v>438</v>
      </c>
      <c r="H84" s="313"/>
      <c r="I84" s="313"/>
      <c r="J84" s="555"/>
      <c r="K84" s="53"/>
      <c r="L84" s="54" t="s">
        <v>494</v>
      </c>
      <c r="M84" s="54" t="s">
        <v>494</v>
      </c>
      <c r="N84" s="54" t="s">
        <v>494</v>
      </c>
      <c r="O84" s="54"/>
      <c r="P84" s="54"/>
      <c r="Q84" s="54"/>
      <c r="R84" s="54" t="s">
        <v>26</v>
      </c>
      <c r="S84" s="54" t="s">
        <v>26</v>
      </c>
      <c r="T84" s="54"/>
      <c r="U84" s="54"/>
      <c r="V84" s="54"/>
      <c r="W84" s="54" t="s">
        <v>494</v>
      </c>
      <c r="X84" s="54" t="s">
        <v>494</v>
      </c>
      <c r="Y84" s="54" t="s">
        <v>495</v>
      </c>
      <c r="Z84" s="54"/>
      <c r="AA84" s="54"/>
      <c r="AB84" s="54"/>
      <c r="AC84" s="55"/>
    </row>
    <row r="85" spans="2:29" ht="39.950000000000003" customHeight="1">
      <c r="B85" s="9"/>
      <c r="C85" s="160"/>
      <c r="D85" s="150">
        <v>166</v>
      </c>
      <c r="E85" s="150" t="str">
        <f t="shared" ca="1" si="1"/>
        <v>C</v>
      </c>
      <c r="F85" s="150" t="s">
        <v>436</v>
      </c>
      <c r="G85" s="24" t="s">
        <v>439</v>
      </c>
      <c r="H85" s="313"/>
      <c r="I85" s="313"/>
      <c r="J85" s="555"/>
      <c r="K85" s="53"/>
      <c r="L85" s="54" t="s">
        <v>494</v>
      </c>
      <c r="M85" s="54" t="s">
        <v>494</v>
      </c>
      <c r="N85" s="54" t="s">
        <v>494</v>
      </c>
      <c r="O85" s="54"/>
      <c r="P85" s="54"/>
      <c r="Q85" s="54"/>
      <c r="R85" s="54" t="s">
        <v>26</v>
      </c>
      <c r="S85" s="54" t="s">
        <v>26</v>
      </c>
      <c r="T85" s="54"/>
      <c r="U85" s="54"/>
      <c r="V85" s="54"/>
      <c r="W85" s="54" t="s">
        <v>494</v>
      </c>
      <c r="X85" s="54" t="s">
        <v>494</v>
      </c>
      <c r="Y85" s="54" t="s">
        <v>495</v>
      </c>
      <c r="Z85" s="54"/>
      <c r="AA85" s="54"/>
      <c r="AB85" s="54"/>
      <c r="AC85" s="55"/>
    </row>
    <row r="86" spans="2:29" ht="39.950000000000003" customHeight="1">
      <c r="B86" s="9"/>
      <c r="C86" s="160"/>
      <c r="D86" s="150">
        <v>167</v>
      </c>
      <c r="E86" s="150" t="str">
        <f t="shared" ca="1" si="1"/>
        <v>A</v>
      </c>
      <c r="F86" s="150" t="s">
        <v>440</v>
      </c>
      <c r="G86" s="24" t="s">
        <v>441</v>
      </c>
      <c r="H86" s="313"/>
      <c r="I86" s="313"/>
      <c r="J86" s="555"/>
      <c r="K86" s="53"/>
      <c r="L86" s="54" t="s">
        <v>494</v>
      </c>
      <c r="M86" s="54" t="s">
        <v>494</v>
      </c>
      <c r="N86" s="54" t="s">
        <v>494</v>
      </c>
      <c r="O86" s="54"/>
      <c r="P86" s="54"/>
      <c r="Q86" s="54"/>
      <c r="R86" s="54" t="s">
        <v>26</v>
      </c>
      <c r="S86" s="54" t="s">
        <v>26</v>
      </c>
      <c r="T86" s="54"/>
      <c r="U86" s="54"/>
      <c r="V86" s="54"/>
      <c r="W86" s="54" t="s">
        <v>494</v>
      </c>
      <c r="X86" s="54" t="s">
        <v>494</v>
      </c>
      <c r="Y86" s="54" t="s">
        <v>495</v>
      </c>
      <c r="Z86" s="54"/>
      <c r="AA86" s="54"/>
      <c r="AB86" s="54"/>
      <c r="AC86" s="55"/>
    </row>
    <row r="87" spans="2:29" ht="39.950000000000003" customHeight="1">
      <c r="B87" s="606" t="s">
        <v>691</v>
      </c>
      <c r="C87" s="607"/>
      <c r="D87" s="608">
        <v>168</v>
      </c>
      <c r="E87" s="608" t="str">
        <f t="shared" ca="1" si="1"/>
        <v>A</v>
      </c>
      <c r="F87" s="608" t="s">
        <v>442</v>
      </c>
      <c r="G87" s="609" t="s">
        <v>443</v>
      </c>
      <c r="H87" s="610"/>
      <c r="I87" s="610"/>
      <c r="J87" s="611"/>
      <c r="K87" s="612"/>
      <c r="L87" s="613" t="s">
        <v>494</v>
      </c>
      <c r="M87" s="613" t="s">
        <v>494</v>
      </c>
      <c r="N87" s="613" t="s">
        <v>494</v>
      </c>
      <c r="O87" s="613"/>
      <c r="P87" s="613"/>
      <c r="Q87" s="613"/>
      <c r="R87" s="613" t="s">
        <v>26</v>
      </c>
      <c r="S87" s="613" t="s">
        <v>26</v>
      </c>
      <c r="T87" s="613"/>
      <c r="U87" s="613"/>
      <c r="V87" s="613"/>
      <c r="W87" s="613" t="s">
        <v>494</v>
      </c>
      <c r="X87" s="613" t="s">
        <v>494</v>
      </c>
      <c r="Y87" s="613" t="s">
        <v>707</v>
      </c>
      <c r="Z87" s="613"/>
      <c r="AA87" s="613"/>
      <c r="AB87" s="613"/>
      <c r="AC87" s="615"/>
    </row>
    <row r="88" spans="2:29" ht="39.950000000000003" customHeight="1">
      <c r="B88" s="606" t="s">
        <v>691</v>
      </c>
      <c r="C88" s="607"/>
      <c r="D88" s="608">
        <v>169</v>
      </c>
      <c r="E88" s="608" t="str">
        <f t="shared" ca="1" si="1"/>
        <v>A</v>
      </c>
      <c r="F88" s="608" t="s">
        <v>442</v>
      </c>
      <c r="G88" s="609" t="s">
        <v>444</v>
      </c>
      <c r="H88" s="610"/>
      <c r="I88" s="610"/>
      <c r="J88" s="611"/>
      <c r="K88" s="612"/>
      <c r="L88" s="613" t="s">
        <v>494</v>
      </c>
      <c r="M88" s="613" t="s">
        <v>494</v>
      </c>
      <c r="N88" s="613" t="s">
        <v>494</v>
      </c>
      <c r="O88" s="613"/>
      <c r="P88" s="613"/>
      <c r="Q88" s="613"/>
      <c r="R88" s="613" t="s">
        <v>26</v>
      </c>
      <c r="S88" s="613" t="s">
        <v>26</v>
      </c>
      <c r="T88" s="613"/>
      <c r="U88" s="613"/>
      <c r="V88" s="613"/>
      <c r="W88" s="613" t="s">
        <v>494</v>
      </c>
      <c r="X88" s="613" t="s">
        <v>494</v>
      </c>
      <c r="Y88" s="613" t="s">
        <v>707</v>
      </c>
      <c r="Z88" s="613"/>
      <c r="AA88" s="613"/>
      <c r="AB88" s="613"/>
      <c r="AC88" s="615"/>
    </row>
    <row r="89" spans="2:29" ht="39.950000000000003" customHeight="1">
      <c r="B89" s="9"/>
      <c r="C89" s="160"/>
      <c r="D89" s="150">
        <v>170</v>
      </c>
      <c r="E89" s="150" t="str">
        <f t="shared" ca="1" si="1"/>
        <v>A</v>
      </c>
      <c r="F89" s="150" t="s">
        <v>445</v>
      </c>
      <c r="G89" s="24" t="s">
        <v>446</v>
      </c>
      <c r="H89" s="313"/>
      <c r="I89" s="313"/>
      <c r="J89" s="555"/>
      <c r="K89" s="53"/>
      <c r="L89" s="54" t="s">
        <v>494</v>
      </c>
      <c r="M89" s="54" t="s">
        <v>494</v>
      </c>
      <c r="N89" s="54" t="s">
        <v>494</v>
      </c>
      <c r="O89" s="54"/>
      <c r="P89" s="54"/>
      <c r="Q89" s="54"/>
      <c r="R89" s="54" t="s">
        <v>26</v>
      </c>
      <c r="S89" s="54" t="s">
        <v>26</v>
      </c>
      <c r="T89" s="54"/>
      <c r="U89" s="54"/>
      <c r="V89" s="569"/>
      <c r="W89" s="54" t="s">
        <v>494</v>
      </c>
      <c r="X89" s="54" t="s">
        <v>494</v>
      </c>
      <c r="Y89" s="54" t="s">
        <v>495</v>
      </c>
      <c r="Z89" s="54"/>
      <c r="AA89" s="54"/>
      <c r="AB89" s="54"/>
      <c r="AC89" s="55"/>
    </row>
    <row r="90" spans="2:29" ht="39.950000000000003" customHeight="1">
      <c r="B90" s="9"/>
      <c r="C90" s="160"/>
      <c r="D90" s="150">
        <v>172</v>
      </c>
      <c r="E90" s="150" t="str">
        <f t="shared" ca="1" si="1"/>
        <v>A</v>
      </c>
      <c r="F90" s="150" t="s">
        <v>24</v>
      </c>
      <c r="G90" s="24" t="s">
        <v>447</v>
      </c>
      <c r="H90" s="313">
        <v>1000</v>
      </c>
      <c r="I90" s="313">
        <v>18250</v>
      </c>
      <c r="J90" s="555">
        <v>12</v>
      </c>
      <c r="K90" s="53" t="s">
        <v>493</v>
      </c>
      <c r="L90" s="54" t="s">
        <v>494</v>
      </c>
      <c r="M90" s="54" t="s">
        <v>495</v>
      </c>
      <c r="N90" s="54" t="s">
        <v>494</v>
      </c>
      <c r="O90" s="54"/>
      <c r="P90" s="54"/>
      <c r="Q90" s="54"/>
      <c r="R90" s="54" t="s">
        <v>496</v>
      </c>
      <c r="S90" s="54" t="s">
        <v>498</v>
      </c>
      <c r="T90" s="54" t="s">
        <v>577</v>
      </c>
      <c r="U90" s="54" t="s">
        <v>578</v>
      </c>
      <c r="V90" s="54" t="s">
        <v>579</v>
      </c>
      <c r="W90" s="54" t="s">
        <v>647</v>
      </c>
      <c r="X90" s="54" t="s">
        <v>565</v>
      </c>
      <c r="Y90" s="54" t="s">
        <v>494</v>
      </c>
      <c r="Z90" s="54"/>
      <c r="AA90" s="54"/>
      <c r="AB90" s="54" t="s">
        <v>548</v>
      </c>
      <c r="AC90" s="592" t="s">
        <v>711</v>
      </c>
    </row>
    <row r="91" spans="2:29" ht="39.950000000000003" customHeight="1">
      <c r="B91" s="9"/>
      <c r="C91" s="160"/>
      <c r="D91" s="150">
        <v>173</v>
      </c>
      <c r="E91" s="150" t="str">
        <f t="shared" ca="1" si="1"/>
        <v>A</v>
      </c>
      <c r="F91" s="150" t="s">
        <v>24</v>
      </c>
      <c r="G91" s="24" t="s">
        <v>448</v>
      </c>
      <c r="H91" s="313">
        <v>1000</v>
      </c>
      <c r="I91" s="313">
        <v>12750</v>
      </c>
      <c r="J91" s="555">
        <v>18</v>
      </c>
      <c r="K91" s="53" t="s">
        <v>493</v>
      </c>
      <c r="L91" s="54" t="s">
        <v>494</v>
      </c>
      <c r="M91" s="54" t="s">
        <v>494</v>
      </c>
      <c r="N91" s="54" t="s">
        <v>494</v>
      </c>
      <c r="O91" s="54"/>
      <c r="P91" s="54"/>
      <c r="Q91" s="54"/>
      <c r="R91" s="54" t="s">
        <v>496</v>
      </c>
      <c r="S91" s="54" t="s">
        <v>497</v>
      </c>
      <c r="T91" s="54" t="s">
        <v>577</v>
      </c>
      <c r="U91" s="54" t="s">
        <v>476</v>
      </c>
      <c r="V91" s="54" t="s">
        <v>575</v>
      </c>
      <c r="W91" s="54" t="s">
        <v>647</v>
      </c>
      <c r="X91" s="54" t="s">
        <v>565</v>
      </c>
      <c r="Y91" s="54" t="s">
        <v>495</v>
      </c>
      <c r="Z91" s="54"/>
      <c r="AA91" s="54"/>
      <c r="AB91" s="54" t="s">
        <v>548</v>
      </c>
      <c r="AC91" s="592" t="s">
        <v>711</v>
      </c>
    </row>
    <row r="92" spans="2:29" ht="39.950000000000003" customHeight="1">
      <c r="B92" s="9"/>
      <c r="C92" s="160"/>
      <c r="D92" s="150">
        <v>174</v>
      </c>
      <c r="E92" s="150" t="str">
        <f t="shared" ca="1" si="1"/>
        <v>A</v>
      </c>
      <c r="F92" s="150" t="s">
        <v>24</v>
      </c>
      <c r="G92" s="24" t="s">
        <v>449</v>
      </c>
      <c r="H92" s="313">
        <v>1000</v>
      </c>
      <c r="I92" s="313">
        <v>7250</v>
      </c>
      <c r="J92" s="555">
        <v>15</v>
      </c>
      <c r="K92" s="53" t="s">
        <v>493</v>
      </c>
      <c r="L92" s="54" t="s">
        <v>494</v>
      </c>
      <c r="M92" s="54" t="s">
        <v>494</v>
      </c>
      <c r="N92" s="54" t="s">
        <v>494</v>
      </c>
      <c r="O92" s="54"/>
      <c r="P92" s="54"/>
      <c r="Q92" s="54"/>
      <c r="R92" s="54" t="s">
        <v>496</v>
      </c>
      <c r="S92" s="538" t="s">
        <v>497</v>
      </c>
      <c r="T92" s="54" t="s">
        <v>577</v>
      </c>
      <c r="U92" s="54" t="s">
        <v>577</v>
      </c>
      <c r="V92" s="54" t="s">
        <v>579</v>
      </c>
      <c r="W92" s="54" t="s">
        <v>647</v>
      </c>
      <c r="X92" s="54" t="s">
        <v>565</v>
      </c>
      <c r="Y92" s="54" t="s">
        <v>495</v>
      </c>
      <c r="Z92" s="54"/>
      <c r="AA92" s="54"/>
      <c r="AB92" s="54" t="s">
        <v>548</v>
      </c>
      <c r="AC92" s="55"/>
    </row>
    <row r="93" spans="2:29" ht="39.950000000000003" customHeight="1">
      <c r="B93" s="9"/>
      <c r="C93" s="160"/>
      <c r="D93" s="150">
        <v>175</v>
      </c>
      <c r="E93" s="150" t="str">
        <f t="shared" ca="1" si="1"/>
        <v>A</v>
      </c>
      <c r="F93" s="150" t="s">
        <v>39</v>
      </c>
      <c r="G93" s="24" t="s">
        <v>450</v>
      </c>
      <c r="H93" s="313"/>
      <c r="I93" s="313"/>
      <c r="J93" s="555"/>
      <c r="K93" s="53" t="s">
        <v>493</v>
      </c>
      <c r="L93" s="54" t="s">
        <v>494</v>
      </c>
      <c r="M93" s="54" t="s">
        <v>494</v>
      </c>
      <c r="N93" s="54" t="s">
        <v>494</v>
      </c>
      <c r="O93" s="54"/>
      <c r="P93" s="54"/>
      <c r="Q93" s="54"/>
      <c r="R93" s="54" t="s">
        <v>26</v>
      </c>
      <c r="S93" s="54" t="s">
        <v>26</v>
      </c>
      <c r="T93" s="54"/>
      <c r="U93" s="54"/>
      <c r="V93" s="54"/>
      <c r="W93" s="54" t="s">
        <v>494</v>
      </c>
      <c r="X93" s="54" t="s">
        <v>494</v>
      </c>
      <c r="Y93" s="54" t="s">
        <v>495</v>
      </c>
      <c r="Z93" s="54"/>
      <c r="AA93" s="54"/>
      <c r="AB93" s="54" t="s">
        <v>548</v>
      </c>
      <c r="AC93" s="55"/>
    </row>
    <row r="94" spans="2:29" ht="39.950000000000003" customHeight="1">
      <c r="B94" s="606" t="s">
        <v>691</v>
      </c>
      <c r="C94" s="607"/>
      <c r="D94" s="608">
        <v>176</v>
      </c>
      <c r="E94" s="608" t="str">
        <f t="shared" ca="1" si="1"/>
        <v>A</v>
      </c>
      <c r="F94" s="608" t="s">
        <v>380</v>
      </c>
      <c r="G94" s="609" t="s">
        <v>451</v>
      </c>
      <c r="H94" s="610"/>
      <c r="I94" s="610"/>
      <c r="J94" s="611"/>
      <c r="K94" s="612" t="s">
        <v>493</v>
      </c>
      <c r="L94" s="613" t="s">
        <v>494</v>
      </c>
      <c r="M94" s="613" t="s">
        <v>494</v>
      </c>
      <c r="N94" s="613" t="s">
        <v>494</v>
      </c>
      <c r="O94" s="613"/>
      <c r="P94" s="613"/>
      <c r="Q94" s="613"/>
      <c r="R94" s="613" t="s">
        <v>26</v>
      </c>
      <c r="S94" s="613" t="s">
        <v>26</v>
      </c>
      <c r="T94" s="613"/>
      <c r="U94" s="613"/>
      <c r="V94" s="614"/>
      <c r="W94" s="613" t="s">
        <v>494</v>
      </c>
      <c r="X94" s="613" t="s">
        <v>494</v>
      </c>
      <c r="Y94" s="613" t="s">
        <v>707</v>
      </c>
      <c r="Z94" s="613"/>
      <c r="AA94" s="613"/>
      <c r="AB94" s="613" t="s">
        <v>548</v>
      </c>
      <c r="AC94" s="615"/>
    </row>
    <row r="95" spans="2:29" ht="39.950000000000003" customHeight="1">
      <c r="B95" s="9"/>
      <c r="C95" s="160"/>
      <c r="D95" s="150">
        <v>177</v>
      </c>
      <c r="E95" s="150" t="str">
        <f t="shared" ca="1" si="1"/>
        <v>A</v>
      </c>
      <c r="F95" s="150" t="s">
        <v>36</v>
      </c>
      <c r="G95" s="24" t="s">
        <v>452</v>
      </c>
      <c r="H95" s="313">
        <v>1600</v>
      </c>
      <c r="I95" s="313">
        <v>11500</v>
      </c>
      <c r="J95" s="555">
        <v>8</v>
      </c>
      <c r="K95" s="53" t="s">
        <v>493</v>
      </c>
      <c r="L95" s="54" t="s">
        <v>494</v>
      </c>
      <c r="M95" s="54" t="s">
        <v>494</v>
      </c>
      <c r="N95" s="54" t="s">
        <v>495</v>
      </c>
      <c r="O95" s="54"/>
      <c r="P95" s="54"/>
      <c r="Q95" s="54"/>
      <c r="R95" s="54" t="s">
        <v>496</v>
      </c>
      <c r="S95" s="54" t="s">
        <v>498</v>
      </c>
      <c r="T95" s="538" t="s">
        <v>578</v>
      </c>
      <c r="U95" s="54" t="s">
        <v>476</v>
      </c>
      <c r="V95" s="538" t="s">
        <v>697</v>
      </c>
      <c r="W95" s="54" t="s">
        <v>494</v>
      </c>
      <c r="X95" s="54" t="s">
        <v>494</v>
      </c>
      <c r="Y95" s="54" t="s">
        <v>495</v>
      </c>
      <c r="Z95" s="54"/>
      <c r="AA95" s="54"/>
      <c r="AB95" s="54" t="s">
        <v>548</v>
      </c>
      <c r="AC95" s="55"/>
    </row>
    <row r="96" spans="2:29" ht="39.950000000000003" customHeight="1">
      <c r="B96" s="9"/>
      <c r="C96" s="160"/>
      <c r="D96" s="150">
        <v>177</v>
      </c>
      <c r="E96" s="150" t="str">
        <f t="shared" ca="1" si="1"/>
        <v>B</v>
      </c>
      <c r="F96" s="150" t="s">
        <v>367</v>
      </c>
      <c r="G96" s="24" t="s">
        <v>368</v>
      </c>
      <c r="H96" s="313"/>
      <c r="I96" s="313"/>
      <c r="J96" s="555"/>
      <c r="K96" s="53"/>
      <c r="L96" s="54" t="s">
        <v>494</v>
      </c>
      <c r="M96" s="54" t="s">
        <v>494</v>
      </c>
      <c r="N96" s="54" t="s">
        <v>494</v>
      </c>
      <c r="O96" s="54"/>
      <c r="P96" s="54"/>
      <c r="Q96" s="54"/>
      <c r="R96" s="54" t="s">
        <v>26</v>
      </c>
      <c r="S96" s="54" t="s">
        <v>26</v>
      </c>
      <c r="T96" s="54"/>
      <c r="U96" s="54"/>
      <c r="V96" s="54"/>
      <c r="W96" s="54" t="s">
        <v>494</v>
      </c>
      <c r="X96" s="54" t="s">
        <v>494</v>
      </c>
      <c r="Y96" s="54" t="s">
        <v>495</v>
      </c>
      <c r="Z96" s="54"/>
      <c r="AA96" s="54"/>
      <c r="AB96" s="54" t="s">
        <v>548</v>
      </c>
      <c r="AC96" s="55"/>
    </row>
    <row r="97" spans="2:29" ht="39.950000000000003" customHeight="1">
      <c r="B97" s="9"/>
      <c r="C97" s="160"/>
      <c r="D97" s="150">
        <v>178</v>
      </c>
      <c r="E97" s="150" t="str">
        <f t="shared" ca="1" si="1"/>
        <v>A</v>
      </c>
      <c r="F97" s="150" t="s">
        <v>133</v>
      </c>
      <c r="G97" s="24" t="s">
        <v>138</v>
      </c>
      <c r="H97" s="313">
        <v>1600</v>
      </c>
      <c r="I97" s="313" t="s">
        <v>453</v>
      </c>
      <c r="J97" s="555"/>
      <c r="K97" s="53" t="s">
        <v>493</v>
      </c>
      <c r="L97" s="54" t="s">
        <v>494</v>
      </c>
      <c r="M97" s="54" t="s">
        <v>494</v>
      </c>
      <c r="N97" s="54" t="s">
        <v>494</v>
      </c>
      <c r="O97" s="54"/>
      <c r="P97" s="54"/>
      <c r="Q97" s="54"/>
      <c r="R97" s="54" t="s">
        <v>26</v>
      </c>
      <c r="S97" s="54" t="s">
        <v>498</v>
      </c>
      <c r="T97" s="54"/>
      <c r="U97" s="54"/>
      <c r="V97" s="54"/>
      <c r="W97" s="54" t="s">
        <v>494</v>
      </c>
      <c r="X97" s="54" t="s">
        <v>494</v>
      </c>
      <c r="Y97" s="54" t="s">
        <v>495</v>
      </c>
      <c r="Z97" s="54"/>
      <c r="AA97" s="54"/>
      <c r="AB97" s="54" t="s">
        <v>548</v>
      </c>
      <c r="AC97" s="55"/>
    </row>
    <row r="98" spans="2:29" ht="39.950000000000003" customHeight="1">
      <c r="B98" s="9"/>
      <c r="C98" s="160"/>
      <c r="D98" s="150">
        <v>178</v>
      </c>
      <c r="E98" s="150" t="str">
        <f t="shared" ca="1" si="1"/>
        <v>B</v>
      </c>
      <c r="F98" s="150" t="s">
        <v>133</v>
      </c>
      <c r="G98" s="24" t="s">
        <v>138</v>
      </c>
      <c r="H98" s="313">
        <v>1600</v>
      </c>
      <c r="I98" s="313" t="s">
        <v>453</v>
      </c>
      <c r="J98" s="555"/>
      <c r="K98" s="53" t="s">
        <v>493</v>
      </c>
      <c r="L98" s="54" t="s">
        <v>494</v>
      </c>
      <c r="M98" s="54" t="s">
        <v>494</v>
      </c>
      <c r="N98" s="54" t="s">
        <v>494</v>
      </c>
      <c r="O98" s="54"/>
      <c r="P98" s="54"/>
      <c r="Q98" s="54"/>
      <c r="R98" s="54" t="s">
        <v>26</v>
      </c>
      <c r="S98" s="54" t="s">
        <v>498</v>
      </c>
      <c r="T98" s="54"/>
      <c r="U98" s="54"/>
      <c r="V98" s="569"/>
      <c r="W98" s="54" t="s">
        <v>494</v>
      </c>
      <c r="X98" s="54" t="s">
        <v>494</v>
      </c>
      <c r="Y98" s="54" t="s">
        <v>495</v>
      </c>
      <c r="Z98" s="54"/>
      <c r="AA98" s="54"/>
      <c r="AB98" s="54" t="s">
        <v>548</v>
      </c>
      <c r="AC98" s="55"/>
    </row>
    <row r="99" spans="2:29" ht="39.950000000000003" customHeight="1">
      <c r="B99" s="9"/>
      <c r="C99" s="160"/>
      <c r="D99" s="150">
        <v>179</v>
      </c>
      <c r="E99" s="150" t="str">
        <f t="shared" ca="1" si="1"/>
        <v>A</v>
      </c>
      <c r="F99" s="150" t="s">
        <v>24</v>
      </c>
      <c r="G99" s="24" t="s">
        <v>448</v>
      </c>
      <c r="H99" s="313">
        <v>1000</v>
      </c>
      <c r="I99" s="313">
        <v>18250</v>
      </c>
      <c r="J99" s="555">
        <v>9</v>
      </c>
      <c r="K99" s="53" t="s">
        <v>493</v>
      </c>
      <c r="L99" s="54" t="s">
        <v>494</v>
      </c>
      <c r="M99" s="54" t="s">
        <v>494</v>
      </c>
      <c r="N99" s="54" t="s">
        <v>494</v>
      </c>
      <c r="O99" s="54"/>
      <c r="P99" s="54"/>
      <c r="Q99" s="54"/>
      <c r="R99" s="54" t="s">
        <v>496</v>
      </c>
      <c r="S99" s="54" t="s">
        <v>497</v>
      </c>
      <c r="T99" s="54" t="s">
        <v>577</v>
      </c>
      <c r="U99" s="54" t="s">
        <v>476</v>
      </c>
      <c r="V99" s="54" t="s">
        <v>579</v>
      </c>
      <c r="W99" s="54" t="s">
        <v>647</v>
      </c>
      <c r="X99" s="54" t="s">
        <v>565</v>
      </c>
      <c r="Y99" s="54" t="s">
        <v>495</v>
      </c>
      <c r="Z99" s="54"/>
      <c r="AA99" s="54"/>
      <c r="AB99" s="54" t="s">
        <v>548</v>
      </c>
      <c r="AC99" s="592" t="s">
        <v>712</v>
      </c>
    </row>
    <row r="100" spans="2:29" ht="39.950000000000003" customHeight="1">
      <c r="B100" s="9"/>
      <c r="C100" s="160"/>
      <c r="D100" s="150">
        <v>180</v>
      </c>
      <c r="E100" s="150" t="str">
        <f t="shared" ca="1" si="1"/>
        <v>A</v>
      </c>
      <c r="F100" s="150" t="s">
        <v>24</v>
      </c>
      <c r="G100" s="24" t="s">
        <v>448</v>
      </c>
      <c r="H100" s="313">
        <v>1000</v>
      </c>
      <c r="I100" s="313">
        <v>6250</v>
      </c>
      <c r="J100" s="555">
        <v>18</v>
      </c>
      <c r="K100" s="53" t="s">
        <v>493</v>
      </c>
      <c r="L100" s="54" t="s">
        <v>494</v>
      </c>
      <c r="M100" s="54" t="s">
        <v>494</v>
      </c>
      <c r="N100" s="54" t="s">
        <v>494</v>
      </c>
      <c r="O100" s="54"/>
      <c r="P100" s="54"/>
      <c r="Q100" s="54"/>
      <c r="R100" s="54" t="s">
        <v>496</v>
      </c>
      <c r="S100" s="54" t="s">
        <v>498</v>
      </c>
      <c r="T100" s="54" t="s">
        <v>577</v>
      </c>
      <c r="U100" s="54" t="s">
        <v>577</v>
      </c>
      <c r="V100" s="54" t="s">
        <v>575</v>
      </c>
      <c r="W100" s="54" t="s">
        <v>647</v>
      </c>
      <c r="X100" s="54" t="s">
        <v>565</v>
      </c>
      <c r="Y100" s="54" t="s">
        <v>495</v>
      </c>
      <c r="Z100" s="54"/>
      <c r="AA100" s="54"/>
      <c r="AB100" s="54" t="s">
        <v>548</v>
      </c>
      <c r="AC100" s="592" t="s">
        <v>713</v>
      </c>
    </row>
    <row r="101" spans="2:29" ht="39.950000000000003" customHeight="1">
      <c r="B101" s="9"/>
      <c r="C101" s="160"/>
      <c r="D101" s="150">
        <v>181</v>
      </c>
      <c r="E101" s="150" t="str">
        <f t="shared" ca="1" si="1"/>
        <v>A</v>
      </c>
      <c r="F101" s="150" t="s">
        <v>24</v>
      </c>
      <c r="G101" s="24" t="s">
        <v>448</v>
      </c>
      <c r="H101" s="313">
        <v>1000</v>
      </c>
      <c r="I101" s="313">
        <v>22250</v>
      </c>
      <c r="J101" s="555">
        <v>19</v>
      </c>
      <c r="K101" s="53" t="s">
        <v>493</v>
      </c>
      <c r="L101" s="54" t="s">
        <v>494</v>
      </c>
      <c r="M101" s="54" t="s">
        <v>494</v>
      </c>
      <c r="N101" s="54" t="s">
        <v>494</v>
      </c>
      <c r="O101" s="54"/>
      <c r="P101" s="54"/>
      <c r="Q101" s="54"/>
      <c r="R101" s="54" t="s">
        <v>496</v>
      </c>
      <c r="S101" s="54" t="s">
        <v>498</v>
      </c>
      <c r="T101" s="54" t="s">
        <v>587</v>
      </c>
      <c r="U101" s="54" t="s">
        <v>577</v>
      </c>
      <c r="V101" s="54" t="s">
        <v>579</v>
      </c>
      <c r="W101" s="54" t="s">
        <v>647</v>
      </c>
      <c r="X101" s="54" t="s">
        <v>565</v>
      </c>
      <c r="Y101" s="54" t="s">
        <v>495</v>
      </c>
      <c r="Z101" s="54"/>
      <c r="AA101" s="54"/>
      <c r="AB101" s="54" t="s">
        <v>548</v>
      </c>
      <c r="AC101" s="592" t="s">
        <v>713</v>
      </c>
    </row>
    <row r="102" spans="2:29" ht="39.950000000000003" customHeight="1">
      <c r="B102" s="23"/>
      <c r="C102" s="242"/>
      <c r="D102" s="151">
        <v>182</v>
      </c>
      <c r="E102" s="150" t="str">
        <f t="shared" ca="1" si="1"/>
        <v>A</v>
      </c>
      <c r="F102" s="151" t="s">
        <v>96</v>
      </c>
      <c r="G102" s="153" t="s">
        <v>665</v>
      </c>
      <c r="H102" s="315"/>
      <c r="I102" s="315"/>
      <c r="J102" s="556"/>
      <c r="K102" s="53" t="s">
        <v>493</v>
      </c>
      <c r="L102" s="54" t="s">
        <v>494</v>
      </c>
      <c r="M102" s="54" t="s">
        <v>494</v>
      </c>
      <c r="N102" s="54" t="s">
        <v>494</v>
      </c>
      <c r="O102" s="54"/>
      <c r="P102" s="54"/>
      <c r="Q102" s="54"/>
      <c r="R102" s="54" t="s">
        <v>26</v>
      </c>
      <c r="S102" s="54" t="s">
        <v>498</v>
      </c>
      <c r="T102" s="54"/>
      <c r="U102" s="54"/>
      <c r="V102" s="54"/>
      <c r="W102" s="54" t="s">
        <v>494</v>
      </c>
      <c r="X102" s="54" t="s">
        <v>494</v>
      </c>
      <c r="Y102" s="54" t="s">
        <v>495</v>
      </c>
      <c r="Z102" s="54"/>
      <c r="AA102" s="54"/>
      <c r="AB102" s="54"/>
      <c r="AC102" s="55"/>
    </row>
    <row r="103" spans="2:29" ht="39.950000000000003" customHeight="1">
      <c r="B103" s="23"/>
      <c r="C103" s="242"/>
      <c r="D103" s="151">
        <v>184</v>
      </c>
      <c r="E103" s="150" t="str">
        <f t="shared" ca="1" si="1"/>
        <v>A</v>
      </c>
      <c r="F103" s="151" t="s">
        <v>40</v>
      </c>
      <c r="G103" s="153" t="s">
        <v>454</v>
      </c>
      <c r="H103" s="315"/>
      <c r="I103" s="315"/>
      <c r="J103" s="556"/>
      <c r="K103" s="53"/>
      <c r="L103" s="54" t="s">
        <v>494</v>
      </c>
      <c r="M103" s="54" t="s">
        <v>494</v>
      </c>
      <c r="N103" s="54" t="s">
        <v>494</v>
      </c>
      <c r="O103" s="54"/>
      <c r="P103" s="54"/>
      <c r="Q103" s="54"/>
      <c r="R103" s="54" t="s">
        <v>26</v>
      </c>
      <c r="S103" s="54" t="s">
        <v>26</v>
      </c>
      <c r="T103" s="54"/>
      <c r="U103" s="54"/>
      <c r="V103" s="54"/>
      <c r="W103" s="54" t="s">
        <v>494</v>
      </c>
      <c r="X103" s="54" t="s">
        <v>494</v>
      </c>
      <c r="Y103" s="54" t="s">
        <v>495</v>
      </c>
      <c r="Z103" s="54"/>
      <c r="AA103" s="54"/>
      <c r="AB103" s="54"/>
      <c r="AC103" s="55"/>
    </row>
    <row r="104" spans="2:29" ht="39.950000000000003" customHeight="1">
      <c r="B104" s="23"/>
      <c r="C104" s="242"/>
      <c r="D104" s="151">
        <v>185</v>
      </c>
      <c r="E104" s="150" t="str">
        <f t="shared" ca="1" si="1"/>
        <v>A</v>
      </c>
      <c r="F104" s="151" t="s">
        <v>40</v>
      </c>
      <c r="G104" s="153" t="s">
        <v>455</v>
      </c>
      <c r="H104" s="315"/>
      <c r="I104" s="315"/>
      <c r="J104" s="556"/>
      <c r="K104" s="53"/>
      <c r="L104" s="54" t="s">
        <v>494</v>
      </c>
      <c r="M104" s="54" t="s">
        <v>494</v>
      </c>
      <c r="N104" s="54" t="s">
        <v>494</v>
      </c>
      <c r="O104" s="54"/>
      <c r="P104" s="54"/>
      <c r="Q104" s="54"/>
      <c r="R104" s="54" t="s">
        <v>26</v>
      </c>
      <c r="S104" s="54" t="s">
        <v>26</v>
      </c>
      <c r="T104" s="54"/>
      <c r="U104" s="54"/>
      <c r="V104" s="54"/>
      <c r="W104" s="54" t="s">
        <v>494</v>
      </c>
      <c r="X104" s="54" t="s">
        <v>494</v>
      </c>
      <c r="Y104" s="54" t="s">
        <v>495</v>
      </c>
      <c r="Z104" s="54"/>
      <c r="AA104" s="54"/>
      <c r="AB104" s="54"/>
      <c r="AC104" s="55"/>
    </row>
    <row r="105" spans="2:29" ht="39.950000000000003" customHeight="1">
      <c r="B105" s="23"/>
      <c r="C105" s="242"/>
      <c r="D105" s="151">
        <v>186</v>
      </c>
      <c r="E105" s="150" t="str">
        <f t="shared" ca="1" si="1"/>
        <v>A</v>
      </c>
      <c r="F105" s="151" t="s">
        <v>40</v>
      </c>
      <c r="G105" s="153" t="s">
        <v>456</v>
      </c>
      <c r="H105" s="315">
        <v>12000</v>
      </c>
      <c r="I105" s="315">
        <v>10000</v>
      </c>
      <c r="J105" s="556"/>
      <c r="K105" s="53"/>
      <c r="L105" s="54" t="s">
        <v>494</v>
      </c>
      <c r="M105" s="54" t="s">
        <v>494</v>
      </c>
      <c r="N105" s="54" t="s">
        <v>494</v>
      </c>
      <c r="O105" s="54"/>
      <c r="P105" s="54"/>
      <c r="Q105" s="54"/>
      <c r="R105" s="54" t="s">
        <v>26</v>
      </c>
      <c r="S105" s="54" t="s">
        <v>26</v>
      </c>
      <c r="T105" s="54"/>
      <c r="U105" s="54"/>
      <c r="V105" s="54"/>
      <c r="W105" s="54" t="s">
        <v>494</v>
      </c>
      <c r="X105" s="54" t="s">
        <v>494</v>
      </c>
      <c r="Y105" s="54" t="s">
        <v>495</v>
      </c>
      <c r="Z105" s="54"/>
      <c r="AA105" s="54"/>
      <c r="AB105" s="54"/>
      <c r="AC105" s="55"/>
    </row>
    <row r="106" spans="2:29" ht="39.950000000000003" customHeight="1">
      <c r="B106" s="23"/>
      <c r="C106" s="242"/>
      <c r="D106" s="151">
        <v>187</v>
      </c>
      <c r="E106" s="150" t="str">
        <f t="shared" ca="1" si="1"/>
        <v>A</v>
      </c>
      <c r="F106" s="151" t="s">
        <v>40</v>
      </c>
      <c r="G106" s="153" t="s">
        <v>457</v>
      </c>
      <c r="H106" s="315"/>
      <c r="I106" s="315"/>
      <c r="J106" s="556"/>
      <c r="K106" s="53"/>
      <c r="L106" s="54" t="s">
        <v>494</v>
      </c>
      <c r="M106" s="54" t="s">
        <v>494</v>
      </c>
      <c r="N106" s="54" t="s">
        <v>494</v>
      </c>
      <c r="O106" s="54"/>
      <c r="P106" s="54"/>
      <c r="Q106" s="54"/>
      <c r="R106" s="54" t="s">
        <v>26</v>
      </c>
      <c r="S106" s="54" t="s">
        <v>26</v>
      </c>
      <c r="T106" s="54"/>
      <c r="U106" s="54"/>
      <c r="V106" s="54"/>
      <c r="W106" s="54" t="s">
        <v>494</v>
      </c>
      <c r="X106" s="54" t="s">
        <v>494</v>
      </c>
      <c r="Y106" s="54" t="s">
        <v>495</v>
      </c>
      <c r="Z106" s="54"/>
      <c r="AA106" s="54"/>
      <c r="AB106" s="54"/>
      <c r="AC106" s="55"/>
    </row>
    <row r="107" spans="2:29" ht="39.950000000000003" customHeight="1">
      <c r="B107" s="23"/>
      <c r="C107" s="242"/>
      <c r="D107" s="151">
        <v>188</v>
      </c>
      <c r="E107" s="150" t="str">
        <f t="shared" ca="1" si="1"/>
        <v>A</v>
      </c>
      <c r="F107" s="151" t="s">
        <v>40</v>
      </c>
      <c r="G107" s="153" t="s">
        <v>458</v>
      </c>
      <c r="H107" s="315">
        <v>5200</v>
      </c>
      <c r="I107" s="315">
        <v>26500</v>
      </c>
      <c r="J107" s="556"/>
      <c r="K107" s="53"/>
      <c r="L107" s="54" t="s">
        <v>494</v>
      </c>
      <c r="M107" s="54" t="s">
        <v>494</v>
      </c>
      <c r="N107" s="54" t="s">
        <v>494</v>
      </c>
      <c r="O107" s="54"/>
      <c r="P107" s="54"/>
      <c r="Q107" s="54"/>
      <c r="R107" s="54" t="s">
        <v>26</v>
      </c>
      <c r="S107" s="54" t="s">
        <v>26</v>
      </c>
      <c r="T107" s="54"/>
      <c r="U107" s="54"/>
      <c r="V107" s="54"/>
      <c r="W107" s="54" t="s">
        <v>494</v>
      </c>
      <c r="X107" s="54" t="s">
        <v>494</v>
      </c>
      <c r="Y107" s="54" t="s">
        <v>495</v>
      </c>
      <c r="Z107" s="54"/>
      <c r="AA107" s="54"/>
      <c r="AB107" s="54"/>
      <c r="AC107" s="55"/>
    </row>
    <row r="108" spans="2:29" ht="39.950000000000003" customHeight="1">
      <c r="B108" s="23"/>
      <c r="C108" s="242"/>
      <c r="D108" s="151">
        <v>189</v>
      </c>
      <c r="E108" s="150" t="str">
        <f t="shared" ca="1" si="1"/>
        <v>A</v>
      </c>
      <c r="F108" s="151" t="s">
        <v>40</v>
      </c>
      <c r="G108" s="153" t="s">
        <v>459</v>
      </c>
      <c r="H108" s="315">
        <v>5200</v>
      </c>
      <c r="I108" s="315">
        <v>23000</v>
      </c>
      <c r="J108" s="556"/>
      <c r="K108" s="53"/>
      <c r="L108" s="54" t="s">
        <v>494</v>
      </c>
      <c r="M108" s="54" t="s">
        <v>494</v>
      </c>
      <c r="N108" s="54" t="s">
        <v>494</v>
      </c>
      <c r="O108" s="54"/>
      <c r="P108" s="54"/>
      <c r="Q108" s="54"/>
      <c r="R108" s="54" t="s">
        <v>26</v>
      </c>
      <c r="S108" s="54" t="s">
        <v>26</v>
      </c>
      <c r="T108" s="54"/>
      <c r="U108" s="54"/>
      <c r="V108" s="54"/>
      <c r="W108" s="54" t="s">
        <v>494</v>
      </c>
      <c r="X108" s="54" t="s">
        <v>494</v>
      </c>
      <c r="Y108" s="54" t="s">
        <v>495</v>
      </c>
      <c r="Z108" s="54"/>
      <c r="AA108" s="54"/>
      <c r="AB108" s="54"/>
      <c r="AC108" s="55"/>
    </row>
    <row r="109" spans="2:29" ht="39.950000000000003" customHeight="1">
      <c r="B109" s="23"/>
      <c r="C109" s="242"/>
      <c r="D109" s="151">
        <v>190</v>
      </c>
      <c r="E109" s="150" t="str">
        <f t="shared" ca="1" si="1"/>
        <v>A</v>
      </c>
      <c r="F109" s="151" t="s">
        <v>40</v>
      </c>
      <c r="G109" s="153" t="s">
        <v>460</v>
      </c>
      <c r="H109" s="315"/>
      <c r="I109" s="315"/>
      <c r="J109" s="556"/>
      <c r="K109" s="53"/>
      <c r="L109" s="54" t="s">
        <v>494</v>
      </c>
      <c r="M109" s="54" t="s">
        <v>494</v>
      </c>
      <c r="N109" s="54" t="s">
        <v>494</v>
      </c>
      <c r="O109" s="54"/>
      <c r="P109" s="54"/>
      <c r="Q109" s="54"/>
      <c r="R109" s="54" t="s">
        <v>26</v>
      </c>
      <c r="S109" s="54" t="s">
        <v>26</v>
      </c>
      <c r="T109" s="54"/>
      <c r="U109" s="54"/>
      <c r="V109" s="54"/>
      <c r="W109" s="54" t="s">
        <v>494</v>
      </c>
      <c r="X109" s="54" t="s">
        <v>494</v>
      </c>
      <c r="Y109" s="54" t="s">
        <v>495</v>
      </c>
      <c r="Z109" s="54"/>
      <c r="AA109" s="54"/>
      <c r="AB109" s="54"/>
      <c r="AC109" s="55"/>
    </row>
    <row r="110" spans="2:29" ht="39.950000000000003" customHeight="1">
      <c r="B110" s="23"/>
      <c r="C110" s="242"/>
      <c r="D110" s="151">
        <v>191</v>
      </c>
      <c r="E110" s="150" t="str">
        <f t="shared" ca="1" si="1"/>
        <v>A</v>
      </c>
      <c r="F110" s="151" t="s">
        <v>40</v>
      </c>
      <c r="G110" s="153" t="s">
        <v>461</v>
      </c>
      <c r="H110" s="315">
        <v>5500</v>
      </c>
      <c r="I110" s="315">
        <v>9600</v>
      </c>
      <c r="J110" s="556"/>
      <c r="K110" s="53"/>
      <c r="L110" s="54" t="s">
        <v>494</v>
      </c>
      <c r="M110" s="54" t="s">
        <v>494</v>
      </c>
      <c r="N110" s="54" t="s">
        <v>494</v>
      </c>
      <c r="O110" s="54"/>
      <c r="P110" s="54"/>
      <c r="Q110" s="54"/>
      <c r="R110" s="54" t="s">
        <v>26</v>
      </c>
      <c r="S110" s="54" t="s">
        <v>26</v>
      </c>
      <c r="T110" s="54"/>
      <c r="U110" s="54"/>
      <c r="V110" s="54"/>
      <c r="W110" s="54" t="s">
        <v>494</v>
      </c>
      <c r="X110" s="54" t="s">
        <v>494</v>
      </c>
      <c r="Y110" s="54" t="s">
        <v>495</v>
      </c>
      <c r="Z110" s="54"/>
      <c r="AA110" s="54"/>
      <c r="AB110" s="54"/>
      <c r="AC110" s="55"/>
    </row>
    <row r="111" spans="2:29" ht="39.950000000000003" customHeight="1">
      <c r="B111" s="23"/>
      <c r="C111" s="242"/>
      <c r="D111" s="151">
        <v>192</v>
      </c>
      <c r="E111" s="150" t="str">
        <f t="shared" ca="1" si="1"/>
        <v>A</v>
      </c>
      <c r="F111" s="151" t="s">
        <v>40</v>
      </c>
      <c r="G111" s="153" t="s">
        <v>462</v>
      </c>
      <c r="H111" s="315">
        <v>4500</v>
      </c>
      <c r="I111" s="315">
        <v>4500</v>
      </c>
      <c r="J111" s="556"/>
      <c r="K111" s="53"/>
      <c r="L111" s="54" t="s">
        <v>494</v>
      </c>
      <c r="M111" s="54" t="s">
        <v>494</v>
      </c>
      <c r="N111" s="54" t="s">
        <v>494</v>
      </c>
      <c r="O111" s="54"/>
      <c r="P111" s="54"/>
      <c r="Q111" s="54"/>
      <c r="R111" s="54" t="s">
        <v>26</v>
      </c>
      <c r="S111" s="54" t="s">
        <v>26</v>
      </c>
      <c r="T111" s="54"/>
      <c r="U111" s="54"/>
      <c r="V111" s="54"/>
      <c r="W111" s="54" t="s">
        <v>494</v>
      </c>
      <c r="X111" s="54" t="s">
        <v>494</v>
      </c>
      <c r="Y111" s="54" t="s">
        <v>495</v>
      </c>
      <c r="Z111" s="54"/>
      <c r="AA111" s="54"/>
      <c r="AB111" s="54"/>
      <c r="AC111" s="55"/>
    </row>
    <row r="112" spans="2:29" ht="39.950000000000003" customHeight="1">
      <c r="B112" s="23"/>
      <c r="C112" s="242"/>
      <c r="D112" s="151">
        <v>193</v>
      </c>
      <c r="E112" s="150" t="str">
        <f t="shared" ca="1" si="1"/>
        <v>A</v>
      </c>
      <c r="F112" s="151" t="s">
        <v>40</v>
      </c>
      <c r="G112" s="153" t="s">
        <v>463</v>
      </c>
      <c r="H112" s="315">
        <v>900</v>
      </c>
      <c r="I112" s="315">
        <v>50000</v>
      </c>
      <c r="J112" s="556"/>
      <c r="K112" s="53"/>
      <c r="L112" s="54" t="s">
        <v>494</v>
      </c>
      <c r="M112" s="54" t="s">
        <v>494</v>
      </c>
      <c r="N112" s="54" t="s">
        <v>494</v>
      </c>
      <c r="O112" s="54"/>
      <c r="P112" s="54"/>
      <c r="Q112" s="54"/>
      <c r="R112" s="54" t="s">
        <v>26</v>
      </c>
      <c r="S112" s="54" t="s">
        <v>26</v>
      </c>
      <c r="T112" s="54"/>
      <c r="U112" s="54"/>
      <c r="V112" s="54"/>
      <c r="W112" s="54" t="s">
        <v>494</v>
      </c>
      <c r="X112" s="54" t="s">
        <v>494</v>
      </c>
      <c r="Y112" s="54" t="s">
        <v>495</v>
      </c>
      <c r="Z112" s="54"/>
      <c r="AA112" s="54"/>
      <c r="AB112" s="54"/>
      <c r="AC112" s="55"/>
    </row>
    <row r="113" spans="2:29" ht="39.950000000000003" customHeight="1">
      <c r="B113" s="23"/>
      <c r="C113" s="242"/>
      <c r="D113" s="151">
        <v>194</v>
      </c>
      <c r="E113" s="150" t="str">
        <f t="shared" ca="1" si="1"/>
        <v>A</v>
      </c>
      <c r="F113" s="151" t="s">
        <v>40</v>
      </c>
      <c r="G113" s="153" t="s">
        <v>464</v>
      </c>
      <c r="H113" s="315">
        <v>900</v>
      </c>
      <c r="I113" s="315">
        <v>4500</v>
      </c>
      <c r="J113" s="556"/>
      <c r="K113" s="53"/>
      <c r="L113" s="54" t="s">
        <v>494</v>
      </c>
      <c r="M113" s="54" t="s">
        <v>494</v>
      </c>
      <c r="N113" s="54" t="s">
        <v>494</v>
      </c>
      <c r="O113" s="54"/>
      <c r="P113" s="54"/>
      <c r="Q113" s="54"/>
      <c r="R113" s="54" t="s">
        <v>26</v>
      </c>
      <c r="S113" s="54" t="s">
        <v>26</v>
      </c>
      <c r="T113" s="54"/>
      <c r="U113" s="54"/>
      <c r="V113" s="54"/>
      <c r="W113" s="54" t="s">
        <v>494</v>
      </c>
      <c r="X113" s="54" t="s">
        <v>494</v>
      </c>
      <c r="Y113" s="54" t="s">
        <v>495</v>
      </c>
      <c r="Z113" s="54"/>
      <c r="AA113" s="54"/>
      <c r="AB113" s="54"/>
      <c r="AC113" s="55"/>
    </row>
    <row r="114" spans="2:29" ht="39.950000000000003" customHeight="1">
      <c r="B114" s="23"/>
      <c r="C114" s="242"/>
      <c r="D114" s="151">
        <v>195</v>
      </c>
      <c r="E114" s="150" t="str">
        <f t="shared" ca="1" si="1"/>
        <v>A</v>
      </c>
      <c r="F114" s="151" t="s">
        <v>40</v>
      </c>
      <c r="G114" s="153" t="s">
        <v>465</v>
      </c>
      <c r="H114" s="315"/>
      <c r="I114" s="315"/>
      <c r="J114" s="556"/>
      <c r="K114" s="53"/>
      <c r="L114" s="54" t="s">
        <v>494</v>
      </c>
      <c r="M114" s="54" t="s">
        <v>494</v>
      </c>
      <c r="N114" s="54" t="s">
        <v>494</v>
      </c>
      <c r="O114" s="54"/>
      <c r="P114" s="54"/>
      <c r="Q114" s="54"/>
      <c r="R114" s="54" t="s">
        <v>26</v>
      </c>
      <c r="S114" s="54" t="s">
        <v>26</v>
      </c>
      <c r="T114" s="54"/>
      <c r="U114" s="54"/>
      <c r="V114" s="54"/>
      <c r="W114" s="54" t="s">
        <v>494</v>
      </c>
      <c r="X114" s="54" t="s">
        <v>494</v>
      </c>
      <c r="Y114" s="54" t="s">
        <v>495</v>
      </c>
      <c r="Z114" s="54"/>
      <c r="AA114" s="54"/>
      <c r="AB114" s="54"/>
      <c r="AC114" s="55"/>
    </row>
    <row r="115" spans="2:29" ht="39.950000000000003" customHeight="1">
      <c r="B115" s="23"/>
      <c r="C115" s="242"/>
      <c r="D115" s="151">
        <v>196</v>
      </c>
      <c r="E115" s="150" t="str">
        <f t="shared" ca="1" si="1"/>
        <v>A</v>
      </c>
      <c r="F115" s="151" t="s">
        <v>40</v>
      </c>
      <c r="G115" s="153" t="s">
        <v>466</v>
      </c>
      <c r="H115" s="315">
        <v>8150</v>
      </c>
      <c r="I115" s="315">
        <v>15600</v>
      </c>
      <c r="J115" s="556"/>
      <c r="K115" s="53"/>
      <c r="L115" s="54" t="s">
        <v>494</v>
      </c>
      <c r="M115" s="54" t="s">
        <v>494</v>
      </c>
      <c r="N115" s="54" t="s">
        <v>494</v>
      </c>
      <c r="O115" s="54"/>
      <c r="P115" s="54"/>
      <c r="Q115" s="54"/>
      <c r="R115" s="54" t="s">
        <v>26</v>
      </c>
      <c r="S115" s="54" t="s">
        <v>26</v>
      </c>
      <c r="T115" s="54"/>
      <c r="U115" s="54"/>
      <c r="V115" s="54"/>
      <c r="W115" s="54" t="s">
        <v>494</v>
      </c>
      <c r="X115" s="54" t="s">
        <v>494</v>
      </c>
      <c r="Y115" s="54" t="s">
        <v>495</v>
      </c>
      <c r="Z115" s="54"/>
      <c r="AA115" s="54"/>
      <c r="AB115" s="54"/>
      <c r="AC115" s="55"/>
    </row>
    <row r="116" spans="2:29" ht="39.950000000000003" customHeight="1">
      <c r="B116" s="23"/>
      <c r="C116" s="242"/>
      <c r="D116" s="151">
        <v>197</v>
      </c>
      <c r="E116" s="150" t="str">
        <f t="shared" ca="1" si="1"/>
        <v>A</v>
      </c>
      <c r="F116" s="151" t="s">
        <v>40</v>
      </c>
      <c r="G116" s="153" t="s">
        <v>467</v>
      </c>
      <c r="H116" s="315">
        <v>8150</v>
      </c>
      <c r="I116" s="315">
        <v>7000</v>
      </c>
      <c r="J116" s="556"/>
      <c r="K116" s="53"/>
      <c r="L116" s="54" t="s">
        <v>494</v>
      </c>
      <c r="M116" s="54" t="s">
        <v>494</v>
      </c>
      <c r="N116" s="54" t="s">
        <v>494</v>
      </c>
      <c r="O116" s="54"/>
      <c r="P116" s="54"/>
      <c r="Q116" s="54"/>
      <c r="R116" s="54" t="s">
        <v>26</v>
      </c>
      <c r="S116" s="54" t="s">
        <v>26</v>
      </c>
      <c r="T116" s="54"/>
      <c r="U116" s="54"/>
      <c r="V116" s="54"/>
      <c r="W116" s="54" t="s">
        <v>494</v>
      </c>
      <c r="X116" s="54" t="s">
        <v>494</v>
      </c>
      <c r="Y116" s="54" t="s">
        <v>495</v>
      </c>
      <c r="Z116" s="54"/>
      <c r="AA116" s="54"/>
      <c r="AB116" s="54"/>
      <c r="AC116" s="55"/>
    </row>
    <row r="117" spans="2:29" ht="39.950000000000003" customHeight="1">
      <c r="B117" s="23"/>
      <c r="C117" s="242"/>
      <c r="D117" s="151">
        <v>199</v>
      </c>
      <c r="E117" s="150" t="str">
        <f t="shared" ca="1" si="1"/>
        <v>A</v>
      </c>
      <c r="F117" s="151" t="s">
        <v>468</v>
      </c>
      <c r="G117" s="153" t="s">
        <v>469</v>
      </c>
      <c r="H117" s="315"/>
      <c r="I117" s="315"/>
      <c r="J117" s="556"/>
      <c r="K117" s="53"/>
      <c r="L117" s="54" t="s">
        <v>494</v>
      </c>
      <c r="M117" s="54" t="s">
        <v>494</v>
      </c>
      <c r="N117" s="54" t="s">
        <v>494</v>
      </c>
      <c r="O117" s="54"/>
      <c r="P117" s="54"/>
      <c r="Q117" s="54"/>
      <c r="R117" s="54" t="s">
        <v>26</v>
      </c>
      <c r="S117" s="54" t="s">
        <v>26</v>
      </c>
      <c r="T117" s="54"/>
      <c r="U117" s="54"/>
      <c r="V117" s="569"/>
      <c r="W117" s="54" t="s">
        <v>494</v>
      </c>
      <c r="X117" s="54" t="s">
        <v>494</v>
      </c>
      <c r="Y117" s="54" t="s">
        <v>495</v>
      </c>
      <c r="Z117" s="54"/>
      <c r="AA117" s="54"/>
      <c r="AB117" s="54"/>
      <c r="AC117" s="55"/>
    </row>
    <row r="118" spans="2:29" ht="39.950000000000003" customHeight="1">
      <c r="B118" s="23"/>
      <c r="C118" s="242"/>
      <c r="D118" s="151">
        <v>200</v>
      </c>
      <c r="E118" s="150" t="str">
        <f t="shared" ca="1" si="1"/>
        <v>A</v>
      </c>
      <c r="F118" s="151" t="s">
        <v>29</v>
      </c>
      <c r="G118" s="153" t="s">
        <v>470</v>
      </c>
      <c r="H118" s="315">
        <v>1000</v>
      </c>
      <c r="I118" s="315">
        <v>6000</v>
      </c>
      <c r="J118" s="556">
        <v>13</v>
      </c>
      <c r="K118" s="53" t="s">
        <v>493</v>
      </c>
      <c r="L118" s="54" t="s">
        <v>494</v>
      </c>
      <c r="M118" s="54" t="s">
        <v>494</v>
      </c>
      <c r="N118" s="54" t="s">
        <v>494</v>
      </c>
      <c r="O118" s="54"/>
      <c r="P118" s="54"/>
      <c r="Q118" s="54"/>
      <c r="R118" s="54" t="s">
        <v>496</v>
      </c>
      <c r="S118" s="54" t="s">
        <v>497</v>
      </c>
      <c r="T118" s="54" t="s">
        <v>578</v>
      </c>
      <c r="U118" s="54" t="s">
        <v>476</v>
      </c>
      <c r="V118" s="538" t="s">
        <v>697</v>
      </c>
      <c r="W118" s="54" t="s">
        <v>493</v>
      </c>
      <c r="X118" s="54" t="s">
        <v>494</v>
      </c>
      <c r="Y118" s="54" t="s">
        <v>495</v>
      </c>
      <c r="Z118" s="54">
        <f>(INT((VLOOKUP(H118,données!$D$34:$G$40,2,FALSE)+VLOOKUP(H118,données!$D$34:$G$40,3,FALSE)+VLOOKUP(H118,données!$D$34:$G$40,4,FALSE)*(I118-2000)/1000)/50)+1)*50</f>
        <v>950</v>
      </c>
      <c r="AA118" s="54"/>
      <c r="AB118" s="538" t="s">
        <v>547</v>
      </c>
      <c r="AC118" s="592" t="s">
        <v>714</v>
      </c>
    </row>
    <row r="119" spans="2:29" ht="39.950000000000003" customHeight="1">
      <c r="B119" s="23"/>
      <c r="C119" s="242"/>
      <c r="D119" s="151">
        <v>201</v>
      </c>
      <c r="E119" s="150" t="str">
        <f t="shared" ca="1" si="1"/>
        <v>A</v>
      </c>
      <c r="F119" s="151" t="s">
        <v>29</v>
      </c>
      <c r="G119" s="153" t="s">
        <v>471</v>
      </c>
      <c r="H119" s="315">
        <v>1000</v>
      </c>
      <c r="I119" s="315">
        <v>14750</v>
      </c>
      <c r="J119" s="556">
        <v>19</v>
      </c>
      <c r="K119" s="53" t="s">
        <v>493</v>
      </c>
      <c r="L119" s="54" t="s">
        <v>494</v>
      </c>
      <c r="M119" s="54" t="s">
        <v>494</v>
      </c>
      <c r="N119" s="54" t="s">
        <v>494</v>
      </c>
      <c r="O119" s="54"/>
      <c r="P119" s="54"/>
      <c r="Q119" s="54"/>
      <c r="R119" s="54" t="s">
        <v>496</v>
      </c>
      <c r="S119" s="54" t="s">
        <v>497</v>
      </c>
      <c r="T119" s="54" t="s">
        <v>577</v>
      </c>
      <c r="U119" s="54" t="s">
        <v>476</v>
      </c>
      <c r="V119" s="54" t="s">
        <v>579</v>
      </c>
      <c r="W119" s="54" t="s">
        <v>642</v>
      </c>
      <c r="X119" s="54" t="s">
        <v>494</v>
      </c>
      <c r="Y119" s="54" t="s">
        <v>495</v>
      </c>
      <c r="Z119" s="54">
        <f>(INT((VLOOKUP(H119,données!$D$34:$G$40,2,FALSE)+VLOOKUP(H119,données!$D$34:$G$40,3,FALSE)+VLOOKUP(H119,données!$D$34:$G$40,4,FALSE)*(I119-2000)/1000)/50)+1)*50</f>
        <v>1700</v>
      </c>
      <c r="AA119" s="54"/>
      <c r="AB119" s="538" t="s">
        <v>547</v>
      </c>
      <c r="AC119" s="592" t="s">
        <v>715</v>
      </c>
    </row>
    <row r="120" spans="2:29" ht="39.950000000000003" customHeight="1">
      <c r="B120" s="23"/>
      <c r="C120" s="242"/>
      <c r="D120" s="151">
        <v>202</v>
      </c>
      <c r="E120" s="150" t="str">
        <f t="shared" ca="1" si="1"/>
        <v>A</v>
      </c>
      <c r="F120" s="151" t="s">
        <v>29</v>
      </c>
      <c r="G120" s="153" t="s">
        <v>472</v>
      </c>
      <c r="H120" s="315">
        <v>1000</v>
      </c>
      <c r="I120" s="315">
        <v>7500</v>
      </c>
      <c r="J120" s="556">
        <v>19</v>
      </c>
      <c r="K120" s="53" t="s">
        <v>493</v>
      </c>
      <c r="L120" s="54" t="s">
        <v>495</v>
      </c>
      <c r="M120" s="54" t="s">
        <v>494</v>
      </c>
      <c r="N120" s="54" t="s">
        <v>494</v>
      </c>
      <c r="O120" s="54"/>
      <c r="P120" s="54"/>
      <c r="Q120" s="54"/>
      <c r="R120" s="54" t="s">
        <v>496</v>
      </c>
      <c r="S120" s="54" t="s">
        <v>497</v>
      </c>
      <c r="T120" s="54" t="s">
        <v>574</v>
      </c>
      <c r="U120" s="54" t="s">
        <v>577</v>
      </c>
      <c r="V120" s="54" t="s">
        <v>575</v>
      </c>
      <c r="W120" s="54" t="s">
        <v>642</v>
      </c>
      <c r="X120" s="54" t="s">
        <v>494</v>
      </c>
      <c r="Y120" s="54" t="s">
        <v>495</v>
      </c>
      <c r="Z120" s="54">
        <f>(INT((VLOOKUP(H120,données!$D$34:$G$40,2,FALSE)+VLOOKUP(H120,données!$D$34:$G$40,3,FALSE)+VLOOKUP(H120,données!$D$34:$G$40,4,FALSE)*(I120-2000)/1000)/50)+1)*50</f>
        <v>1050</v>
      </c>
      <c r="AA120" s="54"/>
      <c r="AB120" s="538" t="s">
        <v>547</v>
      </c>
      <c r="AC120" s="55"/>
    </row>
    <row r="121" spans="2:29" ht="39.950000000000003" customHeight="1">
      <c r="B121" s="23"/>
      <c r="C121" s="242"/>
      <c r="D121" s="151">
        <v>203</v>
      </c>
      <c r="E121" s="150" t="str">
        <f t="shared" ca="1" si="1"/>
        <v>A</v>
      </c>
      <c r="F121" s="151" t="s">
        <v>372</v>
      </c>
      <c r="G121" s="153" t="s">
        <v>373</v>
      </c>
      <c r="H121" s="315">
        <v>1000</v>
      </c>
      <c r="I121" s="315">
        <v>2500</v>
      </c>
      <c r="J121" s="556"/>
      <c r="K121" s="53"/>
      <c r="L121" s="54" t="s">
        <v>494</v>
      </c>
      <c r="M121" s="54" t="s">
        <v>494</v>
      </c>
      <c r="N121" s="54" t="s">
        <v>494</v>
      </c>
      <c r="O121" s="54"/>
      <c r="P121" s="54"/>
      <c r="Q121" s="54"/>
      <c r="R121" s="54" t="s">
        <v>496</v>
      </c>
      <c r="S121" s="54" t="s">
        <v>497</v>
      </c>
      <c r="T121" s="54" t="s">
        <v>578</v>
      </c>
      <c r="U121" s="54" t="s">
        <v>578</v>
      </c>
      <c r="V121" s="54" t="s">
        <v>575</v>
      </c>
      <c r="W121" s="54" t="s">
        <v>494</v>
      </c>
      <c r="X121" s="54" t="s">
        <v>494</v>
      </c>
      <c r="Y121" s="54" t="s">
        <v>495</v>
      </c>
      <c r="Z121" s="54"/>
      <c r="AA121" s="54"/>
      <c r="AB121" s="538" t="s">
        <v>547</v>
      </c>
      <c r="AC121" s="55"/>
    </row>
    <row r="122" spans="2:29" ht="39.950000000000003" customHeight="1">
      <c r="B122" s="23"/>
      <c r="C122" s="242"/>
      <c r="D122" s="151">
        <v>203</v>
      </c>
      <c r="E122" s="150" t="str">
        <f t="shared" ca="1" si="1"/>
        <v>B</v>
      </c>
      <c r="F122" s="151" t="s">
        <v>39</v>
      </c>
      <c r="G122" s="153" t="s">
        <v>693</v>
      </c>
      <c r="H122" s="315"/>
      <c r="I122" s="315"/>
      <c r="J122" s="556"/>
      <c r="K122" s="53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5"/>
    </row>
    <row r="123" spans="2:29" ht="39.950000000000003" customHeight="1">
      <c r="B123" s="616" t="s">
        <v>691</v>
      </c>
      <c r="C123" s="617"/>
      <c r="D123" s="618">
        <v>204</v>
      </c>
      <c r="E123" s="608" t="str">
        <f t="shared" ca="1" si="1"/>
        <v>A</v>
      </c>
      <c r="F123" s="618" t="s">
        <v>40</v>
      </c>
      <c r="G123" s="619" t="s">
        <v>473</v>
      </c>
      <c r="H123" s="620"/>
      <c r="I123" s="620"/>
      <c r="J123" s="621"/>
      <c r="K123" s="612"/>
      <c r="L123" s="613" t="s">
        <v>494</v>
      </c>
      <c r="M123" s="613" t="s">
        <v>494</v>
      </c>
      <c r="N123" s="613" t="s">
        <v>494</v>
      </c>
      <c r="O123" s="613"/>
      <c r="P123" s="613"/>
      <c r="Q123" s="613"/>
      <c r="R123" s="613" t="s">
        <v>26</v>
      </c>
      <c r="S123" s="613" t="s">
        <v>26</v>
      </c>
      <c r="T123" s="613"/>
      <c r="U123" s="613"/>
      <c r="V123" s="613"/>
      <c r="W123" s="613" t="s">
        <v>494</v>
      </c>
      <c r="X123" s="613" t="s">
        <v>494</v>
      </c>
      <c r="Y123" s="613" t="s">
        <v>495</v>
      </c>
      <c r="Z123" s="613"/>
      <c r="AA123" s="613"/>
      <c r="AB123" s="613"/>
      <c r="AC123" s="615"/>
    </row>
    <row r="124" spans="2:29" ht="39.950000000000003" customHeight="1">
      <c r="B124" s="616" t="s">
        <v>691</v>
      </c>
      <c r="C124" s="617"/>
      <c r="D124" s="618">
        <v>205</v>
      </c>
      <c r="E124" s="608" t="str">
        <f t="shared" ca="1" si="1"/>
        <v>A</v>
      </c>
      <c r="F124" s="618" t="s">
        <v>40</v>
      </c>
      <c r="G124" s="619" t="s">
        <v>474</v>
      </c>
      <c r="H124" s="620">
        <v>3500</v>
      </c>
      <c r="I124" s="620">
        <v>4000</v>
      </c>
      <c r="J124" s="621"/>
      <c r="K124" s="612"/>
      <c r="L124" s="613" t="s">
        <v>494</v>
      </c>
      <c r="M124" s="613" t="s">
        <v>494</v>
      </c>
      <c r="N124" s="613" t="s">
        <v>494</v>
      </c>
      <c r="O124" s="613"/>
      <c r="P124" s="613"/>
      <c r="Q124" s="613"/>
      <c r="R124" s="613" t="s">
        <v>26</v>
      </c>
      <c r="S124" s="613" t="s">
        <v>26</v>
      </c>
      <c r="T124" s="613"/>
      <c r="U124" s="613"/>
      <c r="V124" s="614"/>
      <c r="W124" s="613" t="s">
        <v>494</v>
      </c>
      <c r="X124" s="613" t="s">
        <v>494</v>
      </c>
      <c r="Y124" s="613" t="s">
        <v>495</v>
      </c>
      <c r="Z124" s="613"/>
      <c r="AA124" s="613"/>
      <c r="AB124" s="613"/>
      <c r="AC124" s="615"/>
    </row>
    <row r="125" spans="2:29" ht="39.950000000000003" customHeight="1">
      <c r="B125" s="23"/>
      <c r="C125" s="242"/>
      <c r="D125" s="151">
        <v>207</v>
      </c>
      <c r="E125" s="150" t="str">
        <f t="shared" ca="1" si="1"/>
        <v>A</v>
      </c>
      <c r="F125" s="151" t="s">
        <v>29</v>
      </c>
      <c r="G125" s="153" t="s">
        <v>475</v>
      </c>
      <c r="H125" s="315">
        <v>800</v>
      </c>
      <c r="I125" s="315">
        <v>3500</v>
      </c>
      <c r="J125" s="556">
        <v>0</v>
      </c>
      <c r="K125" s="53" t="s">
        <v>493</v>
      </c>
      <c r="L125" s="54" t="s">
        <v>494</v>
      </c>
      <c r="M125" s="54" t="s">
        <v>494</v>
      </c>
      <c r="N125" s="54" t="s">
        <v>494</v>
      </c>
      <c r="O125" s="54"/>
      <c r="P125" s="54"/>
      <c r="Q125" s="54"/>
      <c r="R125" s="54" t="s">
        <v>496</v>
      </c>
      <c r="S125" s="54" t="s">
        <v>498</v>
      </c>
      <c r="T125" s="54" t="s">
        <v>577</v>
      </c>
      <c r="U125" s="54" t="s">
        <v>577</v>
      </c>
      <c r="V125" s="54" t="s">
        <v>579</v>
      </c>
      <c r="W125" s="54" t="s">
        <v>493</v>
      </c>
      <c r="X125" s="54" t="s">
        <v>494</v>
      </c>
      <c r="Y125" s="54" t="s">
        <v>495</v>
      </c>
      <c r="Z125" s="54">
        <f>(INT((VLOOKUP(H125,données!$D$34:$G$40,2,FALSE)+VLOOKUP(H125,données!$D$34:$G$40,3,FALSE)+VLOOKUP(H125,données!$D$34:$G$40,4,FALSE)*(I125-2000)/1000)/50)+1)*50</f>
        <v>650</v>
      </c>
      <c r="AA125" s="54"/>
      <c r="AB125" s="538" t="s">
        <v>547</v>
      </c>
      <c r="AC125" s="592" t="s">
        <v>716</v>
      </c>
    </row>
    <row r="126" spans="2:29" ht="39.950000000000003" customHeight="1">
      <c r="B126" s="23"/>
      <c r="C126" s="242"/>
      <c r="D126" s="151">
        <v>208</v>
      </c>
      <c r="E126" s="150" t="str">
        <f t="shared" ca="1" si="1"/>
        <v>A</v>
      </c>
      <c r="F126" s="151" t="s">
        <v>476</v>
      </c>
      <c r="G126" s="153" t="s">
        <v>692</v>
      </c>
      <c r="H126" s="315"/>
      <c r="I126" s="315"/>
      <c r="J126" s="556"/>
      <c r="K126" s="53" t="s">
        <v>493</v>
      </c>
      <c r="L126" s="54" t="s">
        <v>494</v>
      </c>
      <c r="M126" s="54" t="s">
        <v>494</v>
      </c>
      <c r="N126" s="54" t="s">
        <v>494</v>
      </c>
      <c r="O126" s="54"/>
      <c r="P126" s="54"/>
      <c r="Q126" s="54"/>
      <c r="R126" s="54" t="s">
        <v>26</v>
      </c>
      <c r="S126" s="54" t="s">
        <v>26</v>
      </c>
      <c r="T126" s="54"/>
      <c r="U126" s="54"/>
      <c r="V126" s="54"/>
      <c r="W126" s="54" t="s">
        <v>494</v>
      </c>
      <c r="X126" s="54" t="s">
        <v>494</v>
      </c>
      <c r="Y126" s="54" t="s">
        <v>494</v>
      </c>
      <c r="Z126" s="54"/>
      <c r="AA126" s="54"/>
      <c r="AB126" s="54"/>
      <c r="AC126" s="55"/>
    </row>
    <row r="127" spans="2:29" ht="39.950000000000003" customHeight="1">
      <c r="B127" s="23"/>
      <c r="C127" s="242"/>
      <c r="D127" s="151">
        <v>209</v>
      </c>
      <c r="E127" s="150" t="str">
        <f t="shared" ca="1" si="1"/>
        <v>A</v>
      </c>
      <c r="F127" s="151" t="s">
        <v>477</v>
      </c>
      <c r="G127" s="153" t="s">
        <v>478</v>
      </c>
      <c r="H127" s="315"/>
      <c r="I127" s="315"/>
      <c r="J127" s="556"/>
      <c r="K127" s="53"/>
      <c r="L127" s="54" t="s">
        <v>494</v>
      </c>
      <c r="M127" s="54" t="s">
        <v>494</v>
      </c>
      <c r="N127" s="54" t="s">
        <v>494</v>
      </c>
      <c r="O127" s="54"/>
      <c r="P127" s="54"/>
      <c r="Q127" s="54"/>
      <c r="R127" s="54" t="s">
        <v>26</v>
      </c>
      <c r="S127" s="54" t="s">
        <v>26</v>
      </c>
      <c r="T127" s="54"/>
      <c r="U127" s="54"/>
      <c r="V127" s="54"/>
      <c r="W127" s="54" t="s">
        <v>494</v>
      </c>
      <c r="X127" s="54" t="s">
        <v>494</v>
      </c>
      <c r="Y127" s="54" t="s">
        <v>494</v>
      </c>
      <c r="Z127" s="54"/>
      <c r="AA127" s="54"/>
      <c r="AB127" s="54"/>
      <c r="AC127" s="55"/>
    </row>
    <row r="128" spans="2:29" ht="39.950000000000003" customHeight="1">
      <c r="B128" s="616" t="s">
        <v>691</v>
      </c>
      <c r="C128" s="617"/>
      <c r="D128" s="618">
        <v>210</v>
      </c>
      <c r="E128" s="608" t="str">
        <f t="shared" ca="1" si="1"/>
        <v>A</v>
      </c>
      <c r="F128" s="618" t="s">
        <v>417</v>
      </c>
      <c r="G128" s="619" t="s">
        <v>479</v>
      </c>
      <c r="H128" s="620"/>
      <c r="I128" s="620"/>
      <c r="J128" s="621"/>
      <c r="K128" s="612"/>
      <c r="L128" s="613" t="s">
        <v>494</v>
      </c>
      <c r="M128" s="613" t="s">
        <v>494</v>
      </c>
      <c r="N128" s="613" t="s">
        <v>494</v>
      </c>
      <c r="O128" s="613"/>
      <c r="P128" s="613"/>
      <c r="Q128" s="613"/>
      <c r="R128" s="613" t="s">
        <v>26</v>
      </c>
      <c r="S128" s="613" t="s">
        <v>26</v>
      </c>
      <c r="T128" s="613"/>
      <c r="U128" s="613"/>
      <c r="V128" s="613"/>
      <c r="W128" s="613" t="s">
        <v>494</v>
      </c>
      <c r="X128" s="613" t="s">
        <v>494</v>
      </c>
      <c r="Y128" s="613" t="s">
        <v>494</v>
      </c>
      <c r="Z128" s="613"/>
      <c r="AA128" s="613"/>
      <c r="AB128" s="613"/>
      <c r="AC128" s="615"/>
    </row>
    <row r="129" spans="2:29" ht="39.950000000000003" customHeight="1">
      <c r="B129" s="23"/>
      <c r="C129" s="242"/>
      <c r="D129" s="151">
        <v>211</v>
      </c>
      <c r="E129" s="150" t="str">
        <f t="shared" ca="1" si="1"/>
        <v>A</v>
      </c>
      <c r="F129" s="151" t="s">
        <v>96</v>
      </c>
      <c r="G129" s="153" t="s">
        <v>672</v>
      </c>
      <c r="H129" s="315"/>
      <c r="I129" s="315"/>
      <c r="J129" s="556"/>
      <c r="K129" s="53" t="s">
        <v>493</v>
      </c>
      <c r="L129" s="54" t="s">
        <v>494</v>
      </c>
      <c r="M129" s="54" t="s">
        <v>494</v>
      </c>
      <c r="N129" s="54" t="s">
        <v>494</v>
      </c>
      <c r="O129" s="54"/>
      <c r="P129" s="54"/>
      <c r="Q129" s="54"/>
      <c r="R129" s="54" t="s">
        <v>26</v>
      </c>
      <c r="S129" s="54" t="s">
        <v>498</v>
      </c>
      <c r="T129" s="54"/>
      <c r="U129" s="54"/>
      <c r="V129" s="54"/>
      <c r="W129" s="54" t="s">
        <v>494</v>
      </c>
      <c r="X129" s="54" t="s">
        <v>494</v>
      </c>
      <c r="Y129" s="54" t="s">
        <v>494</v>
      </c>
      <c r="Z129" s="54"/>
      <c r="AA129" s="54"/>
      <c r="AB129" s="54" t="s">
        <v>546</v>
      </c>
      <c r="AC129" s="55"/>
    </row>
    <row r="130" spans="2:29" ht="39.950000000000003" customHeight="1">
      <c r="B130" s="23"/>
      <c r="C130" s="242"/>
      <c r="D130" s="151">
        <v>212</v>
      </c>
      <c r="E130" s="150" t="str">
        <f t="shared" ca="1" si="1"/>
        <v>A</v>
      </c>
      <c r="F130" s="151" t="s">
        <v>40</v>
      </c>
      <c r="G130" s="153" t="s">
        <v>480</v>
      </c>
      <c r="H130" s="315"/>
      <c r="I130" s="315"/>
      <c r="J130" s="556"/>
      <c r="K130" s="53"/>
      <c r="L130" s="54" t="s">
        <v>494</v>
      </c>
      <c r="M130" s="54" t="s">
        <v>494</v>
      </c>
      <c r="N130" s="54" t="s">
        <v>494</v>
      </c>
      <c r="O130" s="54"/>
      <c r="P130" s="54"/>
      <c r="Q130" s="54"/>
      <c r="R130" s="54" t="s">
        <v>26</v>
      </c>
      <c r="S130" s="54" t="s">
        <v>26</v>
      </c>
      <c r="T130" s="54"/>
      <c r="U130" s="54"/>
      <c r="V130" s="54"/>
      <c r="W130" s="54" t="s">
        <v>494</v>
      </c>
      <c r="X130" s="54" t="s">
        <v>494</v>
      </c>
      <c r="Y130" s="54" t="s">
        <v>494</v>
      </c>
      <c r="Z130" s="54"/>
      <c r="AA130" s="54"/>
      <c r="AB130" s="54"/>
      <c r="AC130" s="55"/>
    </row>
    <row r="131" spans="2:29" ht="39.950000000000003" customHeight="1">
      <c r="B131" s="23"/>
      <c r="C131" s="242"/>
      <c r="D131" s="151">
        <v>213</v>
      </c>
      <c r="E131" s="150" t="str">
        <f t="shared" ref="E131:E140" ca="1" si="2">IF(AND(D130=D131,D131&gt;0),SUBSTITUTE(ADDRESS(1,COLUMN(INDIRECT(CONCATENATE(E130,1)))+1,4,1),1,""),"A")</f>
        <v>A</v>
      </c>
      <c r="F131" s="151" t="s">
        <v>481</v>
      </c>
      <c r="G131" s="153" t="s">
        <v>482</v>
      </c>
      <c r="H131" s="315"/>
      <c r="I131" s="315"/>
      <c r="J131" s="556"/>
      <c r="K131" s="53"/>
      <c r="L131" s="54" t="s">
        <v>494</v>
      </c>
      <c r="M131" s="54" t="s">
        <v>494</v>
      </c>
      <c r="N131" s="54" t="s">
        <v>494</v>
      </c>
      <c r="O131" s="54"/>
      <c r="P131" s="54"/>
      <c r="Q131" s="54"/>
      <c r="R131" s="54" t="s">
        <v>26</v>
      </c>
      <c r="S131" s="54" t="s">
        <v>26</v>
      </c>
      <c r="T131" s="54"/>
      <c r="U131" s="54"/>
      <c r="V131" s="54"/>
      <c r="W131" s="54" t="s">
        <v>494</v>
      </c>
      <c r="X131" s="54" t="s">
        <v>494</v>
      </c>
      <c r="Y131" s="54" t="s">
        <v>494</v>
      </c>
      <c r="Z131" s="54"/>
      <c r="AA131" s="54"/>
      <c r="AB131" s="54"/>
      <c r="AC131" s="55"/>
    </row>
    <row r="132" spans="2:29" ht="39.950000000000003" customHeight="1">
      <c r="B132" s="23"/>
      <c r="C132" s="242"/>
      <c r="D132" s="151">
        <v>215</v>
      </c>
      <c r="E132" s="150" t="str">
        <f t="shared" ca="1" si="2"/>
        <v>A</v>
      </c>
      <c r="F132" s="151" t="s">
        <v>483</v>
      </c>
      <c r="G132" s="153" t="s">
        <v>484</v>
      </c>
      <c r="H132" s="315"/>
      <c r="I132" s="315"/>
      <c r="J132" s="556"/>
      <c r="K132" s="53"/>
      <c r="L132" s="54" t="s">
        <v>494</v>
      </c>
      <c r="M132" s="54" t="s">
        <v>494</v>
      </c>
      <c r="N132" s="54" t="s">
        <v>494</v>
      </c>
      <c r="O132" s="54"/>
      <c r="P132" s="54"/>
      <c r="Q132" s="54"/>
      <c r="R132" s="54" t="s">
        <v>26</v>
      </c>
      <c r="S132" s="54" t="s">
        <v>26</v>
      </c>
      <c r="T132" s="54"/>
      <c r="U132" s="54"/>
      <c r="V132" s="54"/>
      <c r="W132" s="54" t="s">
        <v>494</v>
      </c>
      <c r="X132" s="54" t="s">
        <v>494</v>
      </c>
      <c r="Y132" s="54" t="s">
        <v>494</v>
      </c>
      <c r="Z132" s="54"/>
      <c r="AA132" s="54"/>
      <c r="AB132" s="54"/>
      <c r="AC132" s="55"/>
    </row>
    <row r="133" spans="2:29" ht="39.950000000000003" customHeight="1">
      <c r="B133" s="23"/>
      <c r="C133" s="242"/>
      <c r="D133" s="151">
        <v>219</v>
      </c>
      <c r="E133" s="150" t="str">
        <f t="shared" ca="1" si="2"/>
        <v>A</v>
      </c>
      <c r="F133" s="151" t="s">
        <v>481</v>
      </c>
      <c r="G133" s="153" t="s">
        <v>485</v>
      </c>
      <c r="H133" s="315"/>
      <c r="I133" s="315"/>
      <c r="J133" s="556"/>
      <c r="K133" s="53"/>
      <c r="L133" s="54" t="s">
        <v>494</v>
      </c>
      <c r="M133" s="54" t="s">
        <v>494</v>
      </c>
      <c r="N133" s="54" t="s">
        <v>494</v>
      </c>
      <c r="O133" s="54"/>
      <c r="P133" s="54"/>
      <c r="Q133" s="54"/>
      <c r="R133" s="54" t="s">
        <v>26</v>
      </c>
      <c r="S133" s="54" t="s">
        <v>26</v>
      </c>
      <c r="T133" s="54"/>
      <c r="U133" s="54"/>
      <c r="V133" s="54"/>
      <c r="W133" s="54" t="s">
        <v>494</v>
      </c>
      <c r="X133" s="54" t="s">
        <v>494</v>
      </c>
      <c r="Y133" s="54" t="s">
        <v>494</v>
      </c>
      <c r="Z133" s="54"/>
      <c r="AA133" s="54"/>
      <c r="AB133" s="54"/>
      <c r="AC133" s="55"/>
    </row>
    <row r="134" spans="2:29" ht="39.950000000000003" customHeight="1">
      <c r="B134" s="616" t="s">
        <v>691</v>
      </c>
      <c r="C134" s="617"/>
      <c r="D134" s="618">
        <v>221</v>
      </c>
      <c r="E134" s="608" t="str">
        <f t="shared" ca="1" si="2"/>
        <v>A</v>
      </c>
      <c r="F134" s="618" t="s">
        <v>486</v>
      </c>
      <c r="G134" s="619" t="s">
        <v>487</v>
      </c>
      <c r="H134" s="620"/>
      <c r="I134" s="620"/>
      <c r="J134" s="621"/>
      <c r="K134" s="612"/>
      <c r="L134" s="613" t="s">
        <v>494</v>
      </c>
      <c r="M134" s="613" t="s">
        <v>494</v>
      </c>
      <c r="N134" s="613" t="s">
        <v>494</v>
      </c>
      <c r="O134" s="613"/>
      <c r="P134" s="613"/>
      <c r="Q134" s="613"/>
      <c r="R134" s="613" t="s">
        <v>26</v>
      </c>
      <c r="S134" s="613" t="s">
        <v>26</v>
      </c>
      <c r="T134" s="613"/>
      <c r="U134" s="613"/>
      <c r="V134" s="613"/>
      <c r="W134" s="613" t="s">
        <v>494</v>
      </c>
      <c r="X134" s="613" t="s">
        <v>494</v>
      </c>
      <c r="Y134" s="613" t="s">
        <v>494</v>
      </c>
      <c r="Z134" s="613"/>
      <c r="AA134" s="613"/>
      <c r="AB134" s="613"/>
      <c r="AC134" s="615"/>
    </row>
    <row r="135" spans="2:29" ht="39.950000000000003" customHeight="1">
      <c r="B135" s="616" t="s">
        <v>691</v>
      </c>
      <c r="C135" s="617"/>
      <c r="D135" s="618">
        <v>222</v>
      </c>
      <c r="E135" s="608" t="str">
        <f t="shared" ca="1" si="2"/>
        <v>A</v>
      </c>
      <c r="F135" s="618" t="s">
        <v>34</v>
      </c>
      <c r="G135" s="619" t="s">
        <v>488</v>
      </c>
      <c r="H135" s="620"/>
      <c r="I135" s="620"/>
      <c r="J135" s="621"/>
      <c r="K135" s="612"/>
      <c r="L135" s="613" t="s">
        <v>494</v>
      </c>
      <c r="M135" s="613" t="s">
        <v>494</v>
      </c>
      <c r="N135" s="613" t="s">
        <v>494</v>
      </c>
      <c r="O135" s="613"/>
      <c r="P135" s="613"/>
      <c r="Q135" s="613"/>
      <c r="R135" s="613" t="s">
        <v>26</v>
      </c>
      <c r="S135" s="613" t="s">
        <v>26</v>
      </c>
      <c r="T135" s="613"/>
      <c r="U135" s="613"/>
      <c r="V135" s="613"/>
      <c r="W135" s="613" t="s">
        <v>494</v>
      </c>
      <c r="X135" s="613" t="s">
        <v>494</v>
      </c>
      <c r="Y135" s="613" t="s">
        <v>494</v>
      </c>
      <c r="Z135" s="613"/>
      <c r="AA135" s="613"/>
      <c r="AB135" s="613"/>
      <c r="AC135" s="615"/>
    </row>
    <row r="136" spans="2:29" ht="39.950000000000003" customHeight="1">
      <c r="B136" s="616" t="s">
        <v>691</v>
      </c>
      <c r="C136" s="617"/>
      <c r="D136" s="618">
        <v>224</v>
      </c>
      <c r="E136" s="608" t="str">
        <f t="shared" ca="1" si="2"/>
        <v>A</v>
      </c>
      <c r="F136" s="618" t="s">
        <v>40</v>
      </c>
      <c r="G136" s="619" t="s">
        <v>489</v>
      </c>
      <c r="H136" s="620"/>
      <c r="I136" s="620"/>
      <c r="J136" s="621"/>
      <c r="K136" s="612"/>
      <c r="L136" s="613" t="s">
        <v>494</v>
      </c>
      <c r="M136" s="613" t="s">
        <v>494</v>
      </c>
      <c r="N136" s="613" t="s">
        <v>494</v>
      </c>
      <c r="O136" s="613"/>
      <c r="P136" s="613"/>
      <c r="Q136" s="613"/>
      <c r="R136" s="613" t="s">
        <v>26</v>
      </c>
      <c r="S136" s="613" t="s">
        <v>26</v>
      </c>
      <c r="T136" s="613"/>
      <c r="U136" s="613"/>
      <c r="V136" s="613"/>
      <c r="W136" s="613" t="s">
        <v>494</v>
      </c>
      <c r="X136" s="613" t="s">
        <v>494</v>
      </c>
      <c r="Y136" s="613" t="s">
        <v>494</v>
      </c>
      <c r="Z136" s="613"/>
      <c r="AA136" s="613"/>
      <c r="AB136" s="613"/>
      <c r="AC136" s="615"/>
    </row>
    <row r="137" spans="2:29" ht="39.950000000000003" customHeight="1">
      <c r="B137" s="616" t="s">
        <v>691</v>
      </c>
      <c r="C137" s="617"/>
      <c r="D137" s="618">
        <v>225</v>
      </c>
      <c r="E137" s="608" t="str">
        <f t="shared" ca="1" si="2"/>
        <v>A</v>
      </c>
      <c r="F137" s="618" t="s">
        <v>445</v>
      </c>
      <c r="G137" s="619" t="s">
        <v>490</v>
      </c>
      <c r="H137" s="620"/>
      <c r="I137" s="620"/>
      <c r="J137" s="621"/>
      <c r="K137" s="612"/>
      <c r="L137" s="613" t="s">
        <v>494</v>
      </c>
      <c r="M137" s="613" t="s">
        <v>494</v>
      </c>
      <c r="N137" s="613" t="s">
        <v>494</v>
      </c>
      <c r="O137" s="613"/>
      <c r="P137" s="613"/>
      <c r="Q137" s="613"/>
      <c r="R137" s="613" t="s">
        <v>26</v>
      </c>
      <c r="S137" s="613" t="s">
        <v>26</v>
      </c>
      <c r="T137" s="613"/>
      <c r="U137" s="613"/>
      <c r="V137" s="613"/>
      <c r="W137" s="613" t="s">
        <v>494</v>
      </c>
      <c r="X137" s="613" t="s">
        <v>494</v>
      </c>
      <c r="Y137" s="613" t="s">
        <v>494</v>
      </c>
      <c r="Z137" s="613"/>
      <c r="AA137" s="613"/>
      <c r="AB137" s="613"/>
      <c r="AC137" s="615"/>
    </row>
    <row r="138" spans="2:29" ht="39.950000000000003" customHeight="1">
      <c r="B138" s="616" t="s">
        <v>691</v>
      </c>
      <c r="C138" s="617"/>
      <c r="D138" s="618">
        <v>227</v>
      </c>
      <c r="E138" s="608" t="str">
        <f t="shared" ca="1" si="2"/>
        <v>A</v>
      </c>
      <c r="F138" s="618" t="s">
        <v>483</v>
      </c>
      <c r="G138" s="619" t="s">
        <v>484</v>
      </c>
      <c r="H138" s="620"/>
      <c r="I138" s="620"/>
      <c r="J138" s="621"/>
      <c r="K138" s="612"/>
      <c r="L138" s="613" t="s">
        <v>494</v>
      </c>
      <c r="M138" s="613" t="s">
        <v>494</v>
      </c>
      <c r="N138" s="613" t="s">
        <v>494</v>
      </c>
      <c r="O138" s="613"/>
      <c r="P138" s="613"/>
      <c r="Q138" s="613"/>
      <c r="R138" s="613" t="s">
        <v>26</v>
      </c>
      <c r="S138" s="613" t="s">
        <v>26</v>
      </c>
      <c r="T138" s="613"/>
      <c r="U138" s="613"/>
      <c r="V138" s="613"/>
      <c r="W138" s="613" t="s">
        <v>494</v>
      </c>
      <c r="X138" s="613" t="s">
        <v>494</v>
      </c>
      <c r="Y138" s="613" t="s">
        <v>494</v>
      </c>
      <c r="Z138" s="613"/>
      <c r="AA138" s="613"/>
      <c r="AB138" s="613"/>
      <c r="AC138" s="615"/>
    </row>
    <row r="139" spans="2:29" ht="39.950000000000003" customHeight="1">
      <c r="B139" s="23"/>
      <c r="C139" s="242"/>
      <c r="D139" s="151">
        <v>231</v>
      </c>
      <c r="E139" s="150" t="str">
        <f t="shared" ca="1" si="2"/>
        <v>A</v>
      </c>
      <c r="F139" s="151" t="s">
        <v>491</v>
      </c>
      <c r="G139" s="153" t="s">
        <v>492</v>
      </c>
      <c r="H139" s="315"/>
      <c r="I139" s="315"/>
      <c r="J139" s="556"/>
      <c r="K139" s="53"/>
      <c r="L139" s="54" t="s">
        <v>494</v>
      </c>
      <c r="M139" s="54" t="s">
        <v>494</v>
      </c>
      <c r="N139" s="54" t="s">
        <v>494</v>
      </c>
      <c r="O139" s="54"/>
      <c r="P139" s="54"/>
      <c r="Q139" s="54"/>
      <c r="R139" s="54" t="s">
        <v>26</v>
      </c>
      <c r="S139" s="54" t="s">
        <v>26</v>
      </c>
      <c r="T139" s="54"/>
      <c r="U139" s="54"/>
      <c r="V139" s="54"/>
      <c r="W139" s="54" t="s">
        <v>494</v>
      </c>
      <c r="X139" s="54" t="s">
        <v>494</v>
      </c>
      <c r="Y139" s="54" t="s">
        <v>494</v>
      </c>
      <c r="Z139" s="54"/>
      <c r="AA139" s="54"/>
      <c r="AB139" s="54"/>
      <c r="AC139" s="55"/>
    </row>
    <row r="140" spans="2:29" ht="39.950000000000003" customHeight="1" thickBot="1">
      <c r="B140" s="270"/>
      <c r="C140" s="276"/>
      <c r="D140" s="277"/>
      <c r="E140" s="277" t="str">
        <f t="shared" ca="1" si="2"/>
        <v>A</v>
      </c>
      <c r="F140" s="277"/>
      <c r="G140" s="278"/>
      <c r="H140" s="316"/>
      <c r="I140" s="316"/>
      <c r="J140" s="557"/>
      <c r="K140" s="279"/>
      <c r="L140" s="280" t="s">
        <v>494</v>
      </c>
      <c r="M140" s="280"/>
      <c r="N140" s="280" t="s">
        <v>494</v>
      </c>
      <c r="O140" s="280"/>
      <c r="P140" s="280"/>
      <c r="Q140" s="280"/>
      <c r="R140" s="280" t="s">
        <v>26</v>
      </c>
      <c r="S140" s="280" t="s">
        <v>26</v>
      </c>
      <c r="T140" s="280"/>
      <c r="U140" s="280"/>
      <c r="V140" s="280"/>
      <c r="W140" s="280" t="s">
        <v>494</v>
      </c>
      <c r="X140" s="280" t="s">
        <v>494</v>
      </c>
      <c r="Y140" s="280" t="s">
        <v>494</v>
      </c>
      <c r="Z140" s="280"/>
      <c r="AA140" s="280"/>
      <c r="AB140" s="280"/>
      <c r="AC140" s="281"/>
    </row>
    <row r="141" spans="2:29" ht="15" customHeight="1" thickBot="1"/>
    <row r="142" spans="2:29" ht="30" customHeight="1" thickBot="1">
      <c r="B142" s="266" t="s">
        <v>311</v>
      </c>
      <c r="C142" s="267" t="s">
        <v>100</v>
      </c>
      <c r="D142" s="267" t="s">
        <v>312</v>
      </c>
      <c r="E142" s="695" t="s">
        <v>313</v>
      </c>
      <c r="F142" s="695"/>
      <c r="G142" s="695"/>
      <c r="H142" s="695"/>
      <c r="I142" s="695"/>
      <c r="J142" s="695"/>
      <c r="K142" s="430" t="s">
        <v>365</v>
      </c>
    </row>
    <row r="143" spans="2:29" ht="30" customHeight="1">
      <c r="B143" s="268" t="s">
        <v>499</v>
      </c>
      <c r="C143" s="269" t="s">
        <v>10</v>
      </c>
      <c r="D143" s="433">
        <v>45355</v>
      </c>
      <c r="E143" s="694" t="s">
        <v>314</v>
      </c>
      <c r="F143" s="694"/>
      <c r="G143" s="694"/>
      <c r="H143" s="694"/>
      <c r="I143" s="694"/>
      <c r="J143" s="694"/>
      <c r="K143" s="434">
        <v>45369</v>
      </c>
    </row>
    <row r="144" spans="2:29" ht="30" customHeight="1">
      <c r="B144" s="9" t="s">
        <v>500</v>
      </c>
      <c r="C144" s="10" t="s">
        <v>501</v>
      </c>
      <c r="D144" s="422">
        <v>45372</v>
      </c>
      <c r="E144" s="692" t="s">
        <v>555</v>
      </c>
      <c r="F144" s="692"/>
      <c r="G144" s="692"/>
      <c r="H144" s="692"/>
      <c r="I144" s="692"/>
      <c r="J144" s="692"/>
      <c r="K144" s="439">
        <v>45399</v>
      </c>
    </row>
    <row r="145" spans="2:11" ht="30" customHeight="1">
      <c r="B145" s="9" t="s">
        <v>537</v>
      </c>
      <c r="C145" s="10" t="s">
        <v>556</v>
      </c>
      <c r="D145" s="422">
        <v>45399</v>
      </c>
      <c r="E145" s="692" t="s">
        <v>591</v>
      </c>
      <c r="F145" s="692"/>
      <c r="G145" s="692"/>
      <c r="H145" s="692"/>
      <c r="I145" s="692"/>
      <c r="J145" s="692"/>
      <c r="K145" s="439">
        <v>45434</v>
      </c>
    </row>
    <row r="146" spans="2:11" ht="30" customHeight="1">
      <c r="B146" s="9" t="s">
        <v>500</v>
      </c>
      <c r="C146" s="10" t="s">
        <v>684</v>
      </c>
      <c r="D146" s="422">
        <v>45434</v>
      </c>
      <c r="E146" s="692" t="s">
        <v>26</v>
      </c>
      <c r="F146" s="692"/>
      <c r="G146" s="692"/>
      <c r="H146" s="692"/>
      <c r="I146" s="692"/>
      <c r="J146" s="692"/>
      <c r="K146" s="11" t="s">
        <v>26</v>
      </c>
    </row>
    <row r="147" spans="2:11" ht="30" customHeight="1">
      <c r="B147" s="9"/>
      <c r="C147" s="10"/>
      <c r="D147" s="10"/>
      <c r="E147" s="692"/>
      <c r="F147" s="692"/>
      <c r="G147" s="692"/>
      <c r="H147" s="692"/>
      <c r="I147" s="692"/>
      <c r="J147" s="692"/>
      <c r="K147" s="11"/>
    </row>
    <row r="148" spans="2:11" ht="30" customHeight="1">
      <c r="B148" s="9"/>
      <c r="C148" s="10"/>
      <c r="D148" s="10"/>
      <c r="E148" s="692"/>
      <c r="F148" s="692"/>
      <c r="G148" s="692"/>
      <c r="H148" s="692"/>
      <c r="I148" s="692"/>
      <c r="J148" s="692"/>
      <c r="K148" s="11"/>
    </row>
    <row r="149" spans="2:11" ht="30" customHeight="1">
      <c r="B149" s="9"/>
      <c r="C149" s="10"/>
      <c r="D149" s="10"/>
      <c r="E149" s="692"/>
      <c r="F149" s="692"/>
      <c r="G149" s="692"/>
      <c r="H149" s="692"/>
      <c r="I149" s="692"/>
      <c r="J149" s="692"/>
      <c r="K149" s="11"/>
    </row>
    <row r="150" spans="2:11" ht="30" customHeight="1">
      <c r="B150" s="9"/>
      <c r="C150" s="10"/>
      <c r="D150" s="10"/>
      <c r="E150" s="692"/>
      <c r="F150" s="692"/>
      <c r="G150" s="692"/>
      <c r="H150" s="692"/>
      <c r="I150" s="692"/>
      <c r="J150" s="692"/>
      <c r="K150" s="11"/>
    </row>
    <row r="151" spans="2:11" ht="30" customHeight="1">
      <c r="B151" s="9"/>
      <c r="C151" s="10"/>
      <c r="D151" s="10"/>
      <c r="E151" s="692"/>
      <c r="F151" s="692"/>
      <c r="G151" s="692"/>
      <c r="H151" s="692"/>
      <c r="I151" s="692"/>
      <c r="J151" s="692"/>
      <c r="K151" s="11"/>
    </row>
    <row r="152" spans="2:11" ht="30" customHeight="1" thickBot="1">
      <c r="B152" s="270"/>
      <c r="C152" s="271"/>
      <c r="D152" s="271"/>
      <c r="E152" s="693"/>
      <c r="F152" s="693"/>
      <c r="G152" s="693"/>
      <c r="H152" s="693"/>
      <c r="I152" s="693"/>
      <c r="J152" s="693"/>
      <c r="K152" s="431"/>
    </row>
  </sheetData>
  <sheetProtection algorithmName="SHA-512" hashValue="5IKYcnYJl3nSOwX8r71+y8WLy0AS3sxabkx3din/vRh5YQvMaDSwc7Uin1xrjJiIhRl2YuuCVnCehDKYeFY/nw==" saltValue="OUmJJ/EyEABXT+4u98QoGA==" spinCount="100000" sheet="1" objects="1" scenarios="1" formatCells="0" formatColumns="0" formatRows="0" insertHyperlinks="0" autoFilter="0" pivotTables="0"/>
  <autoFilter ref="B7:AB140" xr:uid="{00000000-0009-0000-0000-000001000000}"/>
  <mergeCells count="20">
    <mergeCell ref="B2:C2"/>
    <mergeCell ref="B3:C3"/>
    <mergeCell ref="R7:S7"/>
    <mergeCell ref="K6:AB6"/>
    <mergeCell ref="J4:J5"/>
    <mergeCell ref="B5:E5"/>
    <mergeCell ref="B4:E4"/>
    <mergeCell ref="D3:E3"/>
    <mergeCell ref="D2:E2"/>
    <mergeCell ref="E146:J146"/>
    <mergeCell ref="E145:J145"/>
    <mergeCell ref="E144:J144"/>
    <mergeCell ref="E143:J143"/>
    <mergeCell ref="E142:J142"/>
    <mergeCell ref="E147:J147"/>
    <mergeCell ref="E152:J152"/>
    <mergeCell ref="E151:J151"/>
    <mergeCell ref="E150:J150"/>
    <mergeCell ref="E149:J149"/>
    <mergeCell ref="E148:J148"/>
  </mergeCells>
  <dataValidations count="6">
    <dataValidation allowBlank="1" showInputMessage="1" sqref="J1:J4 J153:J1048576 J6:J141" xr:uid="{00000000-0002-0000-0100-000000000000}"/>
    <dataValidation type="list" allowBlank="1" showInputMessage="1" showErrorMessage="1" sqref="V9 V11 V14 V22:V24 V26:V28 V31 V40:V41 V45 V49 V51 V53:V55 V57:V58 V63 V69:V72 V76 V78 V83:V89 V93:V94 V96:V98 V102:V117 V123:V124 V126:V140 Q25:Q140" xr:uid="{00000000-0002-0000-0100-000001000000}">
      <formula1>"0,1"</formula1>
    </dataValidation>
    <dataValidation type="list" allowBlank="1" showInputMessage="1" showErrorMessage="1" sqref="R8:R140" xr:uid="{00000000-0002-0000-0100-000002000000}">
      <formula1>"Tete, Pied"</formula1>
    </dataValidation>
    <dataValidation type="list" allowBlank="1" showInputMessage="1" showErrorMessage="1" sqref="S8:S140" xr:uid="{00000000-0002-0000-0100-000003000000}">
      <formula1>"Droite, Gauche"</formula1>
    </dataValidation>
    <dataValidation type="list" allowBlank="1" showInputMessage="1" showErrorMessage="1" sqref="L8:M140" xr:uid="{00000000-0002-0000-0100-000004000000}">
      <formula1>"OUI,NON"</formula1>
    </dataValidation>
    <dataValidation type="list" allowBlank="1" showInputMessage="1" sqref="B8:B140" xr:uid="{00000000-0002-0000-0100-000005000000}">
      <formula1>"NVX,SUP,MOD"</formula1>
    </dataValidation>
  </dataValidations>
  <printOptions horizontalCentered="1"/>
  <pageMargins left="0.25" right="0.25" top="0.75" bottom="0.75" header="0.3" footer="0.3"/>
  <pageSetup paperSize="8" scale="36" fitToHeight="0" orientation="landscape" r:id="rId1"/>
  <rowBreaks count="1" manualBreakCount="1">
    <brk id="141" max="25" man="1"/>
  </rowBreaks>
  <drawing r:id="rId2"/>
  <legacyDrawing r:id="rId3"/>
  <controls>
    <mc:AlternateContent xmlns:mc="http://schemas.openxmlformats.org/markup-compatibility/2006">
      <mc:Choice Requires="x14">
        <control shapeId="1029" r:id="rId4" name="CommandButton3">
          <controlPr defaultSize="0" autoLine="0" r:id="rId5">
            <anchor moveWithCells="1">
              <from>
                <xdr:col>30</xdr:col>
                <xdr:colOff>361950</xdr:colOff>
                <xdr:row>6</xdr:row>
                <xdr:rowOff>504825</xdr:rowOff>
              </from>
              <to>
                <xdr:col>33</xdr:col>
                <xdr:colOff>323850</xdr:colOff>
                <xdr:row>7</xdr:row>
                <xdr:rowOff>361950</xdr:rowOff>
              </to>
            </anchor>
          </controlPr>
        </control>
      </mc:Choice>
      <mc:Fallback>
        <control shapeId="1029" r:id="rId4" name="CommandButton3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30</xdr:col>
                <xdr:colOff>361950</xdr:colOff>
                <xdr:row>2</xdr:row>
                <xdr:rowOff>104775</xdr:rowOff>
              </from>
              <to>
                <xdr:col>32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8" r:id="rId8" name="CommandButton2">
          <controlPr defaultSize="0" autoLine="0" r:id="rId9">
            <anchor moveWithCells="1">
              <from>
                <xdr:col>30</xdr:col>
                <xdr:colOff>352425</xdr:colOff>
                <xdr:row>4</xdr:row>
                <xdr:rowOff>66675</xdr:rowOff>
              </from>
              <to>
                <xdr:col>32</xdr:col>
                <xdr:colOff>219075</xdr:colOff>
                <xdr:row>5</xdr:row>
                <xdr:rowOff>247650</xdr:rowOff>
              </to>
            </anchor>
          </controlPr>
        </control>
      </mc:Choice>
      <mc:Fallback>
        <control shapeId="1028" r:id="rId8" name="CommandButton2"/>
      </mc:Fallback>
    </mc:AlternateContent>
    <mc:AlternateContent xmlns:mc="http://schemas.openxmlformats.org/markup-compatibility/2006">
      <mc:Choice Requires="x14">
        <control shapeId="1030" r:id="rId10" name="CommandButton4">
          <controlPr defaultSize="0" autoLine="0" r:id="rId11">
            <anchor moveWithCells="1">
              <from>
                <xdr:col>30</xdr:col>
                <xdr:colOff>352425</xdr:colOff>
                <xdr:row>5</xdr:row>
                <xdr:rowOff>342900</xdr:rowOff>
              </from>
              <to>
                <xdr:col>33</xdr:col>
                <xdr:colOff>419100</xdr:colOff>
                <xdr:row>6</xdr:row>
                <xdr:rowOff>428625</xdr:rowOff>
              </to>
            </anchor>
          </controlPr>
        </control>
      </mc:Choice>
      <mc:Fallback>
        <control shapeId="1030" r:id="rId10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100-000006000000}">
          <x14:formula1>
            <xm:f>données!$B$4:$B$30</xm:f>
          </x14:formula1>
          <xm:sqref>F8:F140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 filterMode="1">
    <tabColor rgb="FFFFC000"/>
    <pageSetUpPr fitToPage="1"/>
  </sheetPr>
  <dimension ref="B1:AA152"/>
  <sheetViews>
    <sheetView showGridLines="0" view="pageBreakPreview" zoomScale="70" zoomScaleNormal="70" zoomScaleSheetLayoutView="70" workbookViewId="0">
      <selection activeCell="I91" sqref="I91"/>
    </sheetView>
  </sheetViews>
  <sheetFormatPr baseColWidth="10" defaultColWidth="11.42578125" defaultRowHeight="15"/>
  <cols>
    <col min="1" max="1" width="3.5703125" style="1" customWidth="1"/>
    <col min="2" max="2" width="12.5703125" style="1" customWidth="1"/>
    <col min="3" max="4" width="14.28515625" style="1" customWidth="1"/>
    <col min="5" max="5" width="7.140625" style="1" customWidth="1"/>
    <col min="6" max="6" width="13.5703125" style="1" customWidth="1"/>
    <col min="7" max="7" width="75.140625" style="1" bestFit="1" customWidth="1"/>
    <col min="8" max="8" width="23.42578125" style="2" bestFit="1" customWidth="1"/>
    <col min="9" max="9" width="25.5703125" style="2" customWidth="1"/>
    <col min="10" max="10" width="19.85546875" style="2" customWidth="1"/>
    <col min="11" max="13" width="26.42578125" style="6" customWidth="1"/>
    <col min="14" max="21" width="28.5703125" style="6" customWidth="1"/>
    <col min="22" max="22" width="3.5703125" style="7" customWidth="1"/>
    <col min="23" max="16384" width="11.42578125" style="1"/>
  </cols>
  <sheetData>
    <row r="1" spans="2:27" s="49" customFormat="1" ht="18.75" customHeight="1" thickBot="1">
      <c r="H1" s="51"/>
      <c r="I1" s="51"/>
      <c r="J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</row>
    <row r="2" spans="2:27" s="49" customFormat="1" ht="19.5" customHeight="1" thickBot="1">
      <c r="B2" s="696" t="s">
        <v>0</v>
      </c>
      <c r="C2" s="697"/>
      <c r="D2" s="696" t="s">
        <v>100</v>
      </c>
      <c r="E2" s="697"/>
      <c r="H2" s="51" t="s">
        <v>23</v>
      </c>
      <c r="I2" s="51"/>
      <c r="J2" s="51"/>
      <c r="M2" s="51"/>
      <c r="N2" s="51"/>
      <c r="O2" s="711"/>
      <c r="P2" s="711"/>
      <c r="Q2" s="711"/>
      <c r="R2" s="711"/>
      <c r="S2" s="711"/>
      <c r="T2" s="711"/>
      <c r="U2" s="711"/>
      <c r="V2" s="711"/>
      <c r="W2" s="711"/>
      <c r="X2" s="711"/>
      <c r="Y2" s="711"/>
      <c r="Z2" s="711"/>
      <c r="AA2" s="711"/>
    </row>
    <row r="3" spans="2:27" s="49" customFormat="1" ht="30" customHeight="1" thickBot="1">
      <c r="B3" s="706">
        <f>NOMENCLATURE_GEN!B3</f>
        <v>224102</v>
      </c>
      <c r="C3" s="664"/>
      <c r="D3" s="706" t="str">
        <f>LOOKUP(2,1/(C:C&lt;&gt;""),C:C)</f>
        <v>B</v>
      </c>
      <c r="E3" s="664"/>
      <c r="H3" s="52" t="s">
        <v>13</v>
      </c>
      <c r="I3" s="51"/>
      <c r="J3" s="51"/>
      <c r="K3" s="712"/>
      <c r="L3" s="712"/>
      <c r="M3" s="712"/>
      <c r="N3" s="712"/>
      <c r="O3" s="712"/>
      <c r="P3" s="712"/>
      <c r="Q3" s="712"/>
      <c r="R3" s="712"/>
      <c r="S3" s="712"/>
      <c r="T3" s="712"/>
      <c r="U3" s="712"/>
      <c r="V3" s="712"/>
      <c r="W3" s="712"/>
      <c r="X3" s="712"/>
      <c r="Y3" s="712"/>
      <c r="Z3" s="712"/>
      <c r="AA3" s="712"/>
    </row>
    <row r="4" spans="2:27" s="49" customFormat="1" ht="19.5" customHeight="1" thickBot="1">
      <c r="B4" s="696" t="s">
        <v>159</v>
      </c>
      <c r="C4" s="705"/>
      <c r="D4" s="705"/>
      <c r="E4" s="697"/>
      <c r="H4" s="51"/>
      <c r="I4" s="51"/>
      <c r="J4" s="703"/>
    </row>
    <row r="5" spans="2:27" s="49" customFormat="1" ht="25.15" customHeight="1" thickBot="1">
      <c r="B5" s="706" t="str">
        <f>NOMENCLATURE_GEN!B5</f>
        <v>PAPREC - CHAGNY</v>
      </c>
      <c r="C5" s="663"/>
      <c r="D5" s="663"/>
      <c r="E5" s="664"/>
      <c r="H5" s="51"/>
      <c r="I5" s="51"/>
      <c r="J5" s="703"/>
    </row>
    <row r="6" spans="2:27" ht="32.25" customHeight="1" thickBot="1">
      <c r="K6" s="707" t="s">
        <v>278</v>
      </c>
      <c r="L6" s="708"/>
      <c r="M6" s="708"/>
      <c r="N6" s="709"/>
      <c r="O6" s="709"/>
      <c r="P6" s="709"/>
      <c r="Q6" s="709"/>
      <c r="R6" s="709"/>
      <c r="S6" s="709"/>
      <c r="T6" s="709"/>
      <c r="U6" s="710"/>
    </row>
    <row r="7" spans="2:27" ht="53.25" customHeight="1" thickBot="1">
      <c r="B7" s="244" t="str">
        <f>NOMENCLATURE_GEN!B7</f>
        <v>NVX /
SUP /
MOD /</v>
      </c>
      <c r="C7" s="245" t="str">
        <f>NOMENCLATURE_GEN!C7</f>
        <v>REPERE CLIENT</v>
      </c>
      <c r="D7" s="246" t="str">
        <f>NOMENCLATURE_GEN!D7</f>
        <v>REPERE VAUCHE</v>
      </c>
      <c r="E7" s="173" t="s">
        <v>353</v>
      </c>
      <c r="F7" s="247" t="str">
        <f>NOMENCLATURE_GEN!F7</f>
        <v xml:space="preserve">TYPE </v>
      </c>
      <c r="G7" s="247" t="str">
        <f>NOMENCLATURE_GEN!G7</f>
        <v>DESIGNATION</v>
      </c>
      <c r="H7" s="247" t="str">
        <f>NOMENCLATURE_GEN!H7</f>
        <v>LARGEUR 
DE BANDE (mm)</v>
      </c>
      <c r="I7" s="247" t="str">
        <f>NOMENCLATURE_GEN!I7</f>
        <v>LONGEUR HORS TOUT (mm)</v>
      </c>
      <c r="J7" s="248" t="str">
        <f>NOMENCLATURE_GEN!J7</f>
        <v>INCLINAISON (°)</v>
      </c>
      <c r="K7" s="172" t="s">
        <v>279</v>
      </c>
      <c r="L7" s="173" t="s">
        <v>280</v>
      </c>
      <c r="M7" s="176" t="s">
        <v>284</v>
      </c>
      <c r="N7" s="172" t="s">
        <v>281</v>
      </c>
      <c r="O7" s="173" t="s">
        <v>282</v>
      </c>
      <c r="P7" s="173" t="s">
        <v>330</v>
      </c>
      <c r="Q7" s="173" t="s">
        <v>329</v>
      </c>
      <c r="R7" s="173" t="s">
        <v>331</v>
      </c>
      <c r="S7" s="173" t="s">
        <v>332</v>
      </c>
      <c r="T7" s="173" t="s">
        <v>333</v>
      </c>
      <c r="U7" s="174" t="s">
        <v>334</v>
      </c>
    </row>
    <row r="8" spans="2:27" s="3" customFormat="1" ht="39.950000000000003" hidden="1" customHeight="1">
      <c r="B8" s="126" t="str">
        <f>IF(NOMENCLATURE_GEN!B8="","",NOMENCLATURE_GEN!B8)</f>
        <v/>
      </c>
      <c r="C8" s="127" t="str">
        <f>IF(NOMENCLATURE_GEN!C8="","",NOMENCLATURE_GEN!C8)</f>
        <v/>
      </c>
      <c r="D8" s="127">
        <f>IF(NOMENCLATURE_GEN!D8="","",NOMENCLATURE_GEN!D8)</f>
        <v>101</v>
      </c>
      <c r="E8" s="127" t="str">
        <f ca="1">IF(NOMENCLATURE_GEN!E8="","",NOMENCLATURE_GEN!E8)</f>
        <v>A</v>
      </c>
      <c r="F8" s="127" t="str">
        <f>IF(NOMENCLATURE_GEN!F8="","",NOMENCLATURE_GEN!F8)</f>
        <v>EAB</v>
      </c>
      <c r="G8" s="309" t="str">
        <f>IF(NOMENCLATURE_GEN!G8="","",NOMENCLATURE_GEN!G8)</f>
        <v>Convoyeur à bande et chaines de reprise des BRS</v>
      </c>
      <c r="H8" s="127">
        <f>IF(NOMENCLATURE_GEN!H8="","",NOMENCLATURE_GEN!H8)</f>
        <v>1600</v>
      </c>
      <c r="I8" s="127">
        <f>IF(NOMENCLATURE_GEN!I8="","",NOMENCLATURE_GEN!I8)</f>
        <v>33400</v>
      </c>
      <c r="J8" s="128">
        <f>IF(NOMENCLATURE_GEN!J8="","",NOMENCLATURE_GEN!J8)</f>
        <v>35</v>
      </c>
      <c r="K8" s="306" t="str">
        <f>IF(Motorisation!L8="","",Motorisation!L8)</f>
        <v>KA 107</v>
      </c>
      <c r="L8" s="307" t="str">
        <f>IF(NOMENCLATURE_GEN!R8="","",NOMENCLATURE_GEN!R8)</f>
        <v>Tete</v>
      </c>
      <c r="M8" s="308" t="str">
        <f>IF(NOMENCLATURE_GEN!L8="","",NOMENCLATURE_GEN!L8)</f>
        <v>NON</v>
      </c>
      <c r="N8" s="291"/>
      <c r="O8" s="283"/>
      <c r="P8" s="283"/>
      <c r="Q8" s="283"/>
      <c r="R8" s="283"/>
      <c r="S8" s="283"/>
      <c r="T8" s="283"/>
      <c r="U8" s="290"/>
      <c r="V8" s="7"/>
    </row>
    <row r="9" spans="2:27" s="3" customFormat="1" ht="39.950000000000003" hidden="1" customHeight="1">
      <c r="B9" s="129" t="str">
        <f>IF(NOMENCLATURE_GEN!B9="","",NOMENCLATURE_GEN!B9)</f>
        <v/>
      </c>
      <c r="C9" s="243" t="str">
        <f>IF(NOMENCLATURE_GEN!C9="","",NOMENCLATURE_GEN!C9)</f>
        <v/>
      </c>
      <c r="D9" s="4">
        <f>IF(NOMENCLATURE_GEN!D9="","",NOMENCLATURE_GEN!D9)</f>
        <v>101</v>
      </c>
      <c r="E9" s="4" t="str">
        <f ca="1">IF(NOMENCLATURE_GEN!E9="","",NOMENCLATURE_GEN!E9)</f>
        <v>B</v>
      </c>
      <c r="F9" s="4" t="str">
        <f>IF(NOMENCLATURE_GEN!F9="","",NOMENCLATURE_GEN!F9)</f>
        <v>GRA</v>
      </c>
      <c r="G9" s="310" t="str">
        <f>IF(NOMENCLATURE_GEN!G9="","",NOMENCLATURE_GEN!G9)</f>
        <v>Convoyeur à bande et chaines - Centrale de graissage</v>
      </c>
      <c r="H9" s="4" t="str">
        <f>IF(NOMENCLATURE_GEN!H9="","",NOMENCLATURE_GEN!H9)</f>
        <v/>
      </c>
      <c r="I9" s="4" t="str">
        <f>IF(NOMENCLATURE_GEN!I9="","",NOMENCLATURE_GEN!I9)</f>
        <v/>
      </c>
      <c r="J9" s="130" t="str">
        <f>IF(NOMENCLATURE_GEN!J9="","",NOMENCLATURE_GEN!J9)</f>
        <v/>
      </c>
      <c r="K9" s="158" t="str">
        <f>IF(Motorisation!L9="","",Motorisation!L9)</f>
        <v/>
      </c>
      <c r="L9" s="159" t="str">
        <f>IF(NOMENCLATURE_GEN!R9="","",NOMENCLATURE_GEN!R9)</f>
        <v>-</v>
      </c>
      <c r="M9" s="164" t="str">
        <f>IF(NOMENCLATURE_GEN!L9="","",NOMENCLATURE_GEN!L9)</f>
        <v>NON</v>
      </c>
      <c r="N9" s="110"/>
      <c r="O9" s="13"/>
      <c r="P9" s="13"/>
      <c r="Q9" s="13"/>
      <c r="R9" s="13"/>
      <c r="S9" s="13"/>
      <c r="T9" s="13"/>
      <c r="U9" s="83"/>
      <c r="V9" s="7"/>
    </row>
    <row r="10" spans="2:27" s="3" customFormat="1" ht="39.950000000000003" customHeight="1">
      <c r="B10" s="129" t="str">
        <f>IF(NOMENCLATURE_GEN!B10="","",NOMENCLATURE_GEN!B10)</f>
        <v/>
      </c>
      <c r="C10" s="243" t="str">
        <f>IF(NOMENCLATURE_GEN!C10="","",NOMENCLATURE_GEN!C10)</f>
        <v/>
      </c>
      <c r="D10" s="4">
        <f>IF(NOMENCLATURE_GEN!D10="","",NOMENCLATURE_GEN!D10)</f>
        <v>102</v>
      </c>
      <c r="E10" s="4" t="str">
        <f ca="1">IF(NOMENCLATURE_GEN!E10="","",NOMENCLATURE_GEN!E10)</f>
        <v>A</v>
      </c>
      <c r="F10" s="4" t="str">
        <f>IF(NOMENCLATURE_GEN!F10="","",NOMENCLATURE_GEN!F10)</f>
        <v>CBA</v>
      </c>
      <c r="G10" s="310" t="str">
        <f>IF(NOMENCLATURE_GEN!G10="","",NOMENCLATURE_GEN!G10)</f>
        <v>Convoyeur d'alimentation du trommel</v>
      </c>
      <c r="H10" s="4">
        <f>IF(NOMENCLATURE_GEN!H10="","",NOMENCLATURE_GEN!H10)</f>
        <v>1400</v>
      </c>
      <c r="I10" s="4">
        <f>IF(NOMENCLATURE_GEN!I10="","",NOMENCLATURE_GEN!I10)</f>
        <v>7000</v>
      </c>
      <c r="J10" s="130">
        <f>IF(NOMENCLATURE_GEN!J10="","",NOMENCLATURE_GEN!J10)</f>
        <v>17</v>
      </c>
      <c r="K10" s="158" t="str">
        <f>IF(Motorisation!L10="","",Motorisation!L10)</f>
        <v>KA 67</v>
      </c>
      <c r="L10" s="159" t="str">
        <f>IF(NOMENCLATURE_GEN!R10="","",NOMENCLATURE_GEN!R10)</f>
        <v>Tete</v>
      </c>
      <c r="M10" s="164" t="str">
        <f>IF(NOMENCLATURE_GEN!L10="","",NOMENCLATURE_GEN!L10)</f>
        <v>NON</v>
      </c>
      <c r="N10" s="110" t="s">
        <v>760</v>
      </c>
      <c r="O10" s="13" t="s">
        <v>759</v>
      </c>
      <c r="P10" s="13"/>
      <c r="Q10" s="13"/>
      <c r="R10" s="13"/>
      <c r="S10" s="13"/>
      <c r="T10" s="13"/>
      <c r="U10" s="83"/>
      <c r="V10" s="7"/>
    </row>
    <row r="11" spans="2:27" s="3" customFormat="1" ht="39.950000000000003" hidden="1" customHeight="1">
      <c r="B11" s="129" t="str">
        <f>IF(NOMENCLATURE_GEN!B11="","",NOMENCLATURE_GEN!B11)</f>
        <v/>
      </c>
      <c r="C11" s="243" t="str">
        <f>IF(NOMENCLATURE_GEN!C11="","",NOMENCLATURE_GEN!C11)</f>
        <v/>
      </c>
      <c r="D11" s="4">
        <f>IF(NOMENCLATURE_GEN!D11="","",NOMENCLATURE_GEN!D11)</f>
        <v>103</v>
      </c>
      <c r="E11" s="4" t="str">
        <f ca="1">IF(NOMENCLATURE_GEN!E11="","",NOMENCLATURE_GEN!E11)</f>
        <v>A</v>
      </c>
      <c r="F11" s="4" t="str">
        <f>IF(NOMENCLATURE_GEN!F11="","",NOMENCLATURE_GEN!F11)</f>
        <v>TRO</v>
      </c>
      <c r="G11" s="310" t="str">
        <f>IF(NOMENCLATURE_GEN!G11="","",NOMENCLATURE_GEN!G11)</f>
        <v>Trommel cribleur, maille Ø150/180mm avec peignes</v>
      </c>
      <c r="H11" s="4">
        <f>IF(NOMENCLATURE_GEN!H11="","",NOMENCLATURE_GEN!H11)</f>
        <v>2500</v>
      </c>
      <c r="I11" s="4">
        <f>IF(NOMENCLATURE_GEN!I11="","",NOMENCLATURE_GEN!I11)</f>
        <v>6000</v>
      </c>
      <c r="J11" s="130">
        <f>IF(NOMENCLATURE_GEN!J11="","",NOMENCLATURE_GEN!J11)</f>
        <v>3</v>
      </c>
      <c r="K11" s="158" t="str">
        <f>IF(Motorisation!L11="","",Motorisation!L11)</f>
        <v>KA 97</v>
      </c>
      <c r="L11" s="159" t="str">
        <f>IF(NOMENCLATURE_GEN!R11="","",NOMENCLATURE_GEN!R11)</f>
        <v>Pied</v>
      </c>
      <c r="M11" s="164" t="str">
        <f>IF(NOMENCLATURE_GEN!L11="","",NOMENCLATURE_GEN!L11)</f>
        <v>NON</v>
      </c>
      <c r="N11" s="110"/>
      <c r="O11" s="13"/>
      <c r="P11" s="13"/>
      <c r="Q11" s="13"/>
      <c r="R11" s="13"/>
      <c r="S11" s="13"/>
      <c r="T11" s="13"/>
      <c r="U11" s="83"/>
      <c r="V11" s="7"/>
    </row>
    <row r="12" spans="2:27" s="3" customFormat="1" ht="39.950000000000003" customHeight="1">
      <c r="B12" s="129" t="str">
        <f>IF(NOMENCLATURE_GEN!B12="","",NOMENCLATURE_GEN!B12)</f>
        <v/>
      </c>
      <c r="C12" s="243" t="str">
        <f>IF(NOMENCLATURE_GEN!C12="","",NOMENCLATURE_GEN!C12)</f>
        <v/>
      </c>
      <c r="D12" s="4">
        <f>IF(NOMENCLATURE_GEN!D12="","",NOMENCLATURE_GEN!D12)</f>
        <v>104</v>
      </c>
      <c r="E12" s="4" t="str">
        <f ca="1">IF(NOMENCLATURE_GEN!E12="","",NOMENCLATURE_GEN!E12)</f>
        <v>A</v>
      </c>
      <c r="F12" s="4" t="str">
        <f>IF(NOMENCLATURE_GEN!F12="","",NOMENCLATURE_GEN!F12)</f>
        <v>CBA</v>
      </c>
      <c r="G12" s="310" t="str">
        <f>IF(NOMENCLATURE_GEN!G12="","",NOMENCLATURE_GEN!G12)</f>
        <v>Convoyeur de reprise de la fraction &gt; 180mm, tête inox</v>
      </c>
      <c r="H12" s="4">
        <f>IF(NOMENCLATURE_GEN!H12="","",NOMENCLATURE_GEN!H12)</f>
        <v>1400</v>
      </c>
      <c r="I12" s="4">
        <f>IF(NOMENCLATURE_GEN!I12="","",NOMENCLATURE_GEN!I12)</f>
        <v>7000</v>
      </c>
      <c r="J12" s="130">
        <f>IF(NOMENCLATURE_GEN!J12="","",NOMENCLATURE_GEN!J12)</f>
        <v>0</v>
      </c>
      <c r="K12" s="158" t="str">
        <f>IF(Motorisation!L12="","",Motorisation!L12)</f>
        <v>KA 67</v>
      </c>
      <c r="L12" s="159" t="str">
        <f>IF(NOMENCLATURE_GEN!R12="","",NOMENCLATURE_GEN!R12)</f>
        <v>Tete</v>
      </c>
      <c r="M12" s="164" t="str">
        <f>IF(NOMENCLATURE_GEN!L12="","",NOMENCLATURE_GEN!L12)</f>
        <v>OUI</v>
      </c>
      <c r="N12" s="110" t="s">
        <v>767</v>
      </c>
      <c r="O12" s="13" t="s">
        <v>759</v>
      </c>
      <c r="P12" s="13"/>
      <c r="Q12" s="13"/>
      <c r="R12" s="13"/>
      <c r="S12" s="13"/>
      <c r="T12" s="13"/>
      <c r="U12" s="83"/>
      <c r="V12" s="7"/>
    </row>
    <row r="13" spans="2:27" s="3" customFormat="1" ht="39.950000000000003" hidden="1" customHeight="1">
      <c r="B13" s="129" t="str">
        <f>IF(NOMENCLATURE_GEN!B13="","",NOMENCLATURE_GEN!B13)</f>
        <v/>
      </c>
      <c r="C13" s="243" t="str">
        <f>IF(NOMENCLATURE_GEN!C13="","",NOMENCLATURE_GEN!C13)</f>
        <v/>
      </c>
      <c r="D13" s="4">
        <f>IF(NOMENCLATURE_GEN!D13="","",NOMENCLATURE_GEN!D13)</f>
        <v>105</v>
      </c>
      <c r="E13" s="4" t="str">
        <f ca="1">IF(NOMENCLATURE_GEN!E13="","",NOMENCLATURE_GEN!E13)</f>
        <v>A</v>
      </c>
      <c r="F13" s="4" t="str">
        <f>IF(NOMENCLATURE_GEN!F13="","",NOMENCLATURE_GEN!F13)</f>
        <v>OVB</v>
      </c>
      <c r="G13" s="310" t="str">
        <f>IF(NOMENCLATURE_GEN!G13="","",NOMENCLATURE_GEN!G13)</f>
        <v>Séparateur magnétique à aimant permament</v>
      </c>
      <c r="H13" s="4">
        <f>IF(NOMENCLATURE_GEN!H13="","",NOMENCLATURE_GEN!H13)</f>
        <v>1200</v>
      </c>
      <c r="I13" s="4">
        <f>IF(NOMENCLATURE_GEN!I13="","",NOMENCLATURE_GEN!I13)</f>
        <v>1200</v>
      </c>
      <c r="J13" s="130" t="str">
        <f>IF(NOMENCLATURE_GEN!J13="","",NOMENCLATURE_GEN!J13)</f>
        <v/>
      </c>
      <c r="K13" s="158" t="str">
        <f>IF(Motorisation!L13="","",Motorisation!L13)</f>
        <v>K57</v>
      </c>
      <c r="L13" s="159" t="str">
        <f>IF(NOMENCLATURE_GEN!R13="","",NOMENCLATURE_GEN!R13)</f>
        <v>Tete</v>
      </c>
      <c r="M13" s="164" t="str">
        <f>IF(NOMENCLATURE_GEN!L13="","",NOMENCLATURE_GEN!L13)</f>
        <v>NON</v>
      </c>
      <c r="N13" s="110"/>
      <c r="O13" s="13"/>
      <c r="P13" s="13"/>
      <c r="Q13" s="13"/>
      <c r="R13" s="13"/>
      <c r="S13" s="13"/>
      <c r="T13" s="13"/>
      <c r="U13" s="83"/>
      <c r="V13" s="7"/>
    </row>
    <row r="14" spans="2:27" s="3" customFormat="1" ht="39.950000000000003" hidden="1" customHeight="1">
      <c r="B14" s="129" t="str">
        <f>IF(NOMENCLATURE_GEN!B14="","",NOMENCLATURE_GEN!B14)</f>
        <v/>
      </c>
      <c r="C14" s="243" t="str">
        <f>IF(NOMENCLATURE_GEN!C14="","",NOMENCLATURE_GEN!C14)</f>
        <v/>
      </c>
      <c r="D14" s="4">
        <f>IF(NOMENCLATURE_GEN!D14="","",NOMENCLATURE_GEN!D14)</f>
        <v>106</v>
      </c>
      <c r="E14" s="4" t="str">
        <f ca="1">IF(NOMENCLATURE_GEN!E14="","",NOMENCLATURE_GEN!E14)</f>
        <v>A</v>
      </c>
      <c r="F14" s="4" t="str">
        <f>IF(NOMENCLATURE_GEN!F14="","",NOMENCLATURE_GEN!F14)</f>
        <v>GLT</v>
      </c>
      <c r="G14" s="310" t="str">
        <f>IF(NOMENCLATURE_GEN!G14="","",NOMENCLATURE_GEN!G14)</f>
        <v>Goulotte de liaison vers le convoyeur des refus</v>
      </c>
      <c r="H14" s="4">
        <f>IF(NOMENCLATURE_GEN!H14="","",NOMENCLATURE_GEN!H14)</f>
        <v>1200</v>
      </c>
      <c r="I14" s="4">
        <f>IF(NOMENCLATURE_GEN!I14="","",NOMENCLATURE_GEN!I14)</f>
        <v>1200</v>
      </c>
      <c r="J14" s="130">
        <f>IF(NOMENCLATURE_GEN!J14="","",NOMENCLATURE_GEN!J14)</f>
        <v>0</v>
      </c>
      <c r="K14" s="158" t="str">
        <f>IF(Motorisation!L14="","",Motorisation!L14)</f>
        <v/>
      </c>
      <c r="L14" s="159" t="str">
        <f>IF(NOMENCLATURE_GEN!R14="","",NOMENCLATURE_GEN!R14)</f>
        <v>-</v>
      </c>
      <c r="M14" s="164" t="str">
        <f>IF(NOMENCLATURE_GEN!L14="","",NOMENCLATURE_GEN!L14)</f>
        <v>NON</v>
      </c>
      <c r="N14" s="160"/>
      <c r="O14" s="14"/>
      <c r="P14" s="14"/>
      <c r="Q14" s="14"/>
      <c r="R14" s="14"/>
      <c r="S14" s="16"/>
      <c r="T14" s="16"/>
      <c r="U14" s="17"/>
      <c r="V14" s="7"/>
    </row>
    <row r="15" spans="2:27" s="3" customFormat="1" ht="39.950000000000003" customHeight="1">
      <c r="B15" s="129" t="str">
        <f>IF(NOMENCLATURE_GEN!B15="","",NOMENCLATURE_GEN!B15)</f>
        <v/>
      </c>
      <c r="C15" s="243" t="str">
        <f>IF(NOMENCLATURE_GEN!C15="","",NOMENCLATURE_GEN!C15)</f>
        <v/>
      </c>
      <c r="D15" s="4">
        <f>IF(NOMENCLATURE_GEN!D15="","",NOMENCLATURE_GEN!D15)</f>
        <v>107</v>
      </c>
      <c r="E15" s="4" t="str">
        <f ca="1">IF(NOMENCLATURE_GEN!E15="","",NOMENCLATURE_GEN!E15)</f>
        <v>A</v>
      </c>
      <c r="F15" s="4" t="str">
        <f>IF(NOMENCLATURE_GEN!F15="","",NOMENCLATURE_GEN!F15)</f>
        <v>CBA</v>
      </c>
      <c r="G15" s="310" t="str">
        <f>IF(NOMENCLATURE_GEN!G15="","",NOMENCLATURE_GEN!G15)</f>
        <v>Convoyeur de centralisation des refus</v>
      </c>
      <c r="H15" s="4">
        <f>IF(NOMENCLATURE_GEN!H15="","",NOMENCLATURE_GEN!H15)</f>
        <v>1400</v>
      </c>
      <c r="I15" s="4">
        <f>IF(NOMENCLATURE_GEN!I15="","",NOMENCLATURE_GEN!I15)</f>
        <v>9250</v>
      </c>
      <c r="J15" s="130">
        <f>IF(NOMENCLATURE_GEN!J15="","",NOMENCLATURE_GEN!J15)</f>
        <v>4</v>
      </c>
      <c r="K15" s="158" t="str">
        <f>IF(Motorisation!L15="","",Motorisation!L15)</f>
        <v>KA 67</v>
      </c>
      <c r="L15" s="159" t="str">
        <f>IF(NOMENCLATURE_GEN!R15="","",NOMENCLATURE_GEN!R15)</f>
        <v>Tete</v>
      </c>
      <c r="M15" s="164" t="str">
        <f>IF(NOMENCLATURE_GEN!L15="","",NOMENCLATURE_GEN!L15)</f>
        <v>NON</v>
      </c>
      <c r="N15" s="160" t="s">
        <v>760</v>
      </c>
      <c r="O15" s="14" t="s">
        <v>759</v>
      </c>
      <c r="P15" s="14"/>
      <c r="Q15" s="14"/>
      <c r="R15" s="14"/>
      <c r="S15" s="16"/>
      <c r="T15" s="16"/>
      <c r="U15" s="17"/>
      <c r="V15" s="7"/>
    </row>
    <row r="16" spans="2:27" s="3" customFormat="1" ht="39.950000000000003" customHeight="1">
      <c r="B16" s="129" t="str">
        <f>IF(NOMENCLATURE_GEN!B16="","",NOMENCLATURE_GEN!B16)</f>
        <v/>
      </c>
      <c r="C16" s="243" t="str">
        <f>IF(NOMENCLATURE_GEN!C16="","",NOMENCLATURE_GEN!C16)</f>
        <v/>
      </c>
      <c r="D16" s="4">
        <f>IF(NOMENCLATURE_GEN!D16="","",NOMENCLATURE_GEN!D16)</f>
        <v>108</v>
      </c>
      <c r="E16" s="4" t="str">
        <f ca="1">IF(NOMENCLATURE_GEN!E16="","",NOMENCLATURE_GEN!E16)</f>
        <v>A</v>
      </c>
      <c r="F16" s="4" t="str">
        <f>IF(NOMENCLATURE_GEN!F16="","",NOMENCLATURE_GEN!F16)</f>
        <v>CBA</v>
      </c>
      <c r="G16" s="310" t="str">
        <f>IF(NOMENCLATURE_GEN!G16="","",NOMENCLATURE_GEN!G16)</f>
        <v>Convoyeur de transfert des refus</v>
      </c>
      <c r="H16" s="4">
        <f>IF(NOMENCLATURE_GEN!H16="","",NOMENCLATURE_GEN!H16)</f>
        <v>1400</v>
      </c>
      <c r="I16" s="4">
        <f>IF(NOMENCLATURE_GEN!I16="","",NOMENCLATURE_GEN!I16)</f>
        <v>14750</v>
      </c>
      <c r="J16" s="130">
        <f>IF(NOMENCLATURE_GEN!J16="","",NOMENCLATURE_GEN!J16)</f>
        <v>6</v>
      </c>
      <c r="K16" s="158" t="str">
        <f>IF(Motorisation!L16="","",Motorisation!L16)</f>
        <v>KA 77</v>
      </c>
      <c r="L16" s="159" t="str">
        <f>IF(NOMENCLATURE_GEN!R16="","",NOMENCLATURE_GEN!R16)</f>
        <v>Tete</v>
      </c>
      <c r="M16" s="164" t="str">
        <f>IF(NOMENCLATURE_GEN!L16="","",NOMENCLATURE_GEN!L16)</f>
        <v>NON</v>
      </c>
      <c r="N16" s="160" t="s">
        <v>761</v>
      </c>
      <c r="O16" s="13" t="s">
        <v>759</v>
      </c>
      <c r="P16" s="14"/>
      <c r="Q16" s="14"/>
      <c r="R16" s="14"/>
      <c r="S16" s="16"/>
      <c r="T16" s="16"/>
      <c r="U16" s="17"/>
      <c r="V16" s="7"/>
    </row>
    <row r="17" spans="2:22" s="3" customFormat="1" ht="39.950000000000003" customHeight="1">
      <c r="B17" s="129" t="str">
        <f>IF(NOMENCLATURE_GEN!B17="","",NOMENCLATURE_GEN!B17)</f>
        <v/>
      </c>
      <c r="C17" s="243" t="str">
        <f>IF(NOMENCLATURE_GEN!C17="","",NOMENCLATURE_GEN!C17)</f>
        <v/>
      </c>
      <c r="D17" s="4">
        <f>IF(NOMENCLATURE_GEN!D17="","",NOMENCLATURE_GEN!D17)</f>
        <v>109</v>
      </c>
      <c r="E17" s="4" t="str">
        <f ca="1">IF(NOMENCLATURE_GEN!E17="","",NOMENCLATURE_GEN!E17)</f>
        <v>A</v>
      </c>
      <c r="F17" s="4" t="str">
        <f>IF(NOMENCLATURE_GEN!F17="","",NOMENCLATURE_GEN!F17)</f>
        <v>CBA</v>
      </c>
      <c r="G17" s="310" t="str">
        <f>IF(NOMENCLATURE_GEN!G17="","",NOMENCLATURE_GEN!G17)</f>
        <v>Convoyeur de transfert des refus</v>
      </c>
      <c r="H17" s="4">
        <f>IF(NOMENCLATURE_GEN!H17="","",NOMENCLATURE_GEN!H17)</f>
        <v>1400</v>
      </c>
      <c r="I17" s="4">
        <f>IF(NOMENCLATURE_GEN!I17="","",NOMENCLATURE_GEN!I17)</f>
        <v>15250</v>
      </c>
      <c r="J17" s="130">
        <f>IF(NOMENCLATURE_GEN!J17="","",NOMENCLATURE_GEN!J17)</f>
        <v>14</v>
      </c>
      <c r="K17" s="158" t="str">
        <f>IF(Motorisation!L17="","",Motorisation!L17)</f>
        <v>KA 77</v>
      </c>
      <c r="L17" s="159" t="str">
        <f>IF(NOMENCLATURE_GEN!R17="","",NOMENCLATURE_GEN!R17)</f>
        <v>Tete</v>
      </c>
      <c r="M17" s="164" t="str">
        <f>IF(NOMENCLATURE_GEN!L17="","",NOMENCLATURE_GEN!L17)</f>
        <v>NON</v>
      </c>
      <c r="N17" s="160" t="s">
        <v>761</v>
      </c>
      <c r="O17" s="13" t="s">
        <v>759</v>
      </c>
      <c r="P17" s="14"/>
      <c r="Q17" s="14"/>
      <c r="R17" s="14"/>
      <c r="S17" s="16"/>
      <c r="T17" s="16"/>
      <c r="U17" s="17"/>
      <c r="V17" s="7"/>
    </row>
    <row r="18" spans="2:22" s="3" customFormat="1" ht="39.950000000000003" customHeight="1">
      <c r="B18" s="129" t="str">
        <f>IF(NOMENCLATURE_GEN!B18="","",NOMENCLATURE_GEN!B18)</f>
        <v/>
      </c>
      <c r="C18" s="243" t="str">
        <f>IF(NOMENCLATURE_GEN!C18="","",NOMENCLATURE_GEN!C18)</f>
        <v/>
      </c>
      <c r="D18" s="4">
        <f>IF(NOMENCLATURE_GEN!D18="","",NOMENCLATURE_GEN!D18)</f>
        <v>110</v>
      </c>
      <c r="E18" s="4" t="str">
        <f ca="1">IF(NOMENCLATURE_GEN!E18="","",NOMENCLATURE_GEN!E18)</f>
        <v>A</v>
      </c>
      <c r="F18" s="4" t="str">
        <f>IF(NOMENCLATURE_GEN!F18="","",NOMENCLATURE_GEN!F18)</f>
        <v>CBA</v>
      </c>
      <c r="G18" s="310" t="str">
        <f>IF(NOMENCLATURE_GEN!G18="","",NOMENCLATURE_GEN!G18)</f>
        <v>Convoyeur de transfert des refus vers FMA</v>
      </c>
      <c r="H18" s="4">
        <f>IF(NOMENCLATURE_GEN!H18="","",NOMENCLATURE_GEN!H18)</f>
        <v>1400</v>
      </c>
      <c r="I18" s="4">
        <f>IF(NOMENCLATURE_GEN!I18="","",NOMENCLATURE_GEN!I18)</f>
        <v>20000</v>
      </c>
      <c r="J18" s="130">
        <f>IF(NOMENCLATURE_GEN!J18="","",NOMENCLATURE_GEN!J18)</f>
        <v>25</v>
      </c>
      <c r="K18" s="158" t="str">
        <f>IF(Motorisation!L18="","",Motorisation!L18)</f>
        <v>KA 77</v>
      </c>
      <c r="L18" s="159" t="str">
        <f>IF(NOMENCLATURE_GEN!R18="","",NOMENCLATURE_GEN!R18)</f>
        <v>Tete</v>
      </c>
      <c r="M18" s="164" t="str">
        <f>IF(NOMENCLATURE_GEN!L18="","",NOMENCLATURE_GEN!L18)</f>
        <v>NON</v>
      </c>
      <c r="N18" s="160" t="s">
        <v>761</v>
      </c>
      <c r="O18" s="14" t="s">
        <v>759</v>
      </c>
      <c r="P18" s="14"/>
      <c r="Q18" s="14"/>
      <c r="R18" s="14"/>
      <c r="S18" s="16"/>
      <c r="T18" s="16"/>
      <c r="U18" s="17"/>
      <c r="V18" s="7"/>
    </row>
    <row r="19" spans="2:22" s="3" customFormat="1" ht="39.950000000000003" customHeight="1">
      <c r="B19" s="129" t="str">
        <f>IF(NOMENCLATURE_GEN!B19="","",NOMENCLATURE_GEN!B19)</f>
        <v/>
      </c>
      <c r="C19" s="243" t="str">
        <f>IF(NOMENCLATURE_GEN!C19="","",NOMENCLATURE_GEN!C19)</f>
        <v/>
      </c>
      <c r="D19" s="4">
        <f>IF(NOMENCLATURE_GEN!D19="","",NOMENCLATURE_GEN!D19)</f>
        <v>111</v>
      </c>
      <c r="E19" s="4" t="str">
        <f ca="1">IF(NOMENCLATURE_GEN!E19="","",NOMENCLATURE_GEN!E19)</f>
        <v>A</v>
      </c>
      <c r="F19" s="4" t="str">
        <f>IF(NOMENCLATURE_GEN!F19="","",NOMENCLATURE_GEN!F19)</f>
        <v>CBA</v>
      </c>
      <c r="G19" s="310" t="str">
        <f>IF(NOMENCLATURE_GEN!G19="","",NOMENCLATURE_GEN!G19)</f>
        <v>Convoyeur by-pass des refus (FMA 1 OU 2)</v>
      </c>
      <c r="H19" s="4">
        <f>IF(NOMENCLATURE_GEN!H19="","",NOMENCLATURE_GEN!H19)</f>
        <v>1400</v>
      </c>
      <c r="I19" s="4">
        <f>IF(NOMENCLATURE_GEN!I19="","",NOMENCLATURE_GEN!I19)</f>
        <v>4500</v>
      </c>
      <c r="J19" s="130">
        <f>IF(NOMENCLATURE_GEN!J19="","",NOMENCLATURE_GEN!J19)</f>
        <v>0</v>
      </c>
      <c r="K19" s="158" t="str">
        <f>IF(Motorisation!L19="","",Motorisation!L19)</f>
        <v>KA 67</v>
      </c>
      <c r="L19" s="159" t="str">
        <f>IF(NOMENCLATURE_GEN!R19="","",NOMENCLATURE_GEN!R19)</f>
        <v>Tete</v>
      </c>
      <c r="M19" s="164" t="str">
        <f>IF(NOMENCLATURE_GEN!L19="","",NOMENCLATURE_GEN!L19)</f>
        <v>NON</v>
      </c>
      <c r="N19" s="160" t="s">
        <v>760</v>
      </c>
      <c r="O19" s="13" t="s">
        <v>759</v>
      </c>
      <c r="P19" s="14"/>
      <c r="Q19" s="14"/>
      <c r="R19" s="14"/>
      <c r="S19" s="16"/>
      <c r="T19" s="16"/>
      <c r="U19" s="17"/>
      <c r="V19" s="7"/>
    </row>
    <row r="20" spans="2:22" s="3" customFormat="1" ht="39.950000000000003" customHeight="1">
      <c r="B20" s="129" t="str">
        <f>IF(NOMENCLATURE_GEN!B20="","",NOMENCLATURE_GEN!B20)</f>
        <v/>
      </c>
      <c r="C20" s="243" t="str">
        <f>IF(NOMENCLATURE_GEN!C20="","",NOMENCLATURE_GEN!C20)</f>
        <v/>
      </c>
      <c r="D20" s="4" t="str">
        <f>IF(NOMENCLATURE_GEN!D20="","",NOMENCLATURE_GEN!D20)</f>
        <v>112-1</v>
      </c>
      <c r="E20" s="4" t="str">
        <f ca="1">IF(NOMENCLATURE_GEN!E20="","",NOMENCLATURE_GEN!E20)</f>
        <v>A</v>
      </c>
      <c r="F20" s="4" t="str">
        <f>IF(NOMENCLATURE_GEN!F20="","",NOMENCLATURE_GEN!F20)</f>
        <v>CBA</v>
      </c>
      <c r="G20" s="310" t="str">
        <f>IF(NOMENCLATURE_GEN!G20="","",NOMENCLATURE_GEN!G20)</f>
        <v>Convoyeur navette double sens de remplissage des bennes ou FMA</v>
      </c>
      <c r="H20" s="4">
        <f>IF(NOMENCLATURE_GEN!H20="","",NOMENCLATURE_GEN!H20)</f>
        <v>1400</v>
      </c>
      <c r="I20" s="4">
        <f>IF(NOMENCLATURE_GEN!I20="","",NOMENCLATURE_GEN!I20)</f>
        <v>8250</v>
      </c>
      <c r="J20" s="130">
        <f>IF(NOMENCLATURE_GEN!J20="","",NOMENCLATURE_GEN!J20)</f>
        <v>0</v>
      </c>
      <c r="K20" s="158" t="str">
        <f>IF(Motorisation!L20="","",Motorisation!L20)</f>
        <v>KA 67</v>
      </c>
      <c r="L20" s="159" t="str">
        <f>IF(NOMENCLATURE_GEN!R20="","",NOMENCLATURE_GEN!R20)</f>
        <v>Tete</v>
      </c>
      <c r="M20" s="164" t="str">
        <f>IF(NOMENCLATURE_GEN!L20="","",NOMENCLATURE_GEN!L20)</f>
        <v>NON</v>
      </c>
      <c r="N20" s="160" t="s">
        <v>760</v>
      </c>
      <c r="O20" s="14" t="s">
        <v>759</v>
      </c>
      <c r="P20" s="14"/>
      <c r="Q20" s="14"/>
      <c r="R20" s="14"/>
      <c r="S20" s="16"/>
      <c r="T20" s="16"/>
      <c r="U20" s="17"/>
      <c r="V20" s="7"/>
    </row>
    <row r="21" spans="2:22" s="3" customFormat="1" ht="39.950000000000003" customHeight="1">
      <c r="B21" s="129" t="str">
        <f>IF(NOMENCLATURE_GEN!B21="","",NOMENCLATURE_GEN!B21)</f>
        <v/>
      </c>
      <c r="C21" s="243" t="str">
        <f>IF(NOMENCLATURE_GEN!C21="","",NOMENCLATURE_GEN!C21)</f>
        <v/>
      </c>
      <c r="D21" s="4" t="str">
        <f>IF(NOMENCLATURE_GEN!D21="","",NOMENCLATURE_GEN!D21)</f>
        <v>112-2</v>
      </c>
      <c r="E21" s="4" t="str">
        <f ca="1">IF(NOMENCLATURE_GEN!E21="","",NOMENCLATURE_GEN!E21)</f>
        <v>A</v>
      </c>
      <c r="F21" s="4" t="str">
        <f>IF(NOMENCLATURE_GEN!F21="","",NOMENCLATURE_GEN!F21)</f>
        <v>CBA</v>
      </c>
      <c r="G21" s="310" t="str">
        <f>IF(NOMENCLATURE_GEN!G21="","",NOMENCLATURE_GEN!G21)</f>
        <v>Convoyeur navette double sens de remplissage des bennes ou FMA</v>
      </c>
      <c r="H21" s="4">
        <f>IF(NOMENCLATURE_GEN!H21="","",NOMENCLATURE_GEN!H21)</f>
        <v>1400</v>
      </c>
      <c r="I21" s="4">
        <f>IF(NOMENCLATURE_GEN!I21="","",NOMENCLATURE_GEN!I21)</f>
        <v>8250</v>
      </c>
      <c r="J21" s="130">
        <f>IF(NOMENCLATURE_GEN!J21="","",NOMENCLATURE_GEN!J21)</f>
        <v>0</v>
      </c>
      <c r="K21" s="158" t="str">
        <f>IF(Motorisation!L21="","",Motorisation!L21)</f>
        <v>KA 67</v>
      </c>
      <c r="L21" s="159" t="str">
        <f>IF(NOMENCLATURE_GEN!R21="","",NOMENCLATURE_GEN!R21)</f>
        <v>Tete</v>
      </c>
      <c r="M21" s="164" t="str">
        <f>IF(NOMENCLATURE_GEN!L21="","",NOMENCLATURE_GEN!L21)</f>
        <v>NON</v>
      </c>
      <c r="N21" s="160" t="s">
        <v>760</v>
      </c>
      <c r="O21" s="13" t="s">
        <v>759</v>
      </c>
      <c r="P21" s="14"/>
      <c r="Q21" s="14"/>
      <c r="R21" s="14"/>
      <c r="S21" s="16"/>
      <c r="T21" s="16"/>
      <c r="U21" s="17"/>
      <c r="V21" s="7"/>
    </row>
    <row r="22" spans="2:22" s="3" customFormat="1" ht="39.950000000000003" hidden="1" customHeight="1">
      <c r="B22" s="129" t="str">
        <f>IF(NOMENCLATURE_GEN!B22="","",NOMENCLATURE_GEN!B22)</f>
        <v/>
      </c>
      <c r="C22" s="243" t="str">
        <f>IF(NOMENCLATURE_GEN!C22="","",NOMENCLATURE_GEN!C22)</f>
        <v/>
      </c>
      <c r="D22" s="4" t="str">
        <f>IF(NOMENCLATURE_GEN!D22="","",NOMENCLATURE_GEN!D22)</f>
        <v>113-1</v>
      </c>
      <c r="E22" s="4" t="str">
        <f ca="1">IF(NOMENCLATURE_GEN!E22="","",NOMENCLATURE_GEN!E22)</f>
        <v>A</v>
      </c>
      <c r="F22" s="4" t="str">
        <f>IF(NOMENCLATURE_GEN!F22="","",NOMENCLATURE_GEN!F22)</f>
        <v>NAV</v>
      </c>
      <c r="G22" s="310" t="str">
        <f>IF(NOMENCLATURE_GEN!G22="","",NOMENCLATURE_GEN!G22)</f>
        <v>Système navette pour convoyeur mobile remplissage FMA ou bennes</v>
      </c>
      <c r="H22" s="4" t="str">
        <f>IF(NOMENCLATURE_GEN!H22="","",NOMENCLATURE_GEN!H22)</f>
        <v/>
      </c>
      <c r="I22" s="4" t="str">
        <f>IF(NOMENCLATURE_GEN!I22="","",NOMENCLATURE_GEN!I22)</f>
        <v/>
      </c>
      <c r="J22" s="130" t="str">
        <f>IF(NOMENCLATURE_GEN!J22="","",NOMENCLATURE_GEN!J22)</f>
        <v/>
      </c>
      <c r="K22" s="158" t="str">
        <f>IF(Motorisation!L22="","",Motorisation!L22)</f>
        <v>K57</v>
      </c>
      <c r="L22" s="159" t="str">
        <f>IF(NOMENCLATURE_GEN!R22="","",NOMENCLATURE_GEN!R22)</f>
        <v>-</v>
      </c>
      <c r="M22" s="164" t="str">
        <f>IF(NOMENCLATURE_GEN!L22="","",NOMENCLATURE_GEN!L22)</f>
        <v>NON</v>
      </c>
      <c r="N22" s="160"/>
      <c r="O22" s="14"/>
      <c r="P22" s="14"/>
      <c r="Q22" s="14"/>
      <c r="R22" s="14"/>
      <c r="S22" s="16"/>
      <c r="T22" s="16"/>
      <c r="U22" s="17"/>
      <c r="V22" s="7"/>
    </row>
    <row r="23" spans="2:22" s="3" customFormat="1" ht="39.950000000000003" hidden="1" customHeight="1">
      <c r="B23" s="129" t="str">
        <f>IF(NOMENCLATURE_GEN!B23="","",NOMENCLATURE_GEN!B23)</f>
        <v/>
      </c>
      <c r="C23" s="243" t="str">
        <f>IF(NOMENCLATURE_GEN!C23="","",NOMENCLATURE_GEN!C23)</f>
        <v/>
      </c>
      <c r="D23" s="4" t="str">
        <f>IF(NOMENCLATURE_GEN!D23="","",NOMENCLATURE_GEN!D23)</f>
        <v>113-2</v>
      </c>
      <c r="E23" s="4" t="str">
        <f ca="1">IF(NOMENCLATURE_GEN!E23="","",NOMENCLATURE_GEN!E23)</f>
        <v>A</v>
      </c>
      <c r="F23" s="4" t="str">
        <f>IF(NOMENCLATURE_GEN!F23="","",NOMENCLATURE_GEN!F23)</f>
        <v>NAV</v>
      </c>
      <c r="G23" s="310" t="str">
        <f>IF(NOMENCLATURE_GEN!G23="","",NOMENCLATURE_GEN!G23)</f>
        <v>Système navette pour convoyeur mobile remplissage FMA ou bennes</v>
      </c>
      <c r="H23" s="4" t="str">
        <f>IF(NOMENCLATURE_GEN!H23="","",NOMENCLATURE_GEN!H23)</f>
        <v/>
      </c>
      <c r="I23" s="4" t="str">
        <f>IF(NOMENCLATURE_GEN!I23="","",NOMENCLATURE_GEN!I23)</f>
        <v/>
      </c>
      <c r="J23" s="130" t="str">
        <f>IF(NOMENCLATURE_GEN!J23="","",NOMENCLATURE_GEN!J23)</f>
        <v/>
      </c>
      <c r="K23" s="158" t="str">
        <f>IF(Motorisation!L23="","",Motorisation!L23)</f>
        <v>K57</v>
      </c>
      <c r="L23" s="159" t="str">
        <f>IF(NOMENCLATURE_GEN!R23="","",NOMENCLATURE_GEN!R23)</f>
        <v>-</v>
      </c>
      <c r="M23" s="164" t="str">
        <f>IF(NOMENCLATURE_GEN!L23="","",NOMENCLATURE_GEN!L23)</f>
        <v>NON</v>
      </c>
      <c r="N23" s="160"/>
      <c r="O23" s="14"/>
      <c r="P23" s="14"/>
      <c r="Q23" s="14"/>
      <c r="R23" s="14"/>
      <c r="S23" s="16"/>
      <c r="T23" s="16"/>
      <c r="U23" s="17"/>
      <c r="V23" s="7"/>
    </row>
    <row r="24" spans="2:22" s="3" customFormat="1" ht="39.950000000000003" hidden="1" customHeight="1">
      <c r="B24" s="129" t="str">
        <f>IF(NOMENCLATURE_GEN!B24="","",NOMENCLATURE_GEN!B24)</f>
        <v>SUP</v>
      </c>
      <c r="C24" s="243" t="str">
        <f>IF(NOMENCLATURE_GEN!C24="","",NOMENCLATURE_GEN!C24)</f>
        <v/>
      </c>
      <c r="D24" s="4">
        <f>IF(NOMENCLATURE_GEN!D24="","",NOMENCLATURE_GEN!D24)</f>
        <v>114</v>
      </c>
      <c r="E24" s="4" t="str">
        <f ca="1">IF(NOMENCLATURE_GEN!E24="","",NOMENCLATURE_GEN!E24)</f>
        <v>A</v>
      </c>
      <c r="F24" s="4" t="str">
        <f>IF(NOMENCLATURE_GEN!F24="","",NOMENCLATURE_GEN!F24)</f>
        <v>TRE</v>
      </c>
      <c r="G24" s="310" t="str">
        <f>IF(NOMENCLATURE_GEN!G24="","",NOMENCLATURE_GEN!G24)</f>
        <v>Trémie des passants 0-180mm sous trommel</v>
      </c>
      <c r="H24" s="4" t="str">
        <f>IF(NOMENCLATURE_GEN!H24="","",NOMENCLATURE_GEN!H24)</f>
        <v/>
      </c>
      <c r="I24" s="4" t="str">
        <f>IF(NOMENCLATURE_GEN!I24="","",NOMENCLATURE_GEN!I24)</f>
        <v/>
      </c>
      <c r="J24" s="130" t="str">
        <f>IF(NOMENCLATURE_GEN!J24="","",NOMENCLATURE_GEN!J24)</f>
        <v/>
      </c>
      <c r="K24" s="158" t="str">
        <f>IF(Motorisation!L24="","",Motorisation!L24)</f>
        <v>K57</v>
      </c>
      <c r="L24" s="159" t="str">
        <f>IF(NOMENCLATURE_GEN!R24="","",NOMENCLATURE_GEN!R24)</f>
        <v>-</v>
      </c>
      <c r="M24" s="164" t="str">
        <f>IF(NOMENCLATURE_GEN!L24="","",NOMENCLATURE_GEN!L24)</f>
        <v>NON</v>
      </c>
      <c r="N24" s="160"/>
      <c r="O24" s="14"/>
      <c r="P24" s="14"/>
      <c r="Q24" s="14"/>
      <c r="R24" s="14"/>
      <c r="S24" s="16"/>
      <c r="T24" s="16"/>
      <c r="U24" s="17"/>
      <c r="V24" s="7"/>
    </row>
    <row r="25" spans="2:22" s="3" customFormat="1" ht="39.950000000000003" hidden="1" customHeight="1">
      <c r="B25" s="129" t="str">
        <f>IF(NOMENCLATURE_GEN!B25="","",NOMENCLATURE_GEN!B25)</f>
        <v/>
      </c>
      <c r="C25" s="243" t="str">
        <f>IF(NOMENCLATURE_GEN!C25="","",NOMENCLATURE_GEN!C25)</f>
        <v/>
      </c>
      <c r="D25" s="4">
        <f>IF(NOMENCLATURE_GEN!D25="","",NOMENCLATURE_GEN!D25)</f>
        <v>115</v>
      </c>
      <c r="E25" s="4" t="str">
        <f ca="1">IF(NOMENCLATURE_GEN!E25="","",NOMENCLATURE_GEN!E25)</f>
        <v>A</v>
      </c>
      <c r="F25" s="4" t="str">
        <f>IF(NOMENCLATURE_GEN!F25="","",NOMENCLATURE_GEN!F25)</f>
        <v>EAB</v>
      </c>
      <c r="G25" s="310" t="str">
        <f>IF(NOMENCLATURE_GEN!G25="","",NOMENCLATURE_GEN!G25)</f>
        <v>Convoyeur de reprise de la fraction 0-180mm et transfert vers trommel</v>
      </c>
      <c r="H25" s="4">
        <f>IF(NOMENCLATURE_GEN!H25="","",NOMENCLATURE_GEN!H25)</f>
        <v>1400</v>
      </c>
      <c r="I25" s="4">
        <f>IF(NOMENCLATURE_GEN!I25="","",NOMENCLATURE_GEN!I25)</f>
        <v>18400</v>
      </c>
      <c r="J25" s="130">
        <f>IF(NOMENCLATURE_GEN!J25="","",NOMENCLATURE_GEN!J25)</f>
        <v>35</v>
      </c>
      <c r="K25" s="158" t="str">
        <f>IF(Motorisation!L25="","",Motorisation!L25)</f>
        <v>KA 97</v>
      </c>
      <c r="L25" s="159" t="str">
        <f>IF(NOMENCLATURE_GEN!R25="","",NOMENCLATURE_GEN!R25)</f>
        <v>Tete</v>
      </c>
      <c r="M25" s="164" t="str">
        <f>IF(NOMENCLATURE_GEN!L25="","",NOMENCLATURE_GEN!L25)</f>
        <v>NON</v>
      </c>
      <c r="N25" s="161"/>
      <c r="O25" s="14"/>
      <c r="P25" s="14"/>
      <c r="Q25" s="14"/>
      <c r="R25" s="14"/>
      <c r="S25" s="16"/>
      <c r="T25" s="16"/>
      <c r="U25" s="17"/>
      <c r="V25" s="7"/>
    </row>
    <row r="26" spans="2:22" s="3" customFormat="1" ht="39.950000000000003" hidden="1" customHeight="1">
      <c r="B26" s="129" t="str">
        <f>IF(NOMENCLATURE_GEN!B26="","",NOMENCLATURE_GEN!B26)</f>
        <v/>
      </c>
      <c r="C26" s="243" t="str">
        <f>IF(NOMENCLATURE_GEN!C26="","",NOMENCLATURE_GEN!C26)</f>
        <v/>
      </c>
      <c r="D26" s="4">
        <f>IF(NOMENCLATURE_GEN!D26="","",NOMENCLATURE_GEN!D26)</f>
        <v>115</v>
      </c>
      <c r="E26" s="4" t="str">
        <f ca="1">IF(NOMENCLATURE_GEN!E26="","",NOMENCLATURE_GEN!E26)</f>
        <v>B</v>
      </c>
      <c r="F26" s="4" t="str">
        <f>IF(NOMENCLATURE_GEN!F26="","",NOMENCLATURE_GEN!F26)</f>
        <v>GRA</v>
      </c>
      <c r="G26" s="310" t="str">
        <f>IF(NOMENCLATURE_GEN!G26="","",NOMENCLATURE_GEN!G26)</f>
        <v>Convoyeur à bande et chaines - Centrale de graissage</v>
      </c>
      <c r="H26" s="4" t="str">
        <f>IF(NOMENCLATURE_GEN!H26="","",NOMENCLATURE_GEN!H26)</f>
        <v/>
      </c>
      <c r="I26" s="4" t="str">
        <f>IF(NOMENCLATURE_GEN!I26="","",NOMENCLATURE_GEN!I26)</f>
        <v/>
      </c>
      <c r="J26" s="130" t="str">
        <f>IF(NOMENCLATURE_GEN!J26="","",NOMENCLATURE_GEN!J26)</f>
        <v/>
      </c>
      <c r="K26" s="158" t="str">
        <f>IF(Motorisation!L26="","",Motorisation!L26)</f>
        <v/>
      </c>
      <c r="L26" s="159" t="str">
        <f>IF(NOMENCLATURE_GEN!R26="","",NOMENCLATURE_GEN!R26)</f>
        <v>-</v>
      </c>
      <c r="M26" s="164" t="str">
        <f>IF(NOMENCLATURE_GEN!L26="","",NOMENCLATURE_GEN!L26)</f>
        <v>NON</v>
      </c>
      <c r="N26" s="161"/>
      <c r="O26" s="14"/>
      <c r="P26" s="14"/>
      <c r="Q26" s="14"/>
      <c r="R26" s="14"/>
      <c r="S26" s="16"/>
      <c r="T26" s="16"/>
      <c r="U26" s="17"/>
      <c r="V26" s="7"/>
    </row>
    <row r="27" spans="2:22" s="3" customFormat="1" ht="39.950000000000003" hidden="1" customHeight="1">
      <c r="B27" s="129" t="str">
        <f>IF(NOMENCLATURE_GEN!B27="","",NOMENCLATURE_GEN!B27)</f>
        <v/>
      </c>
      <c r="C27" s="243" t="str">
        <f>IF(NOMENCLATURE_GEN!C27="","",NOMENCLATURE_GEN!C27)</f>
        <v/>
      </c>
      <c r="D27" s="4">
        <f>IF(NOMENCLATURE_GEN!D27="","",NOMENCLATURE_GEN!D27)</f>
        <v>116</v>
      </c>
      <c r="E27" s="4" t="str">
        <f ca="1">IF(NOMENCLATURE_GEN!E27="","",NOMENCLATURE_GEN!E27)</f>
        <v>A</v>
      </c>
      <c r="F27" s="4" t="str">
        <f>IF(NOMENCLATURE_GEN!F27="","",NOMENCLATURE_GEN!F27)</f>
        <v>TRO</v>
      </c>
      <c r="G27" s="310" t="str">
        <f>IF(NOMENCLATURE_GEN!G27="","",NOMENCLATURE_GEN!G27)</f>
        <v>Trommel secondaire, maille Ø30mm, avec pales de brassage</v>
      </c>
      <c r="H27" s="4">
        <f>IF(NOMENCLATURE_GEN!H27="","",NOMENCLATURE_GEN!H27)</f>
        <v>2500</v>
      </c>
      <c r="I27" s="4">
        <f>IF(NOMENCLATURE_GEN!I27="","",NOMENCLATURE_GEN!I27)</f>
        <v>6000</v>
      </c>
      <c r="J27" s="130">
        <f>IF(NOMENCLATURE_GEN!J27="","",NOMENCLATURE_GEN!J27)</f>
        <v>3</v>
      </c>
      <c r="K27" s="158" t="str">
        <f>IF(Motorisation!L27="","",Motorisation!L27)</f>
        <v>KA 97</v>
      </c>
      <c r="L27" s="159" t="str">
        <f>IF(NOMENCLATURE_GEN!R27="","",NOMENCLATURE_GEN!R27)</f>
        <v>Pied</v>
      </c>
      <c r="M27" s="164" t="str">
        <f>IF(NOMENCLATURE_GEN!L27="","",NOMENCLATURE_GEN!L27)</f>
        <v>NON</v>
      </c>
      <c r="N27" s="161"/>
      <c r="O27" s="14"/>
      <c r="P27" s="14"/>
      <c r="Q27" s="14"/>
      <c r="R27" s="14"/>
      <c r="S27" s="16"/>
      <c r="T27" s="16"/>
      <c r="U27" s="17"/>
      <c r="V27" s="7"/>
    </row>
    <row r="28" spans="2:22" s="3" customFormat="1" ht="39.950000000000003" hidden="1" customHeight="1">
      <c r="B28" s="129" t="str">
        <f>IF(NOMENCLATURE_GEN!B28="","",NOMENCLATURE_GEN!B28)</f>
        <v/>
      </c>
      <c r="C28" s="243" t="str">
        <f>IF(NOMENCLATURE_GEN!C28="","",NOMENCLATURE_GEN!C28)</f>
        <v/>
      </c>
      <c r="D28" s="4">
        <f>IF(NOMENCLATURE_GEN!D28="","",NOMENCLATURE_GEN!D28)</f>
        <v>117</v>
      </c>
      <c r="E28" s="4" t="str">
        <f ca="1">IF(NOMENCLATURE_GEN!E28="","",NOMENCLATURE_GEN!E28)</f>
        <v>A</v>
      </c>
      <c r="F28" s="4" t="str">
        <f>IF(NOMENCLATURE_GEN!F28="","",NOMENCLATURE_GEN!F28)</f>
        <v>NET</v>
      </c>
      <c r="G28" s="310" t="str">
        <f>IF(NOMENCLATURE_GEN!G28="","",NOMENCLATURE_GEN!G28)</f>
        <v>Nettoyage pneumatique haute pression maille Ø30mm</v>
      </c>
      <c r="H28" s="4" t="str">
        <f>IF(NOMENCLATURE_GEN!H28="","",NOMENCLATURE_GEN!H28)</f>
        <v/>
      </c>
      <c r="I28" s="4" t="str">
        <f>IF(NOMENCLATURE_GEN!I28="","",NOMENCLATURE_GEN!I28)</f>
        <v/>
      </c>
      <c r="J28" s="130" t="str">
        <f>IF(NOMENCLATURE_GEN!J28="","",NOMENCLATURE_GEN!J28)</f>
        <v/>
      </c>
      <c r="K28" s="158" t="str">
        <f>IF(Motorisation!L28="","",Motorisation!L28)</f>
        <v>K57</v>
      </c>
      <c r="L28" s="159" t="str">
        <f>IF(NOMENCLATURE_GEN!R28="","",NOMENCLATURE_GEN!R28)</f>
        <v>-</v>
      </c>
      <c r="M28" s="164" t="str">
        <f>IF(NOMENCLATURE_GEN!L28="","",NOMENCLATURE_GEN!L28)</f>
        <v>NON</v>
      </c>
      <c r="N28" s="161"/>
      <c r="O28" s="14"/>
      <c r="P28" s="14"/>
      <c r="Q28" s="14"/>
      <c r="R28" s="14"/>
      <c r="S28" s="16"/>
      <c r="T28" s="16"/>
      <c r="U28" s="17"/>
      <c r="V28" s="7"/>
    </row>
    <row r="29" spans="2:22" s="3" customFormat="1" ht="39.950000000000003" customHeight="1">
      <c r="B29" s="129" t="str">
        <f>IF(NOMENCLATURE_GEN!B29="","",NOMENCLATURE_GEN!B29)</f>
        <v/>
      </c>
      <c r="C29" s="243" t="str">
        <f>IF(NOMENCLATURE_GEN!C29="","",NOMENCLATURE_GEN!C29)</f>
        <v/>
      </c>
      <c r="D29" s="4">
        <f>IF(NOMENCLATURE_GEN!D29="","",NOMENCLATURE_GEN!D29)</f>
        <v>118</v>
      </c>
      <c r="E29" s="4" t="str">
        <f ca="1">IF(NOMENCLATURE_GEN!E29="","",NOMENCLATURE_GEN!E29)</f>
        <v>A</v>
      </c>
      <c r="F29" s="4" t="str">
        <f>IF(NOMENCLATURE_GEN!F29="","",NOMENCLATURE_GEN!F29)</f>
        <v>CBA</v>
      </c>
      <c r="G29" s="310" t="str">
        <f>IF(NOMENCLATURE_GEN!G29="","",NOMENCLATURE_GEN!G29)</f>
        <v xml:space="preserve">Convoyeur de reprise de la fraction 30-180mm avec tête inox + zone inox </v>
      </c>
      <c r="H29" s="4">
        <f>IF(NOMENCLATURE_GEN!H29="","",NOMENCLATURE_GEN!H29)</f>
        <v>1200</v>
      </c>
      <c r="I29" s="4">
        <f>IF(NOMENCLATURE_GEN!I29="","",NOMENCLATURE_GEN!I29)</f>
        <v>9000</v>
      </c>
      <c r="J29" s="130">
        <f>IF(NOMENCLATURE_GEN!J29="","",NOMENCLATURE_GEN!J29)</f>
        <v>5</v>
      </c>
      <c r="K29" s="158" t="str">
        <f>IF(Motorisation!L29="","",Motorisation!L29)</f>
        <v>KA 67</v>
      </c>
      <c r="L29" s="159" t="str">
        <f>IF(NOMENCLATURE_GEN!R29="","",NOMENCLATURE_GEN!R29)</f>
        <v>Tete</v>
      </c>
      <c r="M29" s="164" t="str">
        <f>IF(NOMENCLATURE_GEN!L29="","",NOMENCLATURE_GEN!L29)</f>
        <v>OUI</v>
      </c>
      <c r="N29" s="595" t="s">
        <v>768</v>
      </c>
      <c r="O29" s="13" t="s">
        <v>758</v>
      </c>
      <c r="P29" s="14"/>
      <c r="Q29" s="14"/>
      <c r="R29" s="14"/>
      <c r="S29" s="16"/>
      <c r="T29" s="16"/>
      <c r="U29" s="17"/>
      <c r="V29" s="7"/>
    </row>
    <row r="30" spans="2:22" s="3" customFormat="1" ht="39.950000000000003" hidden="1" customHeight="1">
      <c r="B30" s="129" t="str">
        <f>IF(NOMENCLATURE_GEN!B30="","",NOMENCLATURE_GEN!B30)</f>
        <v/>
      </c>
      <c r="C30" s="243" t="str">
        <f>IF(NOMENCLATURE_GEN!C30="","",NOMENCLATURE_GEN!C30)</f>
        <v/>
      </c>
      <c r="D30" s="4">
        <f>IF(NOMENCLATURE_GEN!D30="","",NOMENCLATURE_GEN!D30)</f>
        <v>119</v>
      </c>
      <c r="E30" s="4" t="str">
        <f ca="1">IF(NOMENCLATURE_GEN!E30="","",NOMENCLATURE_GEN!E30)</f>
        <v>A</v>
      </c>
      <c r="F30" s="4" t="str">
        <f>IF(NOMENCLATURE_GEN!F30="","",NOMENCLATURE_GEN!F30)</f>
        <v>OVB</v>
      </c>
      <c r="G30" s="310" t="str">
        <f>IF(NOMENCLATURE_GEN!G30="","",NOMENCLATURE_GEN!G30)</f>
        <v>Séparateur magnétique à aimant permament</v>
      </c>
      <c r="H30" s="4">
        <f>IF(NOMENCLATURE_GEN!H30="","",NOMENCLATURE_GEN!H30)</f>
        <v>1200</v>
      </c>
      <c r="I30" s="4">
        <f>IF(NOMENCLATURE_GEN!I30="","",NOMENCLATURE_GEN!I30)</f>
        <v>1200</v>
      </c>
      <c r="J30" s="130" t="str">
        <f>IF(NOMENCLATURE_GEN!J30="","",NOMENCLATURE_GEN!J30)</f>
        <v/>
      </c>
      <c r="K30" s="158" t="str">
        <f>IF(Motorisation!L30="","",Motorisation!L30)</f>
        <v>K57</v>
      </c>
      <c r="L30" s="159" t="str">
        <f>IF(NOMENCLATURE_GEN!R30="","",NOMENCLATURE_GEN!R30)</f>
        <v>Tete</v>
      </c>
      <c r="M30" s="164" t="str">
        <f>IF(NOMENCLATURE_GEN!L30="","",NOMENCLATURE_GEN!L30)</f>
        <v>NON</v>
      </c>
      <c r="N30" s="161"/>
      <c r="O30" s="14"/>
      <c r="P30" s="14"/>
      <c r="Q30" s="14"/>
      <c r="R30" s="14"/>
      <c r="S30" s="16"/>
      <c r="T30" s="16"/>
      <c r="U30" s="17"/>
      <c r="V30" s="7"/>
    </row>
    <row r="31" spans="2:22" s="3" customFormat="1" ht="39.950000000000003" hidden="1" customHeight="1">
      <c r="B31" s="129" t="str">
        <f>IF(NOMENCLATURE_GEN!B31="","",NOMENCLATURE_GEN!B31)</f>
        <v/>
      </c>
      <c r="C31" s="243" t="str">
        <f>IF(NOMENCLATURE_GEN!C31="","",NOMENCLATURE_GEN!C31)</f>
        <v/>
      </c>
      <c r="D31" s="4">
        <f>IF(NOMENCLATURE_GEN!D31="","",NOMENCLATURE_GEN!D31)</f>
        <v>120</v>
      </c>
      <c r="E31" s="4" t="str">
        <f ca="1">IF(NOMENCLATURE_GEN!E31="","",NOMENCLATURE_GEN!E31)</f>
        <v>A</v>
      </c>
      <c r="F31" s="4" t="str">
        <f>IF(NOMENCLATURE_GEN!F31="","",NOMENCLATURE_GEN!F31)</f>
        <v>PMP</v>
      </c>
      <c r="G31" s="310" t="str">
        <f>IF(NOMENCLATURE_GEN!G31="","",NOMENCLATURE_GEN!G31)</f>
        <v>Poulie magnétique</v>
      </c>
      <c r="H31" s="4">
        <f>IF(NOMENCLATURE_GEN!H31="","",NOMENCLATURE_GEN!H31)</f>
        <v>1200</v>
      </c>
      <c r="I31" s="4" t="str">
        <f>IF(NOMENCLATURE_GEN!I31="","",NOMENCLATURE_GEN!I31)</f>
        <v/>
      </c>
      <c r="J31" s="130" t="str">
        <f>IF(NOMENCLATURE_GEN!J31="","",NOMENCLATURE_GEN!J31)</f>
        <v/>
      </c>
      <c r="K31" s="158" t="str">
        <f>IF(Motorisation!L31="","",Motorisation!L31)</f>
        <v>K57</v>
      </c>
      <c r="L31" s="159" t="str">
        <f>IF(NOMENCLATURE_GEN!R31="","",NOMENCLATURE_GEN!R31)</f>
        <v>-</v>
      </c>
      <c r="M31" s="164" t="str">
        <f>IF(NOMENCLATURE_GEN!L31="","",NOMENCLATURE_GEN!L31)</f>
        <v>NON</v>
      </c>
      <c r="N31" s="160"/>
      <c r="O31" s="14"/>
      <c r="P31" s="14"/>
      <c r="Q31" s="14"/>
      <c r="R31" s="14"/>
      <c r="S31" s="16"/>
      <c r="T31" s="16"/>
      <c r="U31" s="17"/>
      <c r="V31" s="7"/>
    </row>
    <row r="32" spans="2:22" s="3" customFormat="1" ht="39.950000000000003" hidden="1" customHeight="1">
      <c r="B32" s="129" t="str">
        <f>IF(NOMENCLATURE_GEN!B32="","",NOMENCLATURE_GEN!B32)</f>
        <v/>
      </c>
      <c r="C32" s="243" t="str">
        <f>IF(NOMENCLATURE_GEN!C32="","",NOMENCLATURE_GEN!C32)</f>
        <v/>
      </c>
      <c r="D32" s="4">
        <f>IF(NOMENCLATURE_GEN!D32="","",NOMENCLATURE_GEN!D32)</f>
        <v>121</v>
      </c>
      <c r="E32" s="4" t="str">
        <f ca="1">IF(NOMENCLATURE_GEN!E32="","",NOMENCLATURE_GEN!E32)</f>
        <v>A</v>
      </c>
      <c r="F32" s="4" t="str">
        <f>IF(NOMENCLATURE_GEN!F32="","",NOMENCLATURE_GEN!F32)</f>
        <v>SNF</v>
      </c>
      <c r="G32" s="310" t="str">
        <f>IF(NOMENCLATURE_GEN!G32="","",NOMENCLATURE_GEN!G32)</f>
        <v>Séparateur de non ferreux EDX - ROUE POLAIRE</v>
      </c>
      <c r="H32" s="4">
        <f>IF(NOMENCLATURE_GEN!H32="","",NOMENCLATURE_GEN!H32)</f>
        <v>1200</v>
      </c>
      <c r="I32" s="4">
        <f>IF(NOMENCLATURE_GEN!I32="","",NOMENCLATURE_GEN!I32)</f>
        <v>2500</v>
      </c>
      <c r="J32" s="130" t="str">
        <f>IF(NOMENCLATURE_GEN!J32="","",NOMENCLATURE_GEN!J32)</f>
        <v/>
      </c>
      <c r="K32" s="158" t="str">
        <f>IF(Motorisation!L32="","",Motorisation!L32)</f>
        <v>K57</v>
      </c>
      <c r="L32" s="159" t="str">
        <f>IF(NOMENCLATURE_GEN!R32="","",NOMENCLATURE_GEN!R32)</f>
        <v>Tete</v>
      </c>
      <c r="M32" s="164" t="str">
        <f>IF(NOMENCLATURE_GEN!L32="","",NOMENCLATURE_GEN!L32)</f>
        <v>NON</v>
      </c>
      <c r="N32" s="160"/>
      <c r="O32" s="14"/>
      <c r="P32" s="14"/>
      <c r="Q32" s="14"/>
      <c r="R32" s="14"/>
      <c r="S32" s="16"/>
      <c r="T32" s="16"/>
      <c r="U32" s="17"/>
      <c r="V32" s="7"/>
    </row>
    <row r="33" spans="2:22" s="3" customFormat="1" ht="39.950000000000003" hidden="1" customHeight="1">
      <c r="B33" s="129" t="str">
        <f>IF(NOMENCLATURE_GEN!B33="","",NOMENCLATURE_GEN!B33)</f>
        <v/>
      </c>
      <c r="C33" s="243" t="str">
        <f>IF(NOMENCLATURE_GEN!C33="","",NOMENCLATURE_GEN!C33)</f>
        <v/>
      </c>
      <c r="D33" s="4">
        <f>IF(NOMENCLATURE_GEN!D33="","",NOMENCLATURE_GEN!D33)</f>
        <v>121</v>
      </c>
      <c r="E33" s="4" t="str">
        <f ca="1">IF(NOMENCLATURE_GEN!E33="","",NOMENCLATURE_GEN!E33)</f>
        <v>B</v>
      </c>
      <c r="F33" s="4" t="str">
        <f>IF(NOMENCLATURE_GEN!F33="","",NOMENCLATURE_GEN!F33)</f>
        <v>SNF</v>
      </c>
      <c r="G33" s="310" t="str">
        <f>IF(NOMENCLATURE_GEN!G33="","",NOMENCLATURE_GEN!G33)</f>
        <v>Séparateur de non ferreux EDX - CONVOYEUR</v>
      </c>
      <c r="H33" s="4" t="str">
        <f>IF(NOMENCLATURE_GEN!H33="","",NOMENCLATURE_GEN!H33)</f>
        <v/>
      </c>
      <c r="I33" s="4" t="str">
        <f>IF(NOMENCLATURE_GEN!I33="","",NOMENCLATURE_GEN!I33)</f>
        <v/>
      </c>
      <c r="J33" s="130" t="str">
        <f>IF(NOMENCLATURE_GEN!J33="","",NOMENCLATURE_GEN!J33)</f>
        <v/>
      </c>
      <c r="K33" s="158" t="str">
        <f>IF(Motorisation!L33="","",Motorisation!L33)</f>
        <v/>
      </c>
      <c r="L33" s="159" t="str">
        <f>IF(NOMENCLATURE_GEN!R33="","",NOMENCLATURE_GEN!R33)</f>
        <v>Pied</v>
      </c>
      <c r="M33" s="164" t="str">
        <f>IF(NOMENCLATURE_GEN!L33="","",NOMENCLATURE_GEN!L33)</f>
        <v>NON</v>
      </c>
      <c r="N33" s="161"/>
      <c r="O33" s="14"/>
      <c r="P33" s="14"/>
      <c r="Q33" s="14"/>
      <c r="R33" s="14"/>
      <c r="S33" s="16"/>
      <c r="T33" s="16"/>
      <c r="U33" s="17"/>
      <c r="V33" s="7"/>
    </row>
    <row r="34" spans="2:22" s="3" customFormat="1" ht="39.950000000000003" customHeight="1">
      <c r="B34" s="129" t="str">
        <f>IF(NOMENCLATURE_GEN!B34="","",NOMENCLATURE_GEN!B34)</f>
        <v/>
      </c>
      <c r="C34" s="243" t="str">
        <f>IF(NOMENCLATURE_GEN!C34="","",NOMENCLATURE_GEN!C34)</f>
        <v/>
      </c>
      <c r="D34" s="4">
        <f>IF(NOMENCLATURE_GEN!D34="","",NOMENCLATURE_GEN!D34)</f>
        <v>122</v>
      </c>
      <c r="E34" s="4" t="str">
        <f ca="1">IF(NOMENCLATURE_GEN!E34="","",NOMENCLATURE_GEN!E34)</f>
        <v>A</v>
      </c>
      <c r="F34" s="4" t="str">
        <f>IF(NOMENCLATURE_GEN!F34="","",NOMENCLATURE_GEN!F34)</f>
        <v>TBE</v>
      </c>
      <c r="G34" s="310" t="str">
        <f>IF(NOMENCLATURE_GEN!G34="","",NOMENCLATURE_GEN!G34)</f>
        <v>Convoyeur de reprise des non ferreux</v>
      </c>
      <c r="H34" s="4">
        <f>IF(NOMENCLATURE_GEN!H34="","",NOMENCLATURE_GEN!H34)</f>
        <v>600</v>
      </c>
      <c r="I34" s="4">
        <f>IF(NOMENCLATURE_GEN!I34="","",NOMENCLATURE_GEN!I34)</f>
        <v>3000</v>
      </c>
      <c r="J34" s="130">
        <f>IF(NOMENCLATURE_GEN!J34="","",NOMENCLATURE_GEN!J34)</f>
        <v>0</v>
      </c>
      <c r="K34" s="158" t="str">
        <f>IF(Motorisation!L34="","",Motorisation!L34)</f>
        <v>MGFAT4</v>
      </c>
      <c r="L34" s="159" t="str">
        <f>IF(NOMENCLATURE_GEN!R34="","",NOMENCLATURE_GEN!R34)</f>
        <v>Tete</v>
      </c>
      <c r="M34" s="164" t="str">
        <f>IF(NOMENCLATURE_GEN!L34="","",NOMENCLATURE_GEN!L34)</f>
        <v>NON</v>
      </c>
      <c r="N34" s="160" t="s">
        <v>718</v>
      </c>
      <c r="O34" s="13" t="s">
        <v>719</v>
      </c>
      <c r="P34" s="14"/>
      <c r="Q34" s="14"/>
      <c r="R34" s="14"/>
      <c r="S34" s="16"/>
      <c r="T34" s="16"/>
      <c r="U34" s="17"/>
      <c r="V34" s="7"/>
    </row>
    <row r="35" spans="2:22" s="3" customFormat="1" ht="39.950000000000003" customHeight="1">
      <c r="B35" s="129" t="str">
        <f>IF(NOMENCLATURE_GEN!B35="","",NOMENCLATURE_GEN!B35)</f>
        <v/>
      </c>
      <c r="C35" s="243" t="str">
        <f>IF(NOMENCLATURE_GEN!C35="","",NOMENCLATURE_GEN!C35)</f>
        <v/>
      </c>
      <c r="D35" s="4">
        <f>IF(NOMENCLATURE_GEN!D35="","",NOMENCLATURE_GEN!D35)</f>
        <v>123</v>
      </c>
      <c r="E35" s="4" t="str">
        <f ca="1">IF(NOMENCLATURE_GEN!E35="","",NOMENCLATURE_GEN!E35)</f>
        <v>A</v>
      </c>
      <c r="F35" s="4" t="str">
        <f>IF(NOMENCLATURE_GEN!F35="","",NOMENCLATURE_GEN!F35)</f>
        <v>TBE</v>
      </c>
      <c r="G35" s="310" t="str">
        <f>IF(NOMENCLATURE_GEN!G35="","",NOMENCLATURE_GEN!G35)</f>
        <v>Convoyeur de centralisation des non ferreux et transfert vers benne</v>
      </c>
      <c r="H35" s="4">
        <f>IF(NOMENCLATURE_GEN!H35="","",NOMENCLATURE_GEN!H35)</f>
        <v>800</v>
      </c>
      <c r="I35" s="4">
        <f>IF(NOMENCLATURE_GEN!I35="","",NOMENCLATURE_GEN!I35)</f>
        <v>10000</v>
      </c>
      <c r="J35" s="130">
        <f>IF(NOMENCLATURE_GEN!J35="","",NOMENCLATURE_GEN!J35)</f>
        <v>20</v>
      </c>
      <c r="K35" s="158" t="str">
        <f>IF(Motorisation!L35="","",Motorisation!L35)</f>
        <v>MGFAT4</v>
      </c>
      <c r="L35" s="159" t="str">
        <f>IF(NOMENCLATURE_GEN!R35="","",NOMENCLATURE_GEN!R35)</f>
        <v>Tete</v>
      </c>
      <c r="M35" s="164" t="str">
        <f>IF(NOMENCLATURE_GEN!L35="","",NOMENCLATURE_GEN!L35)</f>
        <v>NON</v>
      </c>
      <c r="N35" s="160" t="s">
        <v>720</v>
      </c>
      <c r="O35" s="13" t="s">
        <v>722</v>
      </c>
      <c r="P35" s="13" t="s">
        <v>727</v>
      </c>
      <c r="Q35" s="14">
        <v>1</v>
      </c>
      <c r="R35" s="14"/>
      <c r="S35" s="16"/>
      <c r="T35" s="16"/>
      <c r="U35" s="17"/>
      <c r="V35" s="7"/>
    </row>
    <row r="36" spans="2:22" s="3" customFormat="1" ht="39.950000000000003" customHeight="1">
      <c r="B36" s="129" t="str">
        <f>IF(NOMENCLATURE_GEN!B36="","",NOMENCLATURE_GEN!B36)</f>
        <v/>
      </c>
      <c r="C36" s="243" t="str">
        <f>IF(NOMENCLATURE_GEN!C36="","",NOMENCLATURE_GEN!C36)</f>
        <v/>
      </c>
      <c r="D36" s="4">
        <f>IF(NOMENCLATURE_GEN!D36="","",NOMENCLATURE_GEN!D36)</f>
        <v>124</v>
      </c>
      <c r="E36" s="4" t="str">
        <f ca="1">IF(NOMENCLATURE_GEN!E36="","",NOMENCLATURE_GEN!E36)</f>
        <v>A</v>
      </c>
      <c r="F36" s="4" t="str">
        <f>IF(NOMENCLATURE_GEN!F36="","",NOMENCLATURE_GEN!F36)</f>
        <v>TBE</v>
      </c>
      <c r="G36" s="310" t="str">
        <f>IF(NOMENCLATURE_GEN!G36="","",NOMENCLATURE_GEN!G36)</f>
        <v>Convoyeur navette double sens de remplissage de la benne</v>
      </c>
      <c r="H36" s="4">
        <f>IF(NOMENCLATURE_GEN!H36="","",NOMENCLATURE_GEN!H36)</f>
        <v>800</v>
      </c>
      <c r="I36" s="4">
        <f>IF(NOMENCLATURE_GEN!I36="","",NOMENCLATURE_GEN!I36)</f>
        <v>3000</v>
      </c>
      <c r="J36" s="130">
        <f>IF(NOMENCLATURE_GEN!J36="","",NOMENCLATURE_GEN!J36)</f>
        <v>0</v>
      </c>
      <c r="K36" s="158" t="str">
        <f>IF(Motorisation!L36="","",Motorisation!L36)</f>
        <v>MGFAT4</v>
      </c>
      <c r="L36" s="159" t="str">
        <f>IF(NOMENCLATURE_GEN!R36="","",NOMENCLATURE_GEN!R36)</f>
        <v>Tete</v>
      </c>
      <c r="M36" s="164" t="str">
        <f>IF(NOMENCLATURE_GEN!L36="","",NOMENCLATURE_GEN!L36)</f>
        <v>NON</v>
      </c>
      <c r="N36" s="160" t="s">
        <v>720</v>
      </c>
      <c r="O36" s="13" t="s">
        <v>722</v>
      </c>
      <c r="P36" s="14"/>
      <c r="Q36" s="14"/>
      <c r="R36" s="14"/>
      <c r="S36" s="16"/>
      <c r="T36" s="16"/>
      <c r="U36" s="17"/>
      <c r="V36" s="7"/>
    </row>
    <row r="37" spans="2:22" s="3" customFormat="1" ht="39.950000000000003" customHeight="1">
      <c r="B37" s="129" t="str">
        <f>IF(NOMENCLATURE_GEN!B37="","",NOMENCLATURE_GEN!B37)</f>
        <v/>
      </c>
      <c r="C37" s="243" t="str">
        <f>IF(NOMENCLATURE_GEN!C37="","",NOMENCLATURE_GEN!C37)</f>
        <v/>
      </c>
      <c r="D37" s="4">
        <f>IF(NOMENCLATURE_GEN!D37="","",NOMENCLATURE_GEN!D37)</f>
        <v>125</v>
      </c>
      <c r="E37" s="4" t="str">
        <f ca="1">IF(NOMENCLATURE_GEN!E37="","",NOMENCLATURE_GEN!E37)</f>
        <v>A</v>
      </c>
      <c r="F37" s="4" t="str">
        <f>IF(NOMENCLATURE_GEN!F37="","",NOMENCLATURE_GEN!F37)</f>
        <v>CBA</v>
      </c>
      <c r="G37" s="310" t="str">
        <f>IF(NOMENCLATURE_GEN!G37="","",NOMENCLATURE_GEN!G37)</f>
        <v>Convoyeur de reprise des refus 30-180mm sous snf</v>
      </c>
      <c r="H37" s="4">
        <f>IF(NOMENCLATURE_GEN!H37="","",NOMENCLATURE_GEN!H37)</f>
        <v>1000</v>
      </c>
      <c r="I37" s="4">
        <f>IF(NOMENCLATURE_GEN!I37="","",NOMENCLATURE_GEN!I37)</f>
        <v>7500</v>
      </c>
      <c r="J37" s="130">
        <f>IF(NOMENCLATURE_GEN!J37="","",NOMENCLATURE_GEN!J37)</f>
        <v>14</v>
      </c>
      <c r="K37" s="158" t="str">
        <f>IF(Motorisation!L37="","",Motorisation!L37)</f>
        <v>KA 67</v>
      </c>
      <c r="L37" s="159" t="str">
        <f>IF(NOMENCLATURE_GEN!R37="","",NOMENCLATURE_GEN!R37)</f>
        <v>Tete</v>
      </c>
      <c r="M37" s="164" t="str">
        <f>IF(NOMENCLATURE_GEN!L37="","",NOMENCLATURE_GEN!L37)</f>
        <v>NON</v>
      </c>
      <c r="N37" s="160" t="s">
        <v>756</v>
      </c>
      <c r="O37" s="13" t="s">
        <v>755</v>
      </c>
      <c r="P37" s="14"/>
      <c r="Q37" s="14"/>
      <c r="R37" s="14"/>
      <c r="S37" s="16"/>
      <c r="T37" s="16"/>
      <c r="U37" s="17"/>
      <c r="V37" s="7"/>
    </row>
    <row r="38" spans="2:22" s="3" customFormat="1" ht="39.950000000000003" customHeight="1">
      <c r="B38" s="129" t="str">
        <f>IF(NOMENCLATURE_GEN!B38="","",NOMENCLATURE_GEN!B38)</f>
        <v/>
      </c>
      <c r="C38" s="243" t="str">
        <f>IF(NOMENCLATURE_GEN!C38="","",NOMENCLATURE_GEN!C38)</f>
        <v/>
      </c>
      <c r="D38" s="4">
        <f>IF(NOMENCLATURE_GEN!D38="","",NOMENCLATURE_GEN!D38)</f>
        <v>126</v>
      </c>
      <c r="E38" s="4" t="str">
        <f ca="1">IF(NOMENCLATURE_GEN!E38="","",NOMENCLATURE_GEN!E38)</f>
        <v>A</v>
      </c>
      <c r="F38" s="4" t="str">
        <f>IF(NOMENCLATURE_GEN!F38="","",NOMENCLATURE_GEN!F38)</f>
        <v>CBA</v>
      </c>
      <c r="G38" s="310" t="str">
        <f>IF(NOMENCLATURE_GEN!G38="","",NOMENCLATURE_GEN!G38)</f>
        <v>Convoyeur de transfert des refus 30-180mm</v>
      </c>
      <c r="H38" s="4">
        <f>IF(NOMENCLATURE_GEN!H38="","",NOMENCLATURE_GEN!H38)</f>
        <v>1000</v>
      </c>
      <c r="I38" s="4">
        <f>IF(NOMENCLATURE_GEN!I38="","",NOMENCLATURE_GEN!I38)</f>
        <v>14250</v>
      </c>
      <c r="J38" s="130">
        <f>IF(NOMENCLATURE_GEN!J38="","",NOMENCLATURE_GEN!J38)</f>
        <v>10</v>
      </c>
      <c r="K38" s="158" t="str">
        <f>IF(Motorisation!L38="","",Motorisation!L38)</f>
        <v>KA 67</v>
      </c>
      <c r="L38" s="159" t="str">
        <f>IF(NOMENCLATURE_GEN!R38="","",NOMENCLATURE_GEN!R38)</f>
        <v>Tete</v>
      </c>
      <c r="M38" s="164" t="str">
        <f>IF(NOMENCLATURE_GEN!L38="","",NOMENCLATURE_GEN!L38)</f>
        <v>NON</v>
      </c>
      <c r="N38" s="160" t="s">
        <v>756</v>
      </c>
      <c r="O38" s="14" t="s">
        <v>755</v>
      </c>
      <c r="P38" s="14"/>
      <c r="Q38" s="14"/>
      <c r="R38" s="14"/>
      <c r="S38" s="16"/>
      <c r="T38" s="16"/>
      <c r="U38" s="17"/>
      <c r="V38" s="7"/>
    </row>
    <row r="39" spans="2:22" s="3" customFormat="1" ht="39.950000000000003" customHeight="1">
      <c r="B39" s="129" t="str">
        <f>IF(NOMENCLATURE_GEN!B39="","",NOMENCLATURE_GEN!B39)</f>
        <v/>
      </c>
      <c r="C39" s="243" t="str">
        <f>IF(NOMENCLATURE_GEN!C39="","",NOMENCLATURE_GEN!C39)</f>
        <v/>
      </c>
      <c r="D39" s="4">
        <f>IF(NOMENCLATURE_GEN!D39="","",NOMENCLATURE_GEN!D39)</f>
        <v>127</v>
      </c>
      <c r="E39" s="4" t="str">
        <f ca="1">IF(NOMENCLATURE_GEN!E39="","",NOMENCLATURE_GEN!E39)</f>
        <v>A</v>
      </c>
      <c r="F39" s="4" t="str">
        <f>IF(NOMENCLATURE_GEN!F39="","",NOMENCLATURE_GEN!F39)</f>
        <v>TBE</v>
      </c>
      <c r="G39" s="310" t="str">
        <f>IF(NOMENCLATURE_GEN!G39="","",NOMENCLATURE_GEN!G39)</f>
        <v>Convoyeur de reprise des aciers 30-180mm</v>
      </c>
      <c r="H39" s="4">
        <f>IF(NOMENCLATURE_GEN!H39="","",NOMENCLATURE_GEN!H39)</f>
        <v>600</v>
      </c>
      <c r="I39" s="4">
        <f>IF(NOMENCLATURE_GEN!I39="","",NOMENCLATURE_GEN!I39)</f>
        <v>3750</v>
      </c>
      <c r="J39" s="130">
        <f>IF(NOMENCLATURE_GEN!J39="","",NOMENCLATURE_GEN!J39)</f>
        <v>10</v>
      </c>
      <c r="K39" s="158" t="str">
        <f>IF(Motorisation!L39="","",Motorisation!L39)</f>
        <v>MGFAT4</v>
      </c>
      <c r="L39" s="159" t="str">
        <f>IF(NOMENCLATURE_GEN!R39="","",NOMENCLATURE_GEN!R39)</f>
        <v>Tete</v>
      </c>
      <c r="M39" s="164" t="str">
        <f>IF(NOMENCLATURE_GEN!L39="","",NOMENCLATURE_GEN!L39)</f>
        <v>NON</v>
      </c>
      <c r="N39" s="160" t="s">
        <v>718</v>
      </c>
      <c r="O39" s="13" t="s">
        <v>719</v>
      </c>
      <c r="P39" s="14"/>
      <c r="Q39" s="14"/>
      <c r="R39" s="14"/>
      <c r="S39" s="16"/>
      <c r="T39" s="16"/>
      <c r="U39" s="17"/>
      <c r="V39" s="7"/>
    </row>
    <row r="40" spans="2:22" s="3" customFormat="1" ht="39.950000000000003" hidden="1" customHeight="1">
      <c r="B40" s="129" t="str">
        <f>IF(NOMENCLATURE_GEN!B40="","",NOMENCLATURE_GEN!B40)</f>
        <v/>
      </c>
      <c r="C40" s="243" t="str">
        <f>IF(NOMENCLATURE_GEN!C40="","",NOMENCLATURE_GEN!C40)</f>
        <v/>
      </c>
      <c r="D40" s="4">
        <f>IF(NOMENCLATURE_GEN!D40="","",NOMENCLATURE_GEN!D40)</f>
        <v>128</v>
      </c>
      <c r="E40" s="4" t="str">
        <f ca="1">IF(NOMENCLATURE_GEN!E40="","",NOMENCLATURE_GEN!E40)</f>
        <v>A</v>
      </c>
      <c r="F40" s="4" t="str">
        <f>IF(NOMENCLATURE_GEN!F40="","",NOMENCLATURE_GEN!F40)</f>
        <v>GLT</v>
      </c>
      <c r="G40" s="310" t="str">
        <f>IF(NOMENCLATURE_GEN!G40="","",NOMENCLATURE_GEN!G40)</f>
        <v>Goulotte by-pass (ligne de broyage des fe ou benne de stokage)</v>
      </c>
      <c r="H40" s="4" t="str">
        <f>IF(NOMENCLATURE_GEN!H40="","",NOMENCLATURE_GEN!H40)</f>
        <v/>
      </c>
      <c r="I40" s="4" t="str">
        <f>IF(NOMENCLATURE_GEN!I40="","",NOMENCLATURE_GEN!I40)</f>
        <v/>
      </c>
      <c r="J40" s="130" t="str">
        <f>IF(NOMENCLATURE_GEN!J40="","",NOMENCLATURE_GEN!J40)</f>
        <v/>
      </c>
      <c r="K40" s="158" t="str">
        <f>IF(Motorisation!L40="","",Motorisation!L40)</f>
        <v>K57</v>
      </c>
      <c r="L40" s="159" t="str">
        <f>IF(NOMENCLATURE_GEN!R40="","",NOMENCLATURE_GEN!R40)</f>
        <v>-</v>
      </c>
      <c r="M40" s="164" t="str">
        <f>IF(NOMENCLATURE_GEN!L40="","",NOMENCLATURE_GEN!L40)</f>
        <v>NON</v>
      </c>
      <c r="N40" s="161"/>
      <c r="O40" s="14"/>
      <c r="P40" s="14"/>
      <c r="Q40" s="14"/>
      <c r="R40" s="14"/>
      <c r="S40" s="16"/>
      <c r="T40" s="16"/>
      <c r="U40" s="17"/>
      <c r="V40" s="7"/>
    </row>
    <row r="41" spans="2:22" s="3" customFormat="1" ht="39.950000000000003" hidden="1" customHeight="1">
      <c r="B41" s="129" t="str">
        <f>IF(NOMENCLATURE_GEN!B41="","",NOMENCLATURE_GEN!B41)</f>
        <v>SUP</v>
      </c>
      <c r="C41" s="243" t="str">
        <f>IF(NOMENCLATURE_GEN!C41="","",NOMENCLATURE_GEN!C41)</f>
        <v/>
      </c>
      <c r="D41" s="4">
        <f>IF(NOMENCLATURE_GEN!D41="","",NOMENCLATURE_GEN!D41)</f>
        <v>129</v>
      </c>
      <c r="E41" s="4" t="str">
        <f ca="1">IF(NOMENCLATURE_GEN!E41="","",NOMENCLATURE_GEN!E41)</f>
        <v>A</v>
      </c>
      <c r="F41" s="4" t="str">
        <f>IF(NOMENCLATURE_GEN!F41="","",NOMENCLATURE_GEN!F41)</f>
        <v>TRE</v>
      </c>
      <c r="G41" s="310" t="str">
        <f>IF(NOMENCLATURE_GEN!G41="","",NOMENCLATURE_GEN!G41)</f>
        <v>Trémie des passants sous trommel secondaire</v>
      </c>
      <c r="H41" s="4" t="str">
        <f>IF(NOMENCLATURE_GEN!H41="","",NOMENCLATURE_GEN!H41)</f>
        <v/>
      </c>
      <c r="I41" s="4" t="str">
        <f>IF(NOMENCLATURE_GEN!I41="","",NOMENCLATURE_GEN!I41)</f>
        <v/>
      </c>
      <c r="J41" s="130" t="str">
        <f>IF(NOMENCLATURE_GEN!J41="","",NOMENCLATURE_GEN!J41)</f>
        <v/>
      </c>
      <c r="K41" s="158" t="str">
        <f>IF(Motorisation!L41="","",Motorisation!L41)</f>
        <v>K57</v>
      </c>
      <c r="L41" s="159" t="str">
        <f>IF(NOMENCLATURE_GEN!R41="","",NOMENCLATURE_GEN!R41)</f>
        <v>-</v>
      </c>
      <c r="M41" s="164" t="str">
        <f>IF(NOMENCLATURE_GEN!L41="","",NOMENCLATURE_GEN!L41)</f>
        <v>NON</v>
      </c>
      <c r="N41" s="160"/>
      <c r="O41" s="14"/>
      <c r="P41" s="14"/>
      <c r="Q41" s="14"/>
      <c r="R41" s="14"/>
      <c r="S41" s="16"/>
      <c r="T41" s="16"/>
      <c r="U41" s="17"/>
      <c r="V41" s="7"/>
    </row>
    <row r="42" spans="2:22" s="3" customFormat="1" ht="39.950000000000003" customHeight="1">
      <c r="B42" s="129" t="str">
        <f>IF(NOMENCLATURE_GEN!B42="","",NOMENCLATURE_GEN!B42)</f>
        <v/>
      </c>
      <c r="C42" s="243" t="str">
        <f>IF(NOMENCLATURE_GEN!C42="","",NOMENCLATURE_GEN!C42)</f>
        <v/>
      </c>
      <c r="D42" s="4">
        <f>IF(NOMENCLATURE_GEN!D42="","",NOMENCLATURE_GEN!D42)</f>
        <v>130</v>
      </c>
      <c r="E42" s="4" t="str">
        <f ca="1">IF(NOMENCLATURE_GEN!E42="","",NOMENCLATURE_GEN!E42)</f>
        <v>A</v>
      </c>
      <c r="F42" s="4" t="str">
        <f>IF(NOMENCLATURE_GEN!F42="","",NOMENCLATURE_GEN!F42)</f>
        <v>CBA</v>
      </c>
      <c r="G42" s="310" t="str">
        <f>IF(NOMENCLATURE_GEN!G42="","",NOMENCLATURE_GEN!G42)</f>
        <v>Convoyeur de reprise de la fraction 0-30mm</v>
      </c>
      <c r="H42" s="4">
        <f>IF(NOMENCLATURE_GEN!H42="","",NOMENCLATURE_GEN!H42)</f>
        <v>1400</v>
      </c>
      <c r="I42" s="4">
        <f>IF(NOMENCLATURE_GEN!I42="","",NOMENCLATURE_GEN!I42)</f>
        <v>7750</v>
      </c>
      <c r="J42" s="130">
        <f>IF(NOMENCLATURE_GEN!J42="","",NOMENCLATURE_GEN!J42)</f>
        <v>0</v>
      </c>
      <c r="K42" s="158" t="str">
        <f>IF(Motorisation!L42="","",Motorisation!L42)</f>
        <v>KA 67</v>
      </c>
      <c r="L42" s="159" t="str">
        <f>IF(NOMENCLATURE_GEN!R42="","",NOMENCLATURE_GEN!R42)</f>
        <v>Tete</v>
      </c>
      <c r="M42" s="164" t="str">
        <f>IF(NOMENCLATURE_GEN!L42="","",NOMENCLATURE_GEN!L42)</f>
        <v>NON</v>
      </c>
      <c r="N42" s="160" t="s">
        <v>760</v>
      </c>
      <c r="O42" s="13" t="s">
        <v>759</v>
      </c>
      <c r="P42" s="14"/>
      <c r="Q42" s="14"/>
      <c r="R42" s="14"/>
      <c r="S42" s="16"/>
      <c r="T42" s="16"/>
      <c r="U42" s="17"/>
      <c r="V42" s="7"/>
    </row>
    <row r="43" spans="2:22" s="3" customFormat="1" ht="39.950000000000003" customHeight="1">
      <c r="B43" s="129" t="str">
        <f>IF(NOMENCLATURE_GEN!B43="","",NOMENCLATURE_GEN!B43)</f>
        <v/>
      </c>
      <c r="C43" s="243" t="str">
        <f>IF(NOMENCLATURE_GEN!C43="","",NOMENCLATURE_GEN!C43)</f>
        <v/>
      </c>
      <c r="D43" s="4">
        <f>IF(NOMENCLATURE_GEN!D43="","",NOMENCLATURE_GEN!D43)</f>
        <v>131</v>
      </c>
      <c r="E43" s="4" t="str">
        <f ca="1">IF(NOMENCLATURE_GEN!E43="","",NOMENCLATURE_GEN!E43)</f>
        <v>A</v>
      </c>
      <c r="F43" s="4" t="str">
        <f>IF(NOMENCLATURE_GEN!F43="","",NOMENCLATURE_GEN!F43)</f>
        <v>CBA</v>
      </c>
      <c r="G43" s="310" t="str">
        <f>IF(NOMENCLATURE_GEN!G43="","",NOMENCLATURE_GEN!G43)</f>
        <v>Convoyeur de reprise de la fraction 0-30mm, tête inox + zone inox</v>
      </c>
      <c r="H43" s="4">
        <f>IF(NOMENCLATURE_GEN!H43="","",NOMENCLATURE_GEN!H43)</f>
        <v>1200</v>
      </c>
      <c r="I43" s="4">
        <f>IF(NOMENCLATURE_GEN!I43="","",NOMENCLATURE_GEN!I43)</f>
        <v>8250</v>
      </c>
      <c r="J43" s="130">
        <f>IF(NOMENCLATURE_GEN!J43="","",NOMENCLATURE_GEN!J43)</f>
        <v>19</v>
      </c>
      <c r="K43" s="158" t="str">
        <f>IF(Motorisation!L43="","",Motorisation!L43)</f>
        <v>KA 67</v>
      </c>
      <c r="L43" s="159" t="str">
        <f>IF(NOMENCLATURE_GEN!R43="","",NOMENCLATURE_GEN!R43)</f>
        <v>Tete</v>
      </c>
      <c r="M43" s="164" t="str">
        <f>IF(NOMENCLATURE_GEN!L43="","",NOMENCLATURE_GEN!L43)</f>
        <v>OUI</v>
      </c>
      <c r="N43" s="595" t="s">
        <v>768</v>
      </c>
      <c r="O43" s="13" t="s">
        <v>758</v>
      </c>
      <c r="P43" s="14"/>
      <c r="Q43" s="14"/>
      <c r="R43" s="14"/>
      <c r="S43" s="16"/>
      <c r="T43" s="16"/>
      <c r="U43" s="17"/>
      <c r="V43" s="7"/>
    </row>
    <row r="44" spans="2:22" s="3" customFormat="1" ht="39.950000000000003" hidden="1" customHeight="1">
      <c r="B44" s="129" t="str">
        <f>IF(NOMENCLATURE_GEN!B44="","",NOMENCLATURE_GEN!B44)</f>
        <v/>
      </c>
      <c r="C44" s="243" t="str">
        <f>IF(NOMENCLATURE_GEN!C44="","",NOMENCLATURE_GEN!C44)</f>
        <v/>
      </c>
      <c r="D44" s="4">
        <f>IF(NOMENCLATURE_GEN!D44="","",NOMENCLATURE_GEN!D44)</f>
        <v>132</v>
      </c>
      <c r="E44" s="4" t="str">
        <f ca="1">IF(NOMENCLATURE_GEN!E44="","",NOMENCLATURE_GEN!E44)</f>
        <v>A</v>
      </c>
      <c r="F44" s="4" t="str">
        <f>IF(NOMENCLATURE_GEN!F44="","",NOMENCLATURE_GEN!F44)</f>
        <v>OVB</v>
      </c>
      <c r="G44" s="310" t="str">
        <f>IF(NOMENCLATURE_GEN!G44="","",NOMENCLATURE_GEN!G44)</f>
        <v>Séparateur magnétique à aimant permament</v>
      </c>
      <c r="H44" s="4">
        <f>IF(NOMENCLATURE_GEN!H44="","",NOMENCLATURE_GEN!H44)</f>
        <v>1200</v>
      </c>
      <c r="I44" s="4">
        <f>IF(NOMENCLATURE_GEN!I44="","",NOMENCLATURE_GEN!I44)</f>
        <v>1200</v>
      </c>
      <c r="J44" s="130" t="str">
        <f>IF(NOMENCLATURE_GEN!J44="","",NOMENCLATURE_GEN!J44)</f>
        <v/>
      </c>
      <c r="K44" s="158" t="str">
        <f>IF(Motorisation!L44="","",Motorisation!L44)</f>
        <v>K57</v>
      </c>
      <c r="L44" s="159" t="str">
        <f>IF(NOMENCLATURE_GEN!R44="","",NOMENCLATURE_GEN!R44)</f>
        <v>Tete</v>
      </c>
      <c r="M44" s="164" t="str">
        <f>IF(NOMENCLATURE_GEN!L44="","",NOMENCLATURE_GEN!L44)</f>
        <v>NON</v>
      </c>
      <c r="N44" s="160"/>
      <c r="O44" s="14"/>
      <c r="P44" s="14"/>
      <c r="Q44" s="14"/>
      <c r="R44" s="14"/>
      <c r="S44" s="16"/>
      <c r="T44" s="16"/>
      <c r="U44" s="17"/>
      <c r="V44" s="7"/>
    </row>
    <row r="45" spans="2:22" s="3" customFormat="1" ht="39.950000000000003" hidden="1" customHeight="1">
      <c r="B45" s="129" t="str">
        <f>IF(NOMENCLATURE_GEN!B45="","",NOMENCLATURE_GEN!B45)</f>
        <v/>
      </c>
      <c r="C45" s="243" t="str">
        <f>IF(NOMENCLATURE_GEN!C45="","",NOMENCLATURE_GEN!C45)</f>
        <v/>
      </c>
      <c r="D45" s="4">
        <f>IF(NOMENCLATURE_GEN!D45="","",NOMENCLATURE_GEN!D45)</f>
        <v>133</v>
      </c>
      <c r="E45" s="4" t="str">
        <f ca="1">IF(NOMENCLATURE_GEN!E45="","",NOMENCLATURE_GEN!E45)</f>
        <v>A</v>
      </c>
      <c r="F45" s="4" t="str">
        <f>IF(NOMENCLATURE_GEN!F45="","",NOMENCLATURE_GEN!F45)</f>
        <v>PMP</v>
      </c>
      <c r="G45" s="310" t="str">
        <f>IF(NOMENCLATURE_GEN!G45="","",NOMENCLATURE_GEN!G45)</f>
        <v>Poulie magnétique</v>
      </c>
      <c r="H45" s="4">
        <f>IF(NOMENCLATURE_GEN!H45="","",NOMENCLATURE_GEN!H45)</f>
        <v>1200</v>
      </c>
      <c r="I45" s="4" t="str">
        <f>IF(NOMENCLATURE_GEN!I45="","",NOMENCLATURE_GEN!I45)</f>
        <v/>
      </c>
      <c r="J45" s="130" t="str">
        <f>IF(NOMENCLATURE_GEN!J45="","",NOMENCLATURE_GEN!J45)</f>
        <v/>
      </c>
      <c r="K45" s="158" t="str">
        <f>IF(Motorisation!L45="","",Motorisation!L45)</f>
        <v>K57</v>
      </c>
      <c r="L45" s="159" t="str">
        <f>IF(NOMENCLATURE_GEN!R45="","",NOMENCLATURE_GEN!R45)</f>
        <v>-</v>
      </c>
      <c r="M45" s="164" t="str">
        <f>IF(NOMENCLATURE_GEN!L45="","",NOMENCLATURE_GEN!L45)</f>
        <v>NON</v>
      </c>
      <c r="N45" s="161"/>
      <c r="O45" s="14"/>
      <c r="P45" s="14"/>
      <c r="Q45" s="14"/>
      <c r="R45" s="14"/>
      <c r="S45" s="16"/>
      <c r="T45" s="16"/>
      <c r="U45" s="17"/>
      <c r="V45" s="7"/>
    </row>
    <row r="46" spans="2:22" s="3" customFormat="1" ht="39.950000000000003" hidden="1" customHeight="1">
      <c r="B46" s="129" t="str">
        <f>IF(NOMENCLATURE_GEN!B46="","",NOMENCLATURE_GEN!B46)</f>
        <v/>
      </c>
      <c r="C46" s="243" t="str">
        <f>IF(NOMENCLATURE_GEN!C46="","",NOMENCLATURE_GEN!C46)</f>
        <v/>
      </c>
      <c r="D46" s="4">
        <f>IF(NOMENCLATURE_GEN!D46="","",NOMENCLATURE_GEN!D46)</f>
        <v>134</v>
      </c>
      <c r="E46" s="4" t="str">
        <f ca="1">IF(NOMENCLATURE_GEN!E46="","",NOMENCLATURE_GEN!E46)</f>
        <v>A</v>
      </c>
      <c r="F46" s="4" t="str">
        <f>IF(NOMENCLATURE_GEN!F46="","",NOMENCLATURE_GEN!F46)</f>
        <v>SNF</v>
      </c>
      <c r="G46" s="310" t="str">
        <f>IF(NOMENCLATURE_GEN!G46="","",NOMENCLATURE_GEN!G46)</f>
        <v>Séparateur de non ferreux type SMAR - ROUE POLAIRE</v>
      </c>
      <c r="H46" s="4">
        <f>IF(NOMENCLATURE_GEN!H46="","",NOMENCLATURE_GEN!H46)</f>
        <v>1200</v>
      </c>
      <c r="I46" s="4">
        <f>IF(NOMENCLATURE_GEN!I46="","",NOMENCLATURE_GEN!I46)</f>
        <v>2500</v>
      </c>
      <c r="J46" s="130" t="str">
        <f>IF(NOMENCLATURE_GEN!J46="","",NOMENCLATURE_GEN!J46)</f>
        <v/>
      </c>
      <c r="K46" s="158" t="str">
        <f>IF(Motorisation!L46="","",Motorisation!L46)</f>
        <v>K57</v>
      </c>
      <c r="L46" s="159" t="str">
        <f>IF(NOMENCLATURE_GEN!R46="","",NOMENCLATURE_GEN!R46)</f>
        <v>Tete</v>
      </c>
      <c r="M46" s="164" t="str">
        <f>IF(NOMENCLATURE_GEN!L46="","",NOMENCLATURE_GEN!L46)</f>
        <v>NON</v>
      </c>
      <c r="N46" s="161"/>
      <c r="O46" s="14"/>
      <c r="P46" s="14"/>
      <c r="Q46" s="14"/>
      <c r="R46" s="14"/>
      <c r="S46" s="16"/>
      <c r="T46" s="16"/>
      <c r="U46" s="17"/>
      <c r="V46" s="7"/>
    </row>
    <row r="47" spans="2:22" s="3" customFormat="1" ht="39.950000000000003" hidden="1" customHeight="1">
      <c r="B47" s="129" t="str">
        <f>IF(NOMENCLATURE_GEN!B47="","",NOMENCLATURE_GEN!B47)</f>
        <v/>
      </c>
      <c r="C47" s="243" t="str">
        <f>IF(NOMENCLATURE_GEN!C47="","",NOMENCLATURE_GEN!C47)</f>
        <v/>
      </c>
      <c r="D47" s="4">
        <f>IF(NOMENCLATURE_GEN!D47="","",NOMENCLATURE_GEN!D47)</f>
        <v>134</v>
      </c>
      <c r="E47" s="4" t="str">
        <f ca="1">IF(NOMENCLATURE_GEN!E47="","",NOMENCLATURE_GEN!E47)</f>
        <v>B</v>
      </c>
      <c r="F47" s="4" t="str">
        <f>IF(NOMENCLATURE_GEN!F47="","",NOMENCLATURE_GEN!F47)</f>
        <v>SNF</v>
      </c>
      <c r="G47" s="310" t="str">
        <f>IF(NOMENCLATURE_GEN!G47="","",NOMENCLATURE_GEN!G47)</f>
        <v>Séparateur de non ferreux type SMAR - CONVOYEUR</v>
      </c>
      <c r="H47" s="4" t="str">
        <f>IF(NOMENCLATURE_GEN!H47="","",NOMENCLATURE_GEN!H47)</f>
        <v/>
      </c>
      <c r="I47" s="4" t="str">
        <f>IF(NOMENCLATURE_GEN!I47="","",NOMENCLATURE_GEN!I47)</f>
        <v/>
      </c>
      <c r="J47" s="130" t="str">
        <f>IF(NOMENCLATURE_GEN!J47="","",NOMENCLATURE_GEN!J47)</f>
        <v/>
      </c>
      <c r="K47" s="158" t="str">
        <f>IF(Motorisation!L47="","",Motorisation!L47)</f>
        <v/>
      </c>
      <c r="L47" s="159" t="str">
        <f>IF(NOMENCLATURE_GEN!R47="","",NOMENCLATURE_GEN!R47)</f>
        <v>Pied</v>
      </c>
      <c r="M47" s="164" t="str">
        <f>IF(NOMENCLATURE_GEN!L47="","",NOMENCLATURE_GEN!L47)</f>
        <v>NON</v>
      </c>
      <c r="N47" s="161"/>
      <c r="O47" s="14"/>
      <c r="P47" s="14"/>
      <c r="Q47" s="14"/>
      <c r="R47" s="14"/>
      <c r="S47" s="16"/>
      <c r="T47" s="16"/>
      <c r="U47" s="17"/>
      <c r="V47" s="7"/>
    </row>
    <row r="48" spans="2:22" s="3" customFormat="1" ht="39.950000000000003" customHeight="1">
      <c r="B48" s="129" t="str">
        <f>IF(NOMENCLATURE_GEN!B48="","",NOMENCLATURE_GEN!B48)</f>
        <v/>
      </c>
      <c r="C48" s="243" t="str">
        <f>IF(NOMENCLATURE_GEN!C48="","",NOMENCLATURE_GEN!C48)</f>
        <v/>
      </c>
      <c r="D48" s="4">
        <f>IF(NOMENCLATURE_GEN!D48="","",NOMENCLATURE_GEN!D48)</f>
        <v>135</v>
      </c>
      <c r="E48" s="4" t="str">
        <f ca="1">IF(NOMENCLATURE_GEN!E48="","",NOMENCLATURE_GEN!E48)</f>
        <v>A</v>
      </c>
      <c r="F48" s="4" t="str">
        <f>IF(NOMENCLATURE_GEN!F48="","",NOMENCLATURE_GEN!F48)</f>
        <v>TBE</v>
      </c>
      <c r="G48" s="310" t="str">
        <f>IF(NOMENCLATURE_GEN!G48="","",NOMENCLATURE_GEN!G48)</f>
        <v>Convoyeur de reprise des non ferreux</v>
      </c>
      <c r="H48" s="4">
        <f>IF(NOMENCLATURE_GEN!H48="","",NOMENCLATURE_GEN!H48)</f>
        <v>600</v>
      </c>
      <c r="I48" s="4">
        <f>IF(NOMENCLATURE_GEN!I48="","",NOMENCLATURE_GEN!I48)</f>
        <v>3750</v>
      </c>
      <c r="J48" s="130">
        <f>IF(NOMENCLATURE_GEN!J48="","",NOMENCLATURE_GEN!J48)</f>
        <v>0</v>
      </c>
      <c r="K48" s="158" t="str">
        <f>IF(Motorisation!L48="","",Motorisation!L48)</f>
        <v>MGFAT4</v>
      </c>
      <c r="L48" s="159" t="str">
        <f>IF(NOMENCLATURE_GEN!R48="","",NOMENCLATURE_GEN!R48)</f>
        <v>Tete</v>
      </c>
      <c r="M48" s="164" t="str">
        <f>IF(NOMENCLATURE_GEN!L48="","",NOMENCLATURE_GEN!L48)</f>
        <v>NON</v>
      </c>
      <c r="N48" s="160" t="s">
        <v>718</v>
      </c>
      <c r="O48" s="13" t="s">
        <v>719</v>
      </c>
      <c r="P48" s="14"/>
      <c r="Q48" s="14"/>
      <c r="R48" s="14"/>
      <c r="S48" s="16"/>
      <c r="T48" s="16"/>
      <c r="U48" s="17"/>
      <c r="V48" s="7"/>
    </row>
    <row r="49" spans="2:22" s="3" customFormat="1" ht="39.950000000000003" hidden="1" customHeight="1">
      <c r="B49" s="129" t="str">
        <f>IF(NOMENCLATURE_GEN!B49="","",NOMENCLATURE_GEN!B49)</f>
        <v>SUP</v>
      </c>
      <c r="C49" s="243" t="str">
        <f>IF(NOMENCLATURE_GEN!C49="","",NOMENCLATURE_GEN!C49)</f>
        <v/>
      </c>
      <c r="D49" s="4">
        <f>IF(NOMENCLATURE_GEN!D49="","",NOMENCLATURE_GEN!D49)</f>
        <v>136</v>
      </c>
      <c r="E49" s="4" t="str">
        <f ca="1">IF(NOMENCLATURE_GEN!E49="","",NOMENCLATURE_GEN!E49)</f>
        <v>A</v>
      </c>
      <c r="F49" s="4" t="str">
        <f>IF(NOMENCLATURE_GEN!F49="","",NOMENCLATURE_GEN!F49)</f>
        <v>CON</v>
      </c>
      <c r="G49" s="310" t="str">
        <f>IF(NOMENCLATURE_GEN!G49="","",NOMENCLATURE_GEN!G49)</f>
        <v>Cone de répartition du flux 0-30mm sous SNF</v>
      </c>
      <c r="H49" s="4" t="str">
        <f>IF(NOMENCLATURE_GEN!H49="","",NOMENCLATURE_GEN!H49)</f>
        <v/>
      </c>
      <c r="I49" s="4" t="str">
        <f>IF(NOMENCLATURE_GEN!I49="","",NOMENCLATURE_GEN!I49)</f>
        <v/>
      </c>
      <c r="J49" s="130" t="str">
        <f>IF(NOMENCLATURE_GEN!J49="","",NOMENCLATURE_GEN!J49)</f>
        <v/>
      </c>
      <c r="K49" s="158" t="str">
        <f>IF(Motorisation!L49="","",Motorisation!L49)</f>
        <v>K57</v>
      </c>
      <c r="L49" s="159" t="str">
        <f>IF(NOMENCLATURE_GEN!R49="","",NOMENCLATURE_GEN!R49)</f>
        <v>-</v>
      </c>
      <c r="M49" s="164" t="str">
        <f>IF(NOMENCLATURE_GEN!L49="","",NOMENCLATURE_GEN!L49)</f>
        <v>NON</v>
      </c>
      <c r="N49" s="160"/>
      <c r="O49" s="14"/>
      <c r="P49" s="14"/>
      <c r="Q49" s="14"/>
      <c r="R49" s="14"/>
      <c r="S49" s="16"/>
      <c r="T49" s="16"/>
      <c r="U49" s="17"/>
      <c r="V49" s="7"/>
    </row>
    <row r="50" spans="2:22" s="3" customFormat="1" ht="39.950000000000003" customHeight="1">
      <c r="B50" s="129" t="str">
        <f>IF(NOMENCLATURE_GEN!B50="","",NOMENCLATURE_GEN!B50)</f>
        <v/>
      </c>
      <c r="C50" s="243" t="str">
        <f>IF(NOMENCLATURE_GEN!C50="","",NOMENCLATURE_GEN!C50)</f>
        <v/>
      </c>
      <c r="D50" s="4">
        <f>IF(NOMENCLATURE_GEN!D50="","",NOMENCLATURE_GEN!D50)</f>
        <v>137</v>
      </c>
      <c r="E50" s="4" t="str">
        <f ca="1">IF(NOMENCLATURE_GEN!E50="","",NOMENCLATURE_GEN!E50)</f>
        <v>A</v>
      </c>
      <c r="F50" s="4" t="str">
        <f>IF(NOMENCLATURE_GEN!F50="","",NOMENCLATURE_GEN!F50)</f>
        <v>CBA</v>
      </c>
      <c r="G50" s="310" t="str">
        <f>IF(NOMENCLATURE_GEN!G50="","",NOMENCLATURE_GEN!G50)</f>
        <v>Convoyeur de transfert de la fraction 0-30mm vers tapis balistique 1</v>
      </c>
      <c r="H50" s="4">
        <f>IF(NOMENCLATURE_GEN!H50="","",NOMENCLATURE_GEN!H50)</f>
        <v>1600</v>
      </c>
      <c r="I50" s="4">
        <f>IF(NOMENCLATURE_GEN!I50="","",NOMENCLATURE_GEN!I50)</f>
        <v>21250</v>
      </c>
      <c r="J50" s="130">
        <f>IF(NOMENCLATURE_GEN!J50="","",NOMENCLATURE_GEN!J50)</f>
        <v>20</v>
      </c>
      <c r="K50" s="158" t="str">
        <f>IF(Motorisation!L50="","",Motorisation!L50)</f>
        <v>KA 77</v>
      </c>
      <c r="L50" s="159" t="str">
        <f>IF(NOMENCLATURE_GEN!R50="","",NOMENCLATURE_GEN!R50)</f>
        <v>Tete</v>
      </c>
      <c r="M50" s="164" t="str">
        <f>IF(NOMENCLATURE_GEN!L50="","",NOMENCLATURE_GEN!L50)</f>
        <v>NON</v>
      </c>
      <c r="N50" s="160" t="s">
        <v>763</v>
      </c>
      <c r="O50" s="13" t="s">
        <v>762</v>
      </c>
      <c r="P50" s="14"/>
      <c r="Q50" s="14"/>
      <c r="R50" s="14"/>
      <c r="S50" s="16"/>
      <c r="T50" s="16"/>
      <c r="U50" s="17"/>
      <c r="V50" s="7"/>
    </row>
    <row r="51" spans="2:22" s="3" customFormat="1" ht="39.75" hidden="1" customHeight="1">
      <c r="B51" s="129" t="str">
        <f>IF(NOMENCLATURE_GEN!B51="","",NOMENCLATURE_GEN!B51)</f>
        <v/>
      </c>
      <c r="C51" s="243" t="str">
        <f>IF(NOMENCLATURE_GEN!C51="","",NOMENCLATURE_GEN!C51)</f>
        <v/>
      </c>
      <c r="D51" s="4">
        <f>IF(NOMENCLATURE_GEN!D51="","",NOMENCLATURE_GEN!D51)</f>
        <v>138</v>
      </c>
      <c r="E51" s="4" t="str">
        <f ca="1">IF(NOMENCLATURE_GEN!E51="","",NOMENCLATURE_GEN!E51)</f>
        <v>A</v>
      </c>
      <c r="F51" s="4" t="str">
        <f>IF(NOMENCLATURE_GEN!F51="","",NOMENCLATURE_GEN!F51)</f>
        <v>BAL</v>
      </c>
      <c r="G51" s="310" t="str">
        <f>IF(NOMENCLATURE_GEN!G51="","",NOMENCLATURE_GEN!G51)</f>
        <v>Tapis balistique simple</v>
      </c>
      <c r="H51" s="4">
        <f>IF(NOMENCLATURE_GEN!H51="","",NOMENCLATURE_GEN!H51)</f>
        <v>1800</v>
      </c>
      <c r="I51" s="4">
        <f>IF(NOMENCLATURE_GEN!I51="","",NOMENCLATURE_GEN!I51)</f>
        <v>2500</v>
      </c>
      <c r="J51" s="130">
        <f>IF(NOMENCLATURE_GEN!J51="","",NOMENCLATURE_GEN!J51)</f>
        <v>0</v>
      </c>
      <c r="K51" s="158" t="str">
        <f>IF(Motorisation!L51="","",Motorisation!L51)</f>
        <v>KA 77</v>
      </c>
      <c r="L51" s="159" t="str">
        <f>IF(NOMENCLATURE_GEN!R51="","",NOMENCLATURE_GEN!R51)</f>
        <v>Tete</v>
      </c>
      <c r="M51" s="164" t="str">
        <f>IF(NOMENCLATURE_GEN!L51="","",NOMENCLATURE_GEN!L51)</f>
        <v>OUI</v>
      </c>
      <c r="N51" s="160"/>
      <c r="O51" s="14"/>
      <c r="P51" s="14"/>
      <c r="Q51" s="14"/>
      <c r="R51" s="14"/>
      <c r="S51" s="16"/>
      <c r="T51" s="16"/>
      <c r="U51" s="17"/>
      <c r="V51" s="7"/>
    </row>
    <row r="52" spans="2:22" s="3" customFormat="1" ht="39.950000000000003" customHeight="1">
      <c r="B52" s="129" t="str">
        <f>IF(NOMENCLATURE_GEN!B52="","",NOMENCLATURE_GEN!B52)</f>
        <v/>
      </c>
      <c r="C52" s="243" t="str">
        <f>IF(NOMENCLATURE_GEN!C52="","",NOMENCLATURE_GEN!C52)</f>
        <v/>
      </c>
      <c r="D52" s="4">
        <f>IF(NOMENCLATURE_GEN!D52="","",NOMENCLATURE_GEN!D52)</f>
        <v>139</v>
      </c>
      <c r="E52" s="4" t="str">
        <f ca="1">IF(NOMENCLATURE_GEN!E52="","",NOMENCLATURE_GEN!E52)</f>
        <v>A</v>
      </c>
      <c r="F52" s="4" t="str">
        <f>IF(NOMENCLATURE_GEN!F52="","",NOMENCLATURE_GEN!F52)</f>
        <v>CBA</v>
      </c>
      <c r="G52" s="310" t="str">
        <f>IF(NOMENCLATURE_GEN!G52="","",NOMENCLATURE_GEN!G52)</f>
        <v>Convoyeur de reprise des légers et transfert vers crible trampoline</v>
      </c>
      <c r="H52" s="4">
        <f>IF(NOMENCLATURE_GEN!H52="","",NOMENCLATURE_GEN!H52)</f>
        <v>1600</v>
      </c>
      <c r="I52" s="4">
        <f>IF(NOMENCLATURE_GEN!I52="","",NOMENCLATURE_GEN!I52)</f>
        <v>11500</v>
      </c>
      <c r="J52" s="130">
        <f>IF(NOMENCLATURE_GEN!J52="","",NOMENCLATURE_GEN!J52)</f>
        <v>23</v>
      </c>
      <c r="K52" s="158" t="str">
        <f>IF(Motorisation!L52="","",Motorisation!L52)</f>
        <v>KA 77</v>
      </c>
      <c r="L52" s="159" t="str">
        <f>IF(NOMENCLATURE_GEN!R52="","",NOMENCLATURE_GEN!R52)</f>
        <v>Tete</v>
      </c>
      <c r="M52" s="164" t="str">
        <f>IF(NOMENCLATURE_GEN!L52="","",NOMENCLATURE_GEN!L52)</f>
        <v>NON</v>
      </c>
      <c r="N52" s="160" t="s">
        <v>763</v>
      </c>
      <c r="O52" s="13" t="s">
        <v>762</v>
      </c>
      <c r="P52" s="14"/>
      <c r="Q52" s="14"/>
      <c r="R52" s="14"/>
      <c r="S52" s="16"/>
      <c r="T52" s="16"/>
      <c r="U52" s="17"/>
      <c r="V52" s="7"/>
    </row>
    <row r="53" spans="2:22" s="3" customFormat="1" ht="39.950000000000003" hidden="1" customHeight="1">
      <c r="B53" s="129" t="str">
        <f>IF(NOMENCLATURE_GEN!B53="","",NOMENCLATURE_GEN!B53)</f>
        <v>SUP</v>
      </c>
      <c r="C53" s="243" t="str">
        <f>IF(NOMENCLATURE_GEN!C53="","",NOMENCLATURE_GEN!C53)</f>
        <v/>
      </c>
      <c r="D53" s="4">
        <f>IF(NOMENCLATURE_GEN!D53="","",NOMENCLATURE_GEN!D53)</f>
        <v>140</v>
      </c>
      <c r="E53" s="4" t="str">
        <f ca="1">IF(NOMENCLATURE_GEN!E53="","",NOMENCLATURE_GEN!E53)</f>
        <v>A</v>
      </c>
      <c r="F53" s="4" t="str">
        <f>IF(NOMENCLATURE_GEN!F53="","",NOMENCLATURE_GEN!F53)</f>
        <v>CON</v>
      </c>
      <c r="G53" s="310" t="str">
        <f>IF(NOMENCLATURE_GEN!G53="","",NOMENCLATURE_GEN!G53)</f>
        <v>Cone de répartition du flux 0-30mm en entrée du liwell</v>
      </c>
      <c r="H53" s="4" t="str">
        <f>IF(NOMENCLATURE_GEN!H53="","",NOMENCLATURE_GEN!H53)</f>
        <v/>
      </c>
      <c r="I53" s="4" t="str">
        <f>IF(NOMENCLATURE_GEN!I53="","",NOMENCLATURE_GEN!I53)</f>
        <v/>
      </c>
      <c r="J53" s="130" t="str">
        <f>IF(NOMENCLATURE_GEN!J53="","",NOMENCLATURE_GEN!J53)</f>
        <v/>
      </c>
      <c r="K53" s="158" t="str">
        <f>IF(Motorisation!L53="","",Motorisation!L53)</f>
        <v>K57</v>
      </c>
      <c r="L53" s="159" t="str">
        <f>IF(NOMENCLATURE_GEN!R53="","",NOMENCLATURE_GEN!R53)</f>
        <v>-</v>
      </c>
      <c r="M53" s="164" t="str">
        <f>IF(NOMENCLATURE_GEN!L53="","",NOMENCLATURE_GEN!L53)</f>
        <v>NON</v>
      </c>
      <c r="N53" s="160"/>
      <c r="O53" s="14"/>
      <c r="P53" s="14"/>
      <c r="Q53" s="14"/>
      <c r="R53" s="14"/>
      <c r="S53" s="16"/>
      <c r="T53" s="16"/>
      <c r="U53" s="17"/>
      <c r="V53" s="7"/>
    </row>
    <row r="54" spans="2:22" s="3" customFormat="1" ht="39.950000000000003" hidden="1" customHeight="1">
      <c r="B54" s="129" t="str">
        <f>IF(NOMENCLATURE_GEN!B54="","",NOMENCLATURE_GEN!B54)</f>
        <v/>
      </c>
      <c r="C54" s="243" t="str">
        <f>IF(NOMENCLATURE_GEN!C54="","",NOMENCLATURE_GEN!C54)</f>
        <v/>
      </c>
      <c r="D54" s="4">
        <f>IF(NOMENCLATURE_GEN!D54="","",NOMENCLATURE_GEN!D54)</f>
        <v>141</v>
      </c>
      <c r="E54" s="4" t="str">
        <f ca="1">IF(NOMENCLATURE_GEN!E54="","",NOMENCLATURE_GEN!E54)</f>
        <v>A</v>
      </c>
      <c r="F54" s="4" t="str">
        <f>IF(NOMENCLATURE_GEN!F54="","",NOMENCLATURE_GEN!F54)</f>
        <v>CRI</v>
      </c>
      <c r="G54" s="310" t="str">
        <f>IF(NOMENCLATURE_GEN!G54="","",NOMENCLATURE_GEN!G54)</f>
        <v>Crible trampoline maille 10mm</v>
      </c>
      <c r="H54" s="4">
        <f>IF(NOMENCLATURE_GEN!H54="","",NOMENCLATURE_GEN!H54)</f>
        <v>2000</v>
      </c>
      <c r="I54" s="4">
        <f>IF(NOMENCLATURE_GEN!I54="","",NOMENCLATURE_GEN!I54)</f>
        <v>8850</v>
      </c>
      <c r="J54" s="130" t="str">
        <f>IF(NOMENCLATURE_GEN!J54="","",NOMENCLATURE_GEN!J54)</f>
        <v/>
      </c>
      <c r="K54" s="158" t="str">
        <f>IF(Motorisation!L54="","",Motorisation!L54)</f>
        <v>K57</v>
      </c>
      <c r="L54" s="159" t="str">
        <f>IF(NOMENCLATURE_GEN!R54="","",NOMENCLATURE_GEN!R54)</f>
        <v>Tete</v>
      </c>
      <c r="M54" s="164" t="str">
        <f>IF(NOMENCLATURE_GEN!L54="","",NOMENCLATURE_GEN!L54)</f>
        <v>NON</v>
      </c>
      <c r="N54" s="160"/>
      <c r="O54" s="14"/>
      <c r="P54" s="14"/>
      <c r="Q54" s="14"/>
      <c r="R54" s="14"/>
      <c r="S54" s="16"/>
      <c r="T54" s="16"/>
      <c r="U54" s="17"/>
      <c r="V54" s="7"/>
    </row>
    <row r="55" spans="2:22" s="3" customFormat="1" ht="39.950000000000003" hidden="1" customHeight="1">
      <c r="B55" s="129" t="str">
        <f>IF(NOMENCLATURE_GEN!B55="","",NOMENCLATURE_GEN!B55)</f>
        <v>SUP</v>
      </c>
      <c r="C55" s="243" t="str">
        <f>IF(NOMENCLATURE_GEN!C55="","",NOMENCLATURE_GEN!C55)</f>
        <v/>
      </c>
      <c r="D55" s="4">
        <f>IF(NOMENCLATURE_GEN!D55="","",NOMENCLATURE_GEN!D55)</f>
        <v>142</v>
      </c>
      <c r="E55" s="4" t="str">
        <f ca="1">IF(NOMENCLATURE_GEN!E55="","",NOMENCLATURE_GEN!E55)</f>
        <v>A</v>
      </c>
      <c r="F55" s="4" t="str">
        <f>IF(NOMENCLATURE_GEN!F55="","",NOMENCLATURE_GEN!F55)</f>
        <v>TRE</v>
      </c>
      <c r="G55" s="310" t="str">
        <f>IF(NOMENCLATURE_GEN!G55="","",NOMENCLATURE_GEN!G55)</f>
        <v>Trémie des passants sous crible trampoline</v>
      </c>
      <c r="H55" s="4">
        <f>IF(NOMENCLATURE_GEN!H55="","",NOMENCLATURE_GEN!H55)</f>
        <v>2000</v>
      </c>
      <c r="I55" s="4">
        <f>IF(NOMENCLATURE_GEN!I55="","",NOMENCLATURE_GEN!I55)</f>
        <v>8850</v>
      </c>
      <c r="J55" s="130" t="str">
        <f>IF(NOMENCLATURE_GEN!J55="","",NOMENCLATURE_GEN!J55)</f>
        <v/>
      </c>
      <c r="K55" s="158" t="str">
        <f>IF(Motorisation!L55="","",Motorisation!L55)</f>
        <v>K57</v>
      </c>
      <c r="L55" s="159" t="str">
        <f>IF(NOMENCLATURE_GEN!R55="","",NOMENCLATURE_GEN!R55)</f>
        <v>-</v>
      </c>
      <c r="M55" s="164" t="str">
        <f>IF(NOMENCLATURE_GEN!L55="","",NOMENCLATURE_GEN!L55)</f>
        <v>NON</v>
      </c>
      <c r="N55" s="160"/>
      <c r="O55" s="14"/>
      <c r="P55" s="14"/>
      <c r="Q55" s="14"/>
      <c r="R55" s="14"/>
      <c r="S55" s="16"/>
      <c r="T55" s="16"/>
      <c r="U55" s="17"/>
      <c r="V55" s="7"/>
    </row>
    <row r="56" spans="2:22" s="3" customFormat="1" ht="39.950000000000003" customHeight="1">
      <c r="B56" s="129" t="str">
        <f>IF(NOMENCLATURE_GEN!B56="","",NOMENCLATURE_GEN!B56)</f>
        <v/>
      </c>
      <c r="C56" s="243" t="str">
        <f>IF(NOMENCLATURE_GEN!C56="","",NOMENCLATURE_GEN!C56)</f>
        <v/>
      </c>
      <c r="D56" s="4">
        <f>IF(NOMENCLATURE_GEN!D56="","",NOMENCLATURE_GEN!D56)</f>
        <v>143</v>
      </c>
      <c r="E56" s="4" t="str">
        <f ca="1">IF(NOMENCLATURE_GEN!E56="","",NOMENCLATURE_GEN!E56)</f>
        <v>A</v>
      </c>
      <c r="F56" s="4" t="str">
        <f>IF(NOMENCLATURE_GEN!F56="","",NOMENCLATURE_GEN!F56)</f>
        <v>CBA</v>
      </c>
      <c r="G56" s="310" t="str">
        <f>IF(NOMENCLATURE_GEN!G56="","",NOMENCLATURE_GEN!G56)</f>
        <v>Convoyeur de reprise du 0-8mm et alimentation du tapis balistique double</v>
      </c>
      <c r="H56" s="4">
        <f>IF(NOMENCLATURE_GEN!H56="","",NOMENCLATURE_GEN!H56)</f>
        <v>1800</v>
      </c>
      <c r="I56" s="4">
        <f>IF(NOMENCLATURE_GEN!I56="","",NOMENCLATURE_GEN!I56)</f>
        <v>11500</v>
      </c>
      <c r="J56" s="130">
        <f>IF(NOMENCLATURE_GEN!J56="","",NOMENCLATURE_GEN!J56)</f>
        <v>23</v>
      </c>
      <c r="K56" s="158" t="str">
        <f>IF(Motorisation!L56="","",Motorisation!L56)</f>
        <v>KA 77</v>
      </c>
      <c r="L56" s="159" t="str">
        <f>IF(NOMENCLATURE_GEN!R56="","",NOMENCLATURE_GEN!R56)</f>
        <v>Tete</v>
      </c>
      <c r="M56" s="164" t="str">
        <f>IF(NOMENCLATURE_GEN!L56="","",NOMENCLATURE_GEN!L56)</f>
        <v>NON</v>
      </c>
      <c r="N56" s="160" t="s">
        <v>765</v>
      </c>
      <c r="O56" s="13" t="s">
        <v>764</v>
      </c>
      <c r="P56" s="14"/>
      <c r="Q56" s="14"/>
      <c r="R56" s="14"/>
      <c r="S56" s="16"/>
      <c r="T56" s="16"/>
      <c r="U56" s="17"/>
      <c r="V56" s="7"/>
    </row>
    <row r="57" spans="2:22" s="3" customFormat="1" ht="39.950000000000003" hidden="1" customHeight="1">
      <c r="B57" s="129" t="str">
        <f>IF(NOMENCLATURE_GEN!B57="","",NOMENCLATURE_GEN!B57)</f>
        <v/>
      </c>
      <c r="C57" s="243" t="str">
        <f>IF(NOMENCLATURE_GEN!C57="","",NOMENCLATURE_GEN!C57)</f>
        <v/>
      </c>
      <c r="D57" s="4">
        <f>IF(NOMENCLATURE_GEN!D57="","",NOMENCLATURE_GEN!D57)</f>
        <v>144</v>
      </c>
      <c r="E57" s="4" t="str">
        <f ca="1">IF(NOMENCLATURE_GEN!E57="","",NOMENCLATURE_GEN!E57)</f>
        <v>A</v>
      </c>
      <c r="F57" s="4" t="str">
        <f>IF(NOMENCLATURE_GEN!F57="","",NOMENCLATURE_GEN!F57)</f>
        <v>BAL</v>
      </c>
      <c r="G57" s="310" t="str">
        <f>IF(NOMENCLATURE_GEN!G57="","",NOMENCLATURE_GEN!G57)</f>
        <v>Tapis balistique double MOTEUR N°1</v>
      </c>
      <c r="H57" s="4">
        <f>IF(NOMENCLATURE_GEN!H57="","",NOMENCLATURE_GEN!H57)</f>
        <v>1800</v>
      </c>
      <c r="I57" s="4">
        <f>IF(NOMENCLATURE_GEN!I57="","",NOMENCLATURE_GEN!I57)</f>
        <v>2500</v>
      </c>
      <c r="J57" s="130">
        <f>IF(NOMENCLATURE_GEN!J57="","",NOMENCLATURE_GEN!J57)</f>
        <v>0</v>
      </c>
      <c r="K57" s="158" t="str">
        <f>IF(Motorisation!L57="","",Motorisation!L57)</f>
        <v>KA 77</v>
      </c>
      <c r="L57" s="159" t="str">
        <f>IF(NOMENCLATURE_GEN!R57="","",NOMENCLATURE_GEN!R57)</f>
        <v>Tete</v>
      </c>
      <c r="M57" s="164" t="str">
        <f>IF(NOMENCLATURE_GEN!L57="","",NOMENCLATURE_GEN!L57)</f>
        <v>OUI</v>
      </c>
      <c r="N57" s="161"/>
      <c r="O57" s="14"/>
      <c r="P57" s="14"/>
      <c r="Q57" s="14"/>
      <c r="R57" s="14"/>
      <c r="S57" s="16"/>
      <c r="T57" s="16"/>
      <c r="U57" s="17"/>
      <c r="V57" s="7"/>
    </row>
    <row r="58" spans="2:22" s="3" customFormat="1" ht="39.950000000000003" hidden="1" customHeight="1">
      <c r="B58" s="129" t="str">
        <f>IF(NOMENCLATURE_GEN!B58="","",NOMENCLATURE_GEN!B58)</f>
        <v/>
      </c>
      <c r="C58" s="243" t="str">
        <f>IF(NOMENCLATURE_GEN!C58="","",NOMENCLATURE_GEN!C58)</f>
        <v/>
      </c>
      <c r="D58" s="4">
        <f>IF(NOMENCLATURE_GEN!D58="","",NOMENCLATURE_GEN!D58)</f>
        <v>144</v>
      </c>
      <c r="E58" s="4" t="str">
        <f ca="1">IF(NOMENCLATURE_GEN!E58="","",NOMENCLATURE_GEN!E58)</f>
        <v>B</v>
      </c>
      <c r="F58" s="4" t="str">
        <f>IF(NOMENCLATURE_GEN!F58="","",NOMENCLATURE_GEN!F58)</f>
        <v>BAL</v>
      </c>
      <c r="G58" s="310" t="str">
        <f>IF(NOMENCLATURE_GEN!G58="","",NOMENCLATURE_GEN!G58)</f>
        <v>Tapis balistique double MOTEUR N°2</v>
      </c>
      <c r="H58" s="4">
        <f>IF(NOMENCLATURE_GEN!H58="","",NOMENCLATURE_GEN!H58)</f>
        <v>1800</v>
      </c>
      <c r="I58" s="4">
        <f>IF(NOMENCLATURE_GEN!I58="","",NOMENCLATURE_GEN!I58)</f>
        <v>2500</v>
      </c>
      <c r="J58" s="130">
        <f>IF(NOMENCLATURE_GEN!J58="","",NOMENCLATURE_GEN!J58)</f>
        <v>0</v>
      </c>
      <c r="K58" s="158" t="str">
        <f>IF(Motorisation!L58="","",Motorisation!L58)</f>
        <v>KA 77</v>
      </c>
      <c r="L58" s="159" t="str">
        <f>IF(NOMENCLATURE_GEN!R58="","",NOMENCLATURE_GEN!R58)</f>
        <v>Tete</v>
      </c>
      <c r="M58" s="164" t="str">
        <f>IF(NOMENCLATURE_GEN!L58="","",NOMENCLATURE_GEN!L58)</f>
        <v>NON</v>
      </c>
      <c r="N58" s="161"/>
      <c r="O58" s="14"/>
      <c r="P58" s="14"/>
      <c r="Q58" s="14"/>
      <c r="R58" s="14"/>
      <c r="S58" s="16"/>
      <c r="T58" s="16"/>
      <c r="U58" s="17"/>
      <c r="V58" s="7"/>
    </row>
    <row r="59" spans="2:22" s="3" customFormat="1" ht="39.950000000000003" customHeight="1">
      <c r="B59" s="129" t="str">
        <f>IF(NOMENCLATURE_GEN!B59="","",NOMENCLATURE_GEN!B59)</f>
        <v/>
      </c>
      <c r="C59" s="243" t="str">
        <f>IF(NOMENCLATURE_GEN!C59="","",NOMENCLATURE_GEN!C59)</f>
        <v/>
      </c>
      <c r="D59" s="4">
        <f>IF(NOMENCLATURE_GEN!D59="","",NOMENCLATURE_GEN!D59)</f>
        <v>145</v>
      </c>
      <c r="E59" s="4" t="str">
        <f ca="1">IF(NOMENCLATURE_GEN!E59="","",NOMENCLATURE_GEN!E59)</f>
        <v>A</v>
      </c>
      <c r="F59" s="4" t="str">
        <f>IF(NOMENCLATURE_GEN!F59="","",NOMENCLATURE_GEN!F59)</f>
        <v>TBE</v>
      </c>
      <c r="G59" s="310" t="str">
        <f>IF(NOMENCLATURE_GEN!G59="","",NOMENCLATURE_GEN!G59)</f>
        <v>Convoyeur de reprise BY-PASS des lourds 0-8mm</v>
      </c>
      <c r="H59" s="4">
        <f>IF(NOMENCLATURE_GEN!H59="","",NOMENCLATURE_GEN!H59)</f>
        <v>800</v>
      </c>
      <c r="I59" s="4">
        <f>IF(NOMENCLATURE_GEN!I59="","",NOMENCLATURE_GEN!I59)</f>
        <v>3500</v>
      </c>
      <c r="J59" s="130">
        <f>IF(NOMENCLATURE_GEN!J59="","",NOMENCLATURE_GEN!J59)</f>
        <v>0</v>
      </c>
      <c r="K59" s="158" t="str">
        <f>IF(Motorisation!L59="","",Motorisation!L59)</f>
        <v>MGFAT4</v>
      </c>
      <c r="L59" s="159" t="str">
        <f>IF(NOMENCLATURE_GEN!R59="","",NOMENCLATURE_GEN!R59)</f>
        <v>Tete</v>
      </c>
      <c r="M59" s="164" t="str">
        <f>IF(NOMENCLATURE_GEN!L59="","",NOMENCLATURE_GEN!L59)</f>
        <v>NON</v>
      </c>
      <c r="N59" s="160" t="s">
        <v>720</v>
      </c>
      <c r="O59" s="13" t="s">
        <v>722</v>
      </c>
      <c r="P59" s="14"/>
      <c r="Q59" s="14"/>
      <c r="R59" s="14"/>
      <c r="S59" s="16"/>
      <c r="T59" s="16"/>
      <c r="U59" s="17"/>
      <c r="V59" s="7"/>
    </row>
    <row r="60" spans="2:22" s="3" customFormat="1" ht="39.950000000000003" customHeight="1">
      <c r="B60" s="129" t="str">
        <f>IF(NOMENCLATURE_GEN!B60="","",NOMENCLATURE_GEN!B60)</f>
        <v/>
      </c>
      <c r="C60" s="243" t="str">
        <f>IF(NOMENCLATURE_GEN!C60="","",NOMENCLATURE_GEN!C60)</f>
        <v/>
      </c>
      <c r="D60" s="4">
        <f>IF(NOMENCLATURE_GEN!D60="","",NOMENCLATURE_GEN!D60)</f>
        <v>146</v>
      </c>
      <c r="E60" s="4" t="str">
        <f ca="1">IF(NOMENCLATURE_GEN!E60="","",NOMENCLATURE_GEN!E60)</f>
        <v>A</v>
      </c>
      <c r="F60" s="4" t="str">
        <f>IF(NOMENCLATURE_GEN!F60="","",NOMENCLATURE_GEN!F60)</f>
        <v>TBE</v>
      </c>
      <c r="G60" s="310" t="str">
        <f>IF(NOMENCLATURE_GEN!G60="","",NOMENCLATURE_GEN!G60)</f>
        <v>Convoyeur de transfert des lourds 0-8mm</v>
      </c>
      <c r="H60" s="4">
        <f>IF(NOMENCLATURE_GEN!H60="","",NOMENCLATURE_GEN!H60)</f>
        <v>800</v>
      </c>
      <c r="I60" s="4">
        <f>IF(NOMENCLATURE_GEN!I60="","",NOMENCLATURE_GEN!I60)</f>
        <v>16750</v>
      </c>
      <c r="J60" s="130">
        <f>IF(NOMENCLATURE_GEN!J60="","",NOMENCLATURE_GEN!J60)</f>
        <v>6</v>
      </c>
      <c r="K60" s="158" t="str">
        <f>IF(Motorisation!L60="","",Motorisation!L60)</f>
        <v>KA 57</v>
      </c>
      <c r="L60" s="159" t="str">
        <f>IF(NOMENCLATURE_GEN!R60="","",NOMENCLATURE_GEN!R60)</f>
        <v>Tete</v>
      </c>
      <c r="M60" s="164" t="str">
        <f>IF(NOMENCLATURE_GEN!L60="","",NOMENCLATURE_GEN!L60)</f>
        <v>NON</v>
      </c>
      <c r="N60" s="160" t="s">
        <v>721</v>
      </c>
      <c r="O60" s="13" t="s">
        <v>722</v>
      </c>
      <c r="P60" s="14"/>
      <c r="Q60" s="14"/>
      <c r="R60" s="14"/>
      <c r="S60" s="16"/>
      <c r="T60" s="16"/>
      <c r="U60" s="17"/>
      <c r="V60" s="7"/>
    </row>
    <row r="61" spans="2:22" s="3" customFormat="1" ht="39.950000000000003" customHeight="1">
      <c r="B61" s="129" t="str">
        <f>IF(NOMENCLATURE_GEN!B61="","",NOMENCLATURE_GEN!B61)</f>
        <v/>
      </c>
      <c r="C61" s="243" t="str">
        <f>IF(NOMENCLATURE_GEN!C61="","",NOMENCLATURE_GEN!C61)</f>
        <v/>
      </c>
      <c r="D61" s="4">
        <f>IF(NOMENCLATURE_GEN!D61="","",NOMENCLATURE_GEN!D61)</f>
        <v>147</v>
      </c>
      <c r="E61" s="4" t="str">
        <f ca="1">IF(NOMENCLATURE_GEN!E61="","",NOMENCLATURE_GEN!E61)</f>
        <v>A</v>
      </c>
      <c r="F61" s="4" t="str">
        <f>IF(NOMENCLATURE_GEN!F61="","",NOMENCLATURE_GEN!F61)</f>
        <v>TBE</v>
      </c>
      <c r="G61" s="310" t="str">
        <f>IF(NOMENCLATURE_GEN!G61="","",NOMENCLATURE_GEN!G61)</f>
        <v>Convoyeur de transfert des lourds 0-8mm</v>
      </c>
      <c r="H61" s="4">
        <f>IF(NOMENCLATURE_GEN!H61="","",NOMENCLATURE_GEN!H61)</f>
        <v>800</v>
      </c>
      <c r="I61" s="4">
        <f>IF(NOMENCLATURE_GEN!I61="","",NOMENCLATURE_GEN!I61)</f>
        <v>12000</v>
      </c>
      <c r="J61" s="130">
        <f>IF(NOMENCLATURE_GEN!J61="","",NOMENCLATURE_GEN!J61)</f>
        <v>20</v>
      </c>
      <c r="K61" s="158" t="str">
        <f>IF(Motorisation!L61="","",Motorisation!L61)</f>
        <v>KA 57</v>
      </c>
      <c r="L61" s="159" t="str">
        <f>IF(NOMENCLATURE_GEN!R61="","",NOMENCLATURE_GEN!R61)</f>
        <v>Tete</v>
      </c>
      <c r="M61" s="164" t="str">
        <f>IF(NOMENCLATURE_GEN!L61="","",NOMENCLATURE_GEN!L61)</f>
        <v>NON</v>
      </c>
      <c r="N61" s="160" t="s">
        <v>721</v>
      </c>
      <c r="O61" s="13" t="s">
        <v>722</v>
      </c>
      <c r="P61" s="14"/>
      <c r="Q61" s="14"/>
      <c r="R61" s="14"/>
      <c r="S61" s="16"/>
      <c r="T61" s="16"/>
      <c r="U61" s="17"/>
      <c r="V61" s="7"/>
    </row>
    <row r="62" spans="2:22" s="3" customFormat="1" ht="39.950000000000003" customHeight="1">
      <c r="B62" s="129" t="str">
        <f>IF(NOMENCLATURE_GEN!B62="","",NOMENCLATURE_GEN!B62)</f>
        <v/>
      </c>
      <c r="C62" s="243" t="str">
        <f>IF(NOMENCLATURE_GEN!C62="","",NOMENCLATURE_GEN!C62)</f>
        <v/>
      </c>
      <c r="D62" s="4">
        <f>IF(NOMENCLATURE_GEN!D62="","",NOMENCLATURE_GEN!D62)</f>
        <v>148</v>
      </c>
      <c r="E62" s="4" t="str">
        <f ca="1">IF(NOMENCLATURE_GEN!E62="","",NOMENCLATURE_GEN!E62)</f>
        <v>A</v>
      </c>
      <c r="F62" s="4" t="str">
        <f>IF(NOMENCLATURE_GEN!F62="","",NOMENCLATURE_GEN!F62)</f>
        <v>TBE</v>
      </c>
      <c r="G62" s="310" t="str">
        <f>IF(NOMENCLATURE_GEN!G62="","",NOMENCLATURE_GEN!G62)</f>
        <v>Convoyeur rotatif double sens de mise en benne des refus lourds</v>
      </c>
      <c r="H62" s="4">
        <f>IF(NOMENCLATURE_GEN!H62="","",NOMENCLATURE_GEN!H62)</f>
        <v>800</v>
      </c>
      <c r="I62" s="4">
        <f>IF(NOMENCLATURE_GEN!I62="","",NOMENCLATURE_GEN!I62)</f>
        <v>5000</v>
      </c>
      <c r="J62" s="130">
        <f>IF(NOMENCLATURE_GEN!J62="","",NOMENCLATURE_GEN!J62)</f>
        <v>0</v>
      </c>
      <c r="K62" s="158" t="str">
        <f>IF(Motorisation!L62="","",Motorisation!L62)</f>
        <v>MGFAT4</v>
      </c>
      <c r="L62" s="159" t="str">
        <f>IF(NOMENCLATURE_GEN!R62="","",NOMENCLATURE_GEN!R62)</f>
        <v>Tete</v>
      </c>
      <c r="M62" s="164" t="str">
        <f>IF(NOMENCLATURE_GEN!L62="","",NOMENCLATURE_GEN!L62)</f>
        <v>NON</v>
      </c>
      <c r="N62" s="160" t="s">
        <v>720</v>
      </c>
      <c r="O62" s="13" t="s">
        <v>722</v>
      </c>
      <c r="P62" s="14"/>
      <c r="Q62" s="14"/>
      <c r="R62" s="14"/>
      <c r="S62" s="16"/>
      <c r="T62" s="16"/>
      <c r="U62" s="17"/>
      <c r="V62" s="7"/>
    </row>
    <row r="63" spans="2:22" s="3" customFormat="1" ht="39.950000000000003" hidden="1" customHeight="1">
      <c r="B63" s="129" t="str">
        <f>IF(NOMENCLATURE_GEN!B63="","",NOMENCLATURE_GEN!B63)</f>
        <v/>
      </c>
      <c r="C63" s="243" t="str">
        <f>IF(NOMENCLATURE_GEN!C63="","",NOMENCLATURE_GEN!C63)</f>
        <v/>
      </c>
      <c r="D63" s="4">
        <f>IF(NOMENCLATURE_GEN!D63="","",NOMENCLATURE_GEN!D63)</f>
        <v>149</v>
      </c>
      <c r="E63" s="4" t="str">
        <f ca="1">IF(NOMENCLATURE_GEN!E63="","",NOMENCLATURE_GEN!E63)</f>
        <v>A</v>
      </c>
      <c r="F63" s="4" t="str">
        <f>IF(NOMENCLATURE_GEN!F63="","",NOMENCLATURE_GEN!F63)</f>
        <v>COU</v>
      </c>
      <c r="G63" s="310" t="str">
        <f>IF(NOMENCLATURE_GEN!G63="","",NOMENCLATURE_GEN!G63)</f>
        <v>Couronne rotatif pour convoyeur de mise en tas</v>
      </c>
      <c r="H63" s="4">
        <f>IF(NOMENCLATURE_GEN!H63="","",NOMENCLATURE_GEN!H63)</f>
        <v>800</v>
      </c>
      <c r="I63" s="4">
        <f>IF(NOMENCLATURE_GEN!I63="","",NOMENCLATURE_GEN!I63)</f>
        <v>800</v>
      </c>
      <c r="J63" s="130" t="str">
        <f>IF(NOMENCLATURE_GEN!J63="","",NOMENCLATURE_GEN!J63)</f>
        <v/>
      </c>
      <c r="K63" s="158" t="str">
        <f>IF(Motorisation!L63="","",Motorisation!L63)</f>
        <v>K57</v>
      </c>
      <c r="L63" s="159" t="str">
        <f>IF(NOMENCLATURE_GEN!R63="","",NOMENCLATURE_GEN!R63)</f>
        <v>-</v>
      </c>
      <c r="M63" s="164" t="str">
        <f>IF(NOMENCLATURE_GEN!L63="","",NOMENCLATURE_GEN!L63)</f>
        <v>NON</v>
      </c>
      <c r="N63" s="160"/>
      <c r="O63" s="14"/>
      <c r="P63" s="14"/>
      <c r="Q63" s="14"/>
      <c r="R63" s="14"/>
      <c r="S63" s="16"/>
      <c r="T63" s="16"/>
      <c r="U63" s="17"/>
      <c r="V63" s="7"/>
    </row>
    <row r="64" spans="2:22" s="3" customFormat="1" ht="39.950000000000003" customHeight="1">
      <c r="B64" s="129" t="str">
        <f>IF(NOMENCLATURE_GEN!B64="","",NOMENCLATURE_GEN!B64)</f>
        <v/>
      </c>
      <c r="C64" s="243" t="str">
        <f>IF(NOMENCLATURE_GEN!C64="","",NOMENCLATURE_GEN!C64)</f>
        <v/>
      </c>
      <c r="D64" s="4">
        <f>IF(NOMENCLATURE_GEN!D64="","",NOMENCLATURE_GEN!D64)</f>
        <v>150</v>
      </c>
      <c r="E64" s="4" t="str">
        <f ca="1">IF(NOMENCLATURE_GEN!E64="","",NOMENCLATURE_GEN!E64)</f>
        <v>A</v>
      </c>
      <c r="F64" s="4" t="str">
        <f>IF(NOMENCLATURE_GEN!F64="","",NOMENCLATURE_GEN!F64)</f>
        <v>TBE</v>
      </c>
      <c r="G64" s="310" t="str">
        <f>IF(NOMENCLATURE_GEN!G64="","",NOMENCLATURE_GEN!G64)</f>
        <v>Convoyeur de reprise By-pass des refus du liwell</v>
      </c>
      <c r="H64" s="4">
        <f>IF(NOMENCLATURE_GEN!H64="","",NOMENCLATURE_GEN!H64)</f>
        <v>1000</v>
      </c>
      <c r="I64" s="4">
        <f>IF(NOMENCLATURE_GEN!I64="","",NOMENCLATURE_GEN!I64)</f>
        <v>5250</v>
      </c>
      <c r="J64" s="130">
        <f>IF(NOMENCLATURE_GEN!J64="","",NOMENCLATURE_GEN!J64)</f>
        <v>0</v>
      </c>
      <c r="K64" s="158" t="str">
        <f>IF(Motorisation!L64="","",Motorisation!L64)</f>
        <v>KA 57</v>
      </c>
      <c r="L64" s="159" t="str">
        <f>IF(NOMENCLATURE_GEN!R64="","",NOMENCLATURE_GEN!R64)</f>
        <v>Tete</v>
      </c>
      <c r="M64" s="164" t="str">
        <f>IF(NOMENCLATURE_GEN!L64="","",NOMENCLATURE_GEN!L64)</f>
        <v>NON</v>
      </c>
      <c r="N64" s="160" t="s">
        <v>723</v>
      </c>
      <c r="O64" s="13" t="s">
        <v>724</v>
      </c>
      <c r="P64" s="14"/>
      <c r="Q64" s="14"/>
      <c r="R64" s="14"/>
      <c r="S64" s="16"/>
      <c r="T64" s="16"/>
      <c r="U64" s="17"/>
      <c r="V64" s="7"/>
    </row>
    <row r="65" spans="2:22" s="3" customFormat="1" ht="39.950000000000003" customHeight="1">
      <c r="B65" s="129" t="str">
        <f>IF(NOMENCLATURE_GEN!B65="","",NOMENCLATURE_GEN!B65)</f>
        <v/>
      </c>
      <c r="C65" s="243" t="str">
        <f>IF(NOMENCLATURE_GEN!C65="","",NOMENCLATURE_GEN!C65)</f>
        <v/>
      </c>
      <c r="D65" s="4">
        <f>IF(NOMENCLATURE_GEN!D65="","",NOMENCLATURE_GEN!D65)</f>
        <v>151</v>
      </c>
      <c r="E65" s="4" t="str">
        <f ca="1">IF(NOMENCLATURE_GEN!E65="","",NOMENCLATURE_GEN!E65)</f>
        <v>A</v>
      </c>
      <c r="F65" s="4" t="str">
        <f>IF(NOMENCLATURE_GEN!F65="","",NOMENCLATURE_GEN!F65)</f>
        <v>TBE</v>
      </c>
      <c r="G65" s="310" t="str">
        <f>IF(NOMENCLATURE_GEN!G65="","",NOMENCLATURE_GEN!G65)</f>
        <v>Convoyeur de reprise By-pass des refus du balistique 1</v>
      </c>
      <c r="H65" s="4">
        <f>IF(NOMENCLATURE_GEN!H65="","",NOMENCLATURE_GEN!H65)</f>
        <v>1000</v>
      </c>
      <c r="I65" s="4">
        <f>IF(NOMENCLATURE_GEN!I65="","",NOMENCLATURE_GEN!I65)</f>
        <v>5250</v>
      </c>
      <c r="J65" s="130">
        <f>IF(NOMENCLATURE_GEN!J65="","",NOMENCLATURE_GEN!J65)</f>
        <v>0</v>
      </c>
      <c r="K65" s="158" t="str">
        <f>IF(Motorisation!L65="","",Motorisation!L65)</f>
        <v>KA 57</v>
      </c>
      <c r="L65" s="159" t="str">
        <f>IF(NOMENCLATURE_GEN!R65="","",NOMENCLATURE_GEN!R65)</f>
        <v>Tete</v>
      </c>
      <c r="M65" s="164" t="str">
        <f>IF(NOMENCLATURE_GEN!L65="","",NOMENCLATURE_GEN!L65)</f>
        <v>NON</v>
      </c>
      <c r="N65" s="160" t="s">
        <v>723</v>
      </c>
      <c r="O65" s="13" t="s">
        <v>724</v>
      </c>
      <c r="P65" s="14"/>
      <c r="Q65" s="14"/>
      <c r="R65" s="14"/>
      <c r="S65" s="16"/>
      <c r="T65" s="16"/>
      <c r="U65" s="17"/>
      <c r="V65" s="7"/>
    </row>
    <row r="66" spans="2:22" s="3" customFormat="1" ht="39.950000000000003" customHeight="1">
      <c r="B66" s="129" t="str">
        <f>IF(NOMENCLATURE_GEN!B66="","",NOMENCLATURE_GEN!B66)</f>
        <v/>
      </c>
      <c r="C66" s="243" t="str">
        <f>IF(NOMENCLATURE_GEN!C66="","",NOMENCLATURE_GEN!C66)</f>
        <v/>
      </c>
      <c r="D66" s="4">
        <f>IF(NOMENCLATURE_GEN!D66="","",NOMENCLATURE_GEN!D66)</f>
        <v>152</v>
      </c>
      <c r="E66" s="4" t="str">
        <f ca="1">IF(NOMENCLATURE_GEN!E66="","",NOMENCLATURE_GEN!E66)</f>
        <v>A</v>
      </c>
      <c r="F66" s="4" t="str">
        <f>IF(NOMENCLATURE_GEN!F66="","",NOMENCLATURE_GEN!F66)</f>
        <v>TBE</v>
      </c>
      <c r="G66" s="310" t="str">
        <f>IF(NOMENCLATURE_GEN!G66="","",NOMENCLATURE_GEN!G66)</f>
        <v>Convoyeur de transfert des refus vers module de sur-tri</v>
      </c>
      <c r="H66" s="4">
        <f>IF(NOMENCLATURE_GEN!H66="","",NOMENCLATURE_GEN!H66)</f>
        <v>1000</v>
      </c>
      <c r="I66" s="4">
        <f>IF(NOMENCLATURE_GEN!I66="","",NOMENCLATURE_GEN!I66)</f>
        <v>15000</v>
      </c>
      <c r="J66" s="130">
        <f>IF(NOMENCLATURE_GEN!J66="","",NOMENCLATURE_GEN!J66)</f>
        <v>8</v>
      </c>
      <c r="K66" s="158" t="str">
        <f>IF(Motorisation!L66="","",Motorisation!L66)</f>
        <v>KA 57</v>
      </c>
      <c r="L66" s="159" t="str">
        <f>IF(NOMENCLATURE_GEN!R66="","",NOMENCLATURE_GEN!R66)</f>
        <v>Tete</v>
      </c>
      <c r="M66" s="164" t="str">
        <f>IF(NOMENCLATURE_GEN!L66="","",NOMENCLATURE_GEN!L66)</f>
        <v>NON</v>
      </c>
      <c r="N66" s="161" t="s">
        <v>723</v>
      </c>
      <c r="O66" s="13" t="s">
        <v>724</v>
      </c>
      <c r="P66" s="14"/>
      <c r="Q66" s="14"/>
      <c r="R66" s="14"/>
      <c r="S66" s="16"/>
      <c r="T66" s="16"/>
      <c r="U66" s="17"/>
      <c r="V66" s="7"/>
    </row>
    <row r="67" spans="2:22" s="3" customFormat="1" ht="39.950000000000003" customHeight="1">
      <c r="B67" s="129" t="str">
        <f>IF(NOMENCLATURE_GEN!B67="","",NOMENCLATURE_GEN!B67)</f>
        <v/>
      </c>
      <c r="C67" s="243" t="str">
        <f>IF(NOMENCLATURE_GEN!C67="","",NOMENCLATURE_GEN!C67)</f>
        <v/>
      </c>
      <c r="D67" s="4">
        <f>IF(NOMENCLATURE_GEN!D67="","",NOMENCLATURE_GEN!D67)</f>
        <v>153</v>
      </c>
      <c r="E67" s="4" t="str">
        <f ca="1">IF(NOMENCLATURE_GEN!E67="","",NOMENCLATURE_GEN!E67)</f>
        <v>A</v>
      </c>
      <c r="F67" s="4" t="str">
        <f>IF(NOMENCLATURE_GEN!F67="","",NOMENCLATURE_GEN!F67)</f>
        <v>TBE</v>
      </c>
      <c r="G67" s="310" t="str">
        <f>IF(NOMENCLATURE_GEN!G67="","",NOMENCLATURE_GEN!G67)</f>
        <v>Convoyeur de transfert des refus vers module de sur-tri</v>
      </c>
      <c r="H67" s="4">
        <f>IF(NOMENCLATURE_GEN!H67="","",NOMENCLATURE_GEN!H67)</f>
        <v>1000</v>
      </c>
      <c r="I67" s="4">
        <f>IF(NOMENCLATURE_GEN!I67="","",NOMENCLATURE_GEN!I67)</f>
        <v>5000</v>
      </c>
      <c r="J67" s="130">
        <f>IF(NOMENCLATURE_GEN!J67="","",NOMENCLATURE_GEN!J67)</f>
        <v>18</v>
      </c>
      <c r="K67" s="158" t="str">
        <f>IF(Motorisation!L67="","",Motorisation!L67)</f>
        <v>KA 57</v>
      </c>
      <c r="L67" s="159" t="str">
        <f>IF(NOMENCLATURE_GEN!R67="","",NOMENCLATURE_GEN!R67)</f>
        <v>Tete</v>
      </c>
      <c r="M67" s="164" t="str">
        <f>IF(NOMENCLATURE_GEN!L67="","",NOMENCLATURE_GEN!L67)</f>
        <v>NON</v>
      </c>
      <c r="N67" s="160" t="s">
        <v>723</v>
      </c>
      <c r="O67" s="13" t="s">
        <v>724</v>
      </c>
      <c r="P67" s="14"/>
      <c r="Q67" s="14"/>
      <c r="R67" s="14"/>
      <c r="S67" s="16"/>
      <c r="T67" s="16"/>
      <c r="U67" s="17"/>
      <c r="V67" s="7"/>
    </row>
    <row r="68" spans="2:22" s="3" customFormat="1" ht="39.950000000000003" customHeight="1">
      <c r="B68" s="129" t="str">
        <f>IF(NOMENCLATURE_GEN!B68="","",NOMENCLATURE_GEN!B68)</f>
        <v/>
      </c>
      <c r="C68" s="243" t="str">
        <f>IF(NOMENCLATURE_GEN!C68="","",NOMENCLATURE_GEN!C68)</f>
        <v/>
      </c>
      <c r="D68" s="4">
        <f>IF(NOMENCLATURE_GEN!D68="","",NOMENCLATURE_GEN!D68)</f>
        <v>154</v>
      </c>
      <c r="E68" s="4" t="str">
        <f ca="1">IF(NOMENCLATURE_GEN!E68="","",NOMENCLATURE_GEN!E68)</f>
        <v>A</v>
      </c>
      <c r="F68" s="4" t="str">
        <f>IF(NOMENCLATURE_GEN!F68="","",NOMENCLATURE_GEN!F68)</f>
        <v>TBE</v>
      </c>
      <c r="G68" s="310" t="str">
        <f>IF(NOMENCLATURE_GEN!G68="","",NOMENCLATURE_GEN!G68)</f>
        <v>Convoyeur de transfert des refus vers module de sur-tri</v>
      </c>
      <c r="H68" s="4">
        <f>IF(NOMENCLATURE_GEN!H68="","",NOMENCLATURE_GEN!H68)</f>
        <v>1000</v>
      </c>
      <c r="I68" s="4">
        <f>IF(NOMENCLATURE_GEN!I68="","",NOMENCLATURE_GEN!I68)</f>
        <v>26250</v>
      </c>
      <c r="J68" s="130">
        <f>IF(NOMENCLATURE_GEN!J68="","",NOMENCLATURE_GEN!J68)</f>
        <v>18</v>
      </c>
      <c r="K68" s="158" t="str">
        <f>IF(Motorisation!L68="","",Motorisation!L68)</f>
        <v>KA 67</v>
      </c>
      <c r="L68" s="159" t="str">
        <f>IF(NOMENCLATURE_GEN!R68="","",NOMENCLATURE_GEN!R68)</f>
        <v>Tete</v>
      </c>
      <c r="M68" s="164" t="str">
        <f>IF(NOMENCLATURE_GEN!L68="","",NOMENCLATURE_GEN!L68)</f>
        <v>NON</v>
      </c>
      <c r="N68" s="160" t="s">
        <v>723</v>
      </c>
      <c r="O68" s="13" t="s">
        <v>724</v>
      </c>
      <c r="P68" s="13" t="s">
        <v>728</v>
      </c>
      <c r="Q68" s="14">
        <v>1</v>
      </c>
      <c r="R68" s="14"/>
      <c r="S68" s="16"/>
      <c r="T68" s="16"/>
      <c r="U68" s="17"/>
      <c r="V68" s="7"/>
    </row>
    <row r="69" spans="2:22" s="3" customFormat="1" ht="39.950000000000003" hidden="1" customHeight="1">
      <c r="B69" s="129" t="str">
        <f>IF(NOMENCLATURE_GEN!B69="","",NOMENCLATURE_GEN!B69)</f>
        <v/>
      </c>
      <c r="C69" s="243" t="str">
        <f>IF(NOMENCLATURE_GEN!C69="","",NOMENCLATURE_GEN!C69)</f>
        <v/>
      </c>
      <c r="D69" s="4">
        <f>IF(NOMENCLATURE_GEN!D69="","",NOMENCLATURE_GEN!D69)</f>
        <v>155</v>
      </c>
      <c r="E69" s="4" t="str">
        <f ca="1">IF(NOMENCLATURE_GEN!E69="","",NOMENCLATURE_GEN!E69)</f>
        <v>A</v>
      </c>
      <c r="F69" s="4" t="str">
        <f>IF(NOMENCLATURE_GEN!F69="","",NOMENCLATURE_GEN!F69)</f>
        <v>TFM</v>
      </c>
      <c r="G69" s="310" t="str">
        <f>IF(NOMENCLATURE_GEN!G69="","",NOMENCLATURE_GEN!G69)</f>
        <v>Table densimétrique FM150 - Moteur balourd</v>
      </c>
      <c r="H69" s="4" t="str">
        <f>IF(NOMENCLATURE_GEN!H69="","",NOMENCLATURE_GEN!H69)</f>
        <v/>
      </c>
      <c r="I69" s="4" t="str">
        <f>IF(NOMENCLATURE_GEN!I69="","",NOMENCLATURE_GEN!I69)</f>
        <v/>
      </c>
      <c r="J69" s="130" t="str">
        <f>IF(NOMENCLATURE_GEN!J69="","",NOMENCLATURE_GEN!J69)</f>
        <v/>
      </c>
      <c r="K69" s="158" t="str">
        <f>IF(Motorisation!L69="","",Motorisation!L69)</f>
        <v/>
      </c>
      <c r="L69" s="159" t="str">
        <f>IF(NOMENCLATURE_GEN!R69="","",NOMENCLATURE_GEN!R69)</f>
        <v>-</v>
      </c>
      <c r="M69" s="164" t="str">
        <f>IF(NOMENCLATURE_GEN!L69="","",NOMENCLATURE_GEN!L69)</f>
        <v>NON</v>
      </c>
      <c r="N69" s="161"/>
      <c r="O69" s="14"/>
      <c r="P69" s="14"/>
      <c r="Q69" s="14"/>
      <c r="R69" s="14"/>
      <c r="S69" s="16"/>
      <c r="T69" s="16"/>
      <c r="U69" s="17"/>
      <c r="V69" s="7"/>
    </row>
    <row r="70" spans="2:22" s="3" customFormat="1" ht="39.950000000000003" hidden="1" customHeight="1">
      <c r="B70" s="129" t="str">
        <f>IF(NOMENCLATURE_GEN!B70="","",NOMENCLATURE_GEN!B70)</f>
        <v/>
      </c>
      <c r="C70" s="243" t="str">
        <f>IF(NOMENCLATURE_GEN!C70="","",NOMENCLATURE_GEN!C70)</f>
        <v/>
      </c>
      <c r="D70" s="4">
        <f>IF(NOMENCLATURE_GEN!D70="","",NOMENCLATURE_GEN!D70)</f>
        <v>155</v>
      </c>
      <c r="E70" s="4" t="str">
        <f ca="1">IF(NOMENCLATURE_GEN!E70="","",NOMENCLATURE_GEN!E70)</f>
        <v>B</v>
      </c>
      <c r="F70" s="4" t="str">
        <f>IF(NOMENCLATURE_GEN!F70="","",NOMENCLATURE_GEN!F70)</f>
        <v>TFM</v>
      </c>
      <c r="G70" s="310" t="str">
        <f>IF(NOMENCLATURE_GEN!G70="","",NOMENCLATURE_GEN!G70)</f>
        <v>Table densimétrique FM150 - Ventilateur de fluidisation</v>
      </c>
      <c r="H70" s="4" t="str">
        <f>IF(NOMENCLATURE_GEN!H70="","",NOMENCLATURE_GEN!H70)</f>
        <v/>
      </c>
      <c r="I70" s="4" t="str">
        <f>IF(NOMENCLATURE_GEN!I70="","",NOMENCLATURE_GEN!I70)</f>
        <v/>
      </c>
      <c r="J70" s="130" t="str">
        <f>IF(NOMENCLATURE_GEN!J70="","",NOMENCLATURE_GEN!J70)</f>
        <v/>
      </c>
      <c r="K70" s="158" t="str">
        <f>IF(Motorisation!L70="","",Motorisation!L70)</f>
        <v>K57</v>
      </c>
      <c r="L70" s="159" t="str">
        <f>IF(NOMENCLATURE_GEN!R70="","",NOMENCLATURE_GEN!R70)</f>
        <v>-</v>
      </c>
      <c r="M70" s="164" t="str">
        <f>IF(NOMENCLATURE_GEN!L70="","",NOMENCLATURE_GEN!L70)</f>
        <v>NON</v>
      </c>
      <c r="N70" s="161"/>
      <c r="O70" s="14"/>
      <c r="P70" s="14"/>
      <c r="Q70" s="14"/>
      <c r="R70" s="14"/>
      <c r="S70" s="16"/>
      <c r="T70" s="16"/>
      <c r="U70" s="17"/>
      <c r="V70" s="7"/>
    </row>
    <row r="71" spans="2:22" s="3" customFormat="1" ht="39.950000000000003" hidden="1" customHeight="1">
      <c r="B71" s="129" t="str">
        <f>IF(NOMENCLATURE_GEN!B71="","",NOMENCLATURE_GEN!B71)</f>
        <v/>
      </c>
      <c r="C71" s="243" t="str">
        <f>IF(NOMENCLATURE_GEN!C71="","",NOMENCLATURE_GEN!C71)</f>
        <v/>
      </c>
      <c r="D71" s="4">
        <f>IF(NOMENCLATURE_GEN!D71="","",NOMENCLATURE_GEN!D71)</f>
        <v>155</v>
      </c>
      <c r="E71" s="4" t="str">
        <f ca="1">IF(NOMENCLATURE_GEN!E71="","",NOMENCLATURE_GEN!E71)</f>
        <v>C</v>
      </c>
      <c r="F71" s="4" t="str">
        <f>IF(NOMENCLATURE_GEN!F71="","",NOMENCLATURE_GEN!F71)</f>
        <v>TFM</v>
      </c>
      <c r="G71" s="310" t="str">
        <f>IF(NOMENCLATURE_GEN!G71="","",NOMENCLATURE_GEN!G71)</f>
        <v>Table densimétrique FM150 - Ecluse utra lourds</v>
      </c>
      <c r="H71" s="4" t="str">
        <f>IF(NOMENCLATURE_GEN!H71="","",NOMENCLATURE_GEN!H71)</f>
        <v/>
      </c>
      <c r="I71" s="4" t="str">
        <f>IF(NOMENCLATURE_GEN!I71="","",NOMENCLATURE_GEN!I71)</f>
        <v/>
      </c>
      <c r="J71" s="130" t="str">
        <f>IF(NOMENCLATURE_GEN!J71="","",NOMENCLATURE_GEN!J71)</f>
        <v/>
      </c>
      <c r="K71" s="158" t="str">
        <f>IF(Motorisation!L71="","",Motorisation!L71)</f>
        <v>K57</v>
      </c>
      <c r="L71" s="159" t="str">
        <f>IF(NOMENCLATURE_GEN!R71="","",NOMENCLATURE_GEN!R71)</f>
        <v>-</v>
      </c>
      <c r="M71" s="164" t="str">
        <f>IF(NOMENCLATURE_GEN!L71="","",NOMENCLATURE_GEN!L71)</f>
        <v>NON</v>
      </c>
      <c r="N71" s="161"/>
      <c r="O71" s="14"/>
      <c r="P71" s="14"/>
      <c r="Q71" s="14"/>
      <c r="R71" s="14"/>
      <c r="S71" s="16"/>
      <c r="T71" s="16"/>
      <c r="U71" s="17"/>
      <c r="V71" s="7"/>
    </row>
    <row r="72" spans="2:22" s="3" customFormat="1" ht="39.950000000000003" hidden="1" customHeight="1">
      <c r="B72" s="129" t="str">
        <f>IF(NOMENCLATURE_GEN!B72="","",NOMENCLATURE_GEN!B72)</f>
        <v/>
      </c>
      <c r="C72" s="243" t="str">
        <f>IF(NOMENCLATURE_GEN!C72="","",NOMENCLATURE_GEN!C72)</f>
        <v/>
      </c>
      <c r="D72" s="4">
        <f>IF(NOMENCLATURE_GEN!D72="","",NOMENCLATURE_GEN!D72)</f>
        <v>155</v>
      </c>
      <c r="E72" s="4" t="str">
        <f ca="1">IF(NOMENCLATURE_GEN!E72="","",NOMENCLATURE_GEN!E72)</f>
        <v>D</v>
      </c>
      <c r="F72" s="4" t="str">
        <f>IF(NOMENCLATURE_GEN!F72="","",NOMENCLATURE_GEN!F72)</f>
        <v>TFM</v>
      </c>
      <c r="G72" s="310" t="str">
        <f>IF(NOMENCLATURE_GEN!G72="","",NOMENCLATURE_GEN!G72)</f>
        <v>Table densimétrique FM150 - Clapet motorisé</v>
      </c>
      <c r="H72" s="4" t="str">
        <f>IF(NOMENCLATURE_GEN!H72="","",NOMENCLATURE_GEN!H72)</f>
        <v/>
      </c>
      <c r="I72" s="4" t="str">
        <f>IF(NOMENCLATURE_GEN!I72="","",NOMENCLATURE_GEN!I72)</f>
        <v/>
      </c>
      <c r="J72" s="130" t="str">
        <f>IF(NOMENCLATURE_GEN!J72="","",NOMENCLATURE_GEN!J72)</f>
        <v/>
      </c>
      <c r="K72" s="158" t="str">
        <f>IF(Motorisation!L72="","",Motorisation!L72)</f>
        <v>K57</v>
      </c>
      <c r="L72" s="159" t="str">
        <f>IF(NOMENCLATURE_GEN!R72="","",NOMENCLATURE_GEN!R72)</f>
        <v>-</v>
      </c>
      <c r="M72" s="164" t="str">
        <f>IF(NOMENCLATURE_GEN!L72="","",NOMENCLATURE_GEN!L72)</f>
        <v>NON</v>
      </c>
      <c r="N72" s="161"/>
      <c r="O72" s="14"/>
      <c r="P72" s="14"/>
      <c r="Q72" s="14"/>
      <c r="R72" s="14"/>
      <c r="S72" s="16"/>
      <c r="T72" s="16"/>
      <c r="U72" s="17"/>
      <c r="V72" s="7"/>
    </row>
    <row r="73" spans="2:22" s="3" customFormat="1" ht="39.950000000000003" customHeight="1">
      <c r="B73" s="129" t="str">
        <f>IF(NOMENCLATURE_GEN!B73="","",NOMENCLATURE_GEN!B73)</f>
        <v/>
      </c>
      <c r="C73" s="243" t="str">
        <f>IF(NOMENCLATURE_GEN!C73="","",NOMENCLATURE_GEN!C73)</f>
        <v/>
      </c>
      <c r="D73" s="4">
        <f>IF(NOMENCLATURE_GEN!D73="","",NOMENCLATURE_GEN!D73)</f>
        <v>156</v>
      </c>
      <c r="E73" s="4" t="str">
        <f ca="1">IF(NOMENCLATURE_GEN!E73="","",NOMENCLATURE_GEN!E73)</f>
        <v>A</v>
      </c>
      <c r="F73" s="4" t="str">
        <f>IF(NOMENCLATURE_GEN!F73="","",NOMENCLATURE_GEN!F73)</f>
        <v>TBE</v>
      </c>
      <c r="G73" s="310" t="str">
        <f>IF(NOMENCLATURE_GEN!G73="","",NOMENCLATURE_GEN!G73)</f>
        <v>Convoyeur de reprise des refus lourds et transfert vers centralisation</v>
      </c>
      <c r="H73" s="4">
        <f>IF(NOMENCLATURE_GEN!H73="","",NOMENCLATURE_GEN!H73)</f>
        <v>800</v>
      </c>
      <c r="I73" s="4">
        <f>IF(NOMENCLATURE_GEN!I73="","",NOMENCLATURE_GEN!I73)</f>
        <v>3000</v>
      </c>
      <c r="J73" s="130">
        <f>IF(NOMENCLATURE_GEN!J73="","",NOMENCLATURE_GEN!J73)</f>
        <v>0</v>
      </c>
      <c r="K73" s="158" t="str">
        <f>IF(Motorisation!L73="","",Motorisation!L73)</f>
        <v>MGFAT4</v>
      </c>
      <c r="L73" s="159" t="str">
        <f>IF(NOMENCLATURE_GEN!R73="","",NOMENCLATURE_GEN!R73)</f>
        <v>Tete</v>
      </c>
      <c r="M73" s="164" t="str">
        <f>IF(NOMENCLATURE_GEN!L73="","",NOMENCLATURE_GEN!L73)</f>
        <v>NON</v>
      </c>
      <c r="N73" s="160" t="s">
        <v>720</v>
      </c>
      <c r="O73" s="13" t="s">
        <v>722</v>
      </c>
      <c r="P73" s="14"/>
      <c r="Q73" s="14"/>
      <c r="R73" s="14"/>
      <c r="S73" s="16"/>
      <c r="T73" s="16"/>
      <c r="U73" s="17"/>
      <c r="V73" s="7"/>
    </row>
    <row r="74" spans="2:22" s="3" customFormat="1" ht="39.950000000000003" customHeight="1">
      <c r="B74" s="129" t="str">
        <f>IF(NOMENCLATURE_GEN!B74="","",NOMENCLATURE_GEN!B74)</f>
        <v/>
      </c>
      <c r="C74" s="243" t="str">
        <f>IF(NOMENCLATURE_GEN!C74="","",NOMENCLATURE_GEN!C74)</f>
        <v/>
      </c>
      <c r="D74" s="4">
        <f>IF(NOMENCLATURE_GEN!D74="","",NOMENCLATURE_GEN!D74)</f>
        <v>157</v>
      </c>
      <c r="E74" s="4" t="str">
        <f ca="1">IF(NOMENCLATURE_GEN!E74="","",NOMENCLATURE_GEN!E74)</f>
        <v>A</v>
      </c>
      <c r="F74" s="4" t="str">
        <f>IF(NOMENCLATURE_GEN!F74="","",NOMENCLATURE_GEN!F74)</f>
        <v>TBE</v>
      </c>
      <c r="G74" s="310" t="str">
        <f>IF(NOMENCLATURE_GEN!G74="","",NOMENCLATURE_GEN!G74)</f>
        <v>Convoyeur de reprise des refus lourds et transfert vers centralisation</v>
      </c>
      <c r="H74" s="4">
        <f>IF(NOMENCLATURE_GEN!H74="","",NOMENCLATURE_GEN!H74)</f>
        <v>800</v>
      </c>
      <c r="I74" s="4">
        <f>IF(NOMENCLATURE_GEN!I74="","",NOMENCLATURE_GEN!I74)</f>
        <v>10000</v>
      </c>
      <c r="J74" s="130">
        <f>IF(NOMENCLATURE_GEN!J74="","",NOMENCLATURE_GEN!J74)</f>
        <v>6</v>
      </c>
      <c r="K74" s="158" t="str">
        <f>IF(Motorisation!L74="","",Motorisation!L74)</f>
        <v>KA 57</v>
      </c>
      <c r="L74" s="159" t="str">
        <f>IF(NOMENCLATURE_GEN!R74="","",NOMENCLATURE_GEN!R74)</f>
        <v>Tete</v>
      </c>
      <c r="M74" s="164" t="str">
        <f>IF(NOMENCLATURE_GEN!L74="","",NOMENCLATURE_GEN!L74)</f>
        <v>NON</v>
      </c>
      <c r="N74" s="160" t="s">
        <v>721</v>
      </c>
      <c r="O74" s="13" t="s">
        <v>722</v>
      </c>
      <c r="P74" s="14"/>
      <c r="Q74" s="14"/>
      <c r="R74" s="14"/>
      <c r="S74" s="16"/>
      <c r="T74" s="16"/>
      <c r="U74" s="17"/>
      <c r="V74" s="7"/>
    </row>
    <row r="75" spans="2:22" s="3" customFormat="1" ht="39.950000000000003" customHeight="1">
      <c r="B75" s="129" t="str">
        <f>IF(NOMENCLATURE_GEN!B75="","",NOMENCLATURE_GEN!B75)</f>
        <v/>
      </c>
      <c r="C75" s="243" t="str">
        <f>IF(NOMENCLATURE_GEN!C75="","",NOMENCLATURE_GEN!C75)</f>
        <v/>
      </c>
      <c r="D75" s="4">
        <f>IF(NOMENCLATURE_GEN!D75="","",NOMENCLATURE_GEN!D75)</f>
        <v>158</v>
      </c>
      <c r="E75" s="4" t="str">
        <f ca="1">IF(NOMENCLATURE_GEN!E75="","",NOMENCLATURE_GEN!E75)</f>
        <v>A</v>
      </c>
      <c r="F75" s="4" t="str">
        <f>IF(NOMENCLATURE_GEN!F75="","",NOMENCLATURE_GEN!F75)</f>
        <v>TBE</v>
      </c>
      <c r="G75" s="310" t="str">
        <f>IF(NOMENCLATURE_GEN!G75="","",NOMENCLATURE_GEN!G75)</f>
        <v>Convoyeur de reprise des lourds 0-8mm</v>
      </c>
      <c r="H75" s="4">
        <f>IF(NOMENCLATURE_GEN!H75="","",NOMENCLATURE_GEN!H75)</f>
        <v>1800</v>
      </c>
      <c r="I75" s="4">
        <f>IF(NOMENCLATURE_GEN!I75="","",NOMENCLATURE_GEN!I75)</f>
        <v>4000</v>
      </c>
      <c r="J75" s="130">
        <f>IF(NOMENCLATURE_GEN!J75="","",NOMENCLATURE_GEN!J75)</f>
        <v>12</v>
      </c>
      <c r="K75" s="158" t="str">
        <f>IF(Motorisation!L75="","",Motorisation!L75)</f>
        <v>KA 57</v>
      </c>
      <c r="L75" s="159" t="str">
        <f>IF(NOMENCLATURE_GEN!R75="","",NOMENCLATURE_GEN!R75)</f>
        <v>Tete</v>
      </c>
      <c r="M75" s="164" t="str">
        <f>IF(NOMENCLATURE_GEN!L75="","",NOMENCLATURE_GEN!L75)</f>
        <v>NON</v>
      </c>
      <c r="N75" s="160" t="s">
        <v>725</v>
      </c>
      <c r="O75" s="14" t="s">
        <v>726</v>
      </c>
      <c r="P75" s="14"/>
      <c r="Q75" s="14"/>
      <c r="R75" s="14"/>
      <c r="S75" s="16"/>
      <c r="T75" s="16"/>
      <c r="U75" s="17"/>
      <c r="V75" s="7"/>
    </row>
    <row r="76" spans="2:22" s="3" customFormat="1" ht="39.950000000000003" hidden="1" customHeight="1">
      <c r="B76" s="129" t="str">
        <f>IF(NOMENCLATURE_GEN!B76="","",NOMENCLATURE_GEN!B76)</f>
        <v>SUP</v>
      </c>
      <c r="C76" s="243" t="str">
        <f>IF(NOMENCLATURE_GEN!C76="","",NOMENCLATURE_GEN!C76)</f>
        <v/>
      </c>
      <c r="D76" s="4">
        <f>IF(NOMENCLATURE_GEN!D76="","",NOMENCLATURE_GEN!D76)</f>
        <v>159</v>
      </c>
      <c r="E76" s="4" t="str">
        <f ca="1">IF(NOMENCLATURE_GEN!E76="","",NOMENCLATURE_GEN!E76)</f>
        <v>A</v>
      </c>
      <c r="F76" s="4" t="str">
        <f>IF(NOMENCLATURE_GEN!F76="","",NOMENCLATURE_GEN!F76)</f>
        <v>GLT</v>
      </c>
      <c r="G76" s="310" t="str">
        <f>IF(NOMENCLATURE_GEN!G76="","",NOMENCLATURE_GEN!G76)</f>
        <v>Goulotte de reprise des légers de la table FM150</v>
      </c>
      <c r="H76" s="4" t="str">
        <f>IF(NOMENCLATURE_GEN!H76="","",NOMENCLATURE_GEN!H76)</f>
        <v/>
      </c>
      <c r="I76" s="4" t="str">
        <f>IF(NOMENCLATURE_GEN!I76="","",NOMENCLATURE_GEN!I76)</f>
        <v/>
      </c>
      <c r="J76" s="130" t="str">
        <f>IF(NOMENCLATURE_GEN!J76="","",NOMENCLATURE_GEN!J76)</f>
        <v/>
      </c>
      <c r="K76" s="158" t="str">
        <f>IF(Motorisation!L76="","",Motorisation!L76)</f>
        <v>K57</v>
      </c>
      <c r="L76" s="159" t="str">
        <f>IF(NOMENCLATURE_GEN!R76="","",NOMENCLATURE_GEN!R76)</f>
        <v>-</v>
      </c>
      <c r="M76" s="164" t="str">
        <f>IF(NOMENCLATURE_GEN!L76="","",NOMENCLATURE_GEN!L76)</f>
        <v>NON</v>
      </c>
      <c r="N76" s="161"/>
      <c r="O76" s="14"/>
      <c r="P76" s="14"/>
      <c r="Q76" s="14"/>
      <c r="R76" s="14"/>
      <c r="S76" s="16"/>
      <c r="T76" s="16"/>
      <c r="U76" s="17"/>
      <c r="V76" s="7"/>
    </row>
    <row r="77" spans="2:22" s="3" customFormat="1" ht="39.950000000000003" customHeight="1">
      <c r="B77" s="129" t="str">
        <f>IF(NOMENCLATURE_GEN!B77="","",NOMENCLATURE_GEN!B77)</f>
        <v/>
      </c>
      <c r="C77" s="243" t="str">
        <f>IF(NOMENCLATURE_GEN!C77="","",NOMENCLATURE_GEN!C77)</f>
        <v/>
      </c>
      <c r="D77" s="4">
        <f>IF(NOMENCLATURE_GEN!D77="","",NOMENCLATURE_GEN!D77)</f>
        <v>160</v>
      </c>
      <c r="E77" s="4" t="str">
        <f ca="1">IF(NOMENCLATURE_GEN!E77="","",NOMENCLATURE_GEN!E77)</f>
        <v>A</v>
      </c>
      <c r="F77" s="4" t="str">
        <f>IF(NOMENCLATURE_GEN!F77="","",NOMENCLATURE_GEN!F77)</f>
        <v>TBE</v>
      </c>
      <c r="G77" s="310" t="str">
        <f>IF(NOMENCLATURE_GEN!G77="","",NOMENCLATURE_GEN!G77)</f>
        <v>Convoyeur double sens de remplissage de la benne FFOM</v>
      </c>
      <c r="H77" s="4">
        <f>IF(NOMENCLATURE_GEN!H77="","",NOMENCLATURE_GEN!H77)</f>
        <v>800</v>
      </c>
      <c r="I77" s="4">
        <f>IF(NOMENCLATURE_GEN!I77="","",NOMENCLATURE_GEN!I77)</f>
        <v>5000</v>
      </c>
      <c r="J77" s="130">
        <f>IF(NOMENCLATURE_GEN!J77="","",NOMENCLATURE_GEN!J77)</f>
        <v>0</v>
      </c>
      <c r="K77" s="158" t="str">
        <f>IF(Motorisation!L77="","",Motorisation!L77)</f>
        <v>MGFAT4</v>
      </c>
      <c r="L77" s="159" t="str">
        <f>IF(NOMENCLATURE_GEN!R77="","",NOMENCLATURE_GEN!R77)</f>
        <v>Tete</v>
      </c>
      <c r="M77" s="164" t="str">
        <f>IF(NOMENCLATURE_GEN!L77="","",NOMENCLATURE_GEN!L77)</f>
        <v>NON</v>
      </c>
      <c r="N77" s="160" t="s">
        <v>720</v>
      </c>
      <c r="O77" s="13" t="s">
        <v>722</v>
      </c>
      <c r="P77" s="14"/>
      <c r="Q77" s="14"/>
      <c r="R77" s="14"/>
      <c r="S77" s="16"/>
      <c r="T77" s="16"/>
      <c r="U77" s="17"/>
      <c r="V77" s="7"/>
    </row>
    <row r="78" spans="2:22" s="3" customFormat="1" ht="39.950000000000003" hidden="1" customHeight="1">
      <c r="B78" s="129" t="str">
        <f>IF(NOMENCLATURE_GEN!B78="","",NOMENCLATURE_GEN!B78)</f>
        <v/>
      </c>
      <c r="C78" s="243" t="str">
        <f>IF(NOMENCLATURE_GEN!C78="","",NOMENCLATURE_GEN!C78)</f>
        <v/>
      </c>
      <c r="D78" s="4">
        <f>IF(NOMENCLATURE_GEN!D78="","",NOMENCLATURE_GEN!D78)</f>
        <v>161</v>
      </c>
      <c r="E78" s="4" t="str">
        <f ca="1">IF(NOMENCLATURE_GEN!E78="","",NOMENCLATURE_GEN!E78)</f>
        <v>A</v>
      </c>
      <c r="F78" s="4" t="str">
        <f>IF(NOMENCLATURE_GEN!F78="","",NOMENCLATURE_GEN!F78)</f>
        <v>NAV</v>
      </c>
      <c r="G78" s="310" t="str">
        <f>IF(NOMENCLATURE_GEN!G78="","",NOMENCLATURE_GEN!G78)</f>
        <v>Système navette pour convoyeur double sens</v>
      </c>
      <c r="H78" s="4" t="str">
        <f>IF(NOMENCLATURE_GEN!H78="","",NOMENCLATURE_GEN!H78)</f>
        <v/>
      </c>
      <c r="I78" s="4" t="str">
        <f>IF(NOMENCLATURE_GEN!I78="","",NOMENCLATURE_GEN!I78)</f>
        <v/>
      </c>
      <c r="J78" s="130" t="str">
        <f>IF(NOMENCLATURE_GEN!J78="","",NOMENCLATURE_GEN!J78)</f>
        <v/>
      </c>
      <c r="K78" s="158" t="str">
        <f>IF(Motorisation!L78="","",Motorisation!L78)</f>
        <v>K57</v>
      </c>
      <c r="L78" s="159" t="str">
        <f>IF(NOMENCLATURE_GEN!R78="","",NOMENCLATURE_GEN!R78)</f>
        <v>-</v>
      </c>
      <c r="M78" s="164" t="str">
        <f>IF(NOMENCLATURE_GEN!L78="","",NOMENCLATURE_GEN!L78)</f>
        <v>NON</v>
      </c>
      <c r="N78" s="161"/>
      <c r="O78" s="14"/>
      <c r="P78" s="14"/>
      <c r="Q78" s="14"/>
      <c r="R78" s="14"/>
      <c r="S78" s="16"/>
      <c r="T78" s="16"/>
      <c r="U78" s="17"/>
      <c r="V78" s="7"/>
    </row>
    <row r="79" spans="2:22" s="3" customFormat="1" ht="39.950000000000003" customHeight="1">
      <c r="B79" s="129" t="str">
        <f>IF(NOMENCLATURE_GEN!B79="","",NOMENCLATURE_GEN!B79)</f>
        <v/>
      </c>
      <c r="C79" s="243" t="str">
        <f>IF(NOMENCLATURE_GEN!C79="","",NOMENCLATURE_GEN!C79)</f>
        <v/>
      </c>
      <c r="D79" s="4">
        <f>IF(NOMENCLATURE_GEN!D79="","",NOMENCLATURE_GEN!D79)</f>
        <v>162</v>
      </c>
      <c r="E79" s="4" t="str">
        <f ca="1">IF(NOMENCLATURE_GEN!E79="","",NOMENCLATURE_GEN!E79)</f>
        <v>A</v>
      </c>
      <c r="F79" s="4" t="str">
        <f>IF(NOMENCLATURE_GEN!F79="","",NOMENCLATURE_GEN!F79)</f>
        <v>TBE</v>
      </c>
      <c r="G79" s="310" t="str">
        <f>IF(NOMENCLATURE_GEN!G79="","",NOMENCLATURE_GEN!G79)</f>
        <v>Convoyeur de reprise des aciers 0-30 et &gt; 180mm</v>
      </c>
      <c r="H79" s="4">
        <f>IF(NOMENCLATURE_GEN!H79="","",NOMENCLATURE_GEN!H79)</f>
        <v>1000</v>
      </c>
      <c r="I79" s="4">
        <f>IF(NOMENCLATURE_GEN!I79="","",NOMENCLATURE_GEN!I79)</f>
        <v>15500</v>
      </c>
      <c r="J79" s="130">
        <f>IF(NOMENCLATURE_GEN!J79="","",NOMENCLATURE_GEN!J79)</f>
        <v>0</v>
      </c>
      <c r="K79" s="158" t="str">
        <f>IF(Motorisation!L79="","",Motorisation!L79)</f>
        <v>KA 57</v>
      </c>
      <c r="L79" s="159" t="str">
        <f>IF(NOMENCLATURE_GEN!R79="","",NOMENCLATURE_GEN!R79)</f>
        <v>Tete</v>
      </c>
      <c r="M79" s="164" t="str">
        <f>IF(NOMENCLATURE_GEN!L79="","",NOMENCLATURE_GEN!L79)</f>
        <v>NON</v>
      </c>
      <c r="N79" s="160" t="s">
        <v>723</v>
      </c>
      <c r="O79" s="13" t="s">
        <v>724</v>
      </c>
      <c r="P79" s="14"/>
      <c r="Q79" s="14"/>
      <c r="R79" s="14"/>
      <c r="S79" s="16"/>
      <c r="T79" s="16"/>
      <c r="U79" s="17"/>
      <c r="V79" s="7"/>
    </row>
    <row r="80" spans="2:22" s="3" customFormat="1" ht="39.950000000000003" customHeight="1">
      <c r="B80" s="129" t="str">
        <f>IF(NOMENCLATURE_GEN!B80="","",NOMENCLATURE_GEN!B80)</f>
        <v/>
      </c>
      <c r="C80" s="243" t="str">
        <f>IF(NOMENCLATURE_GEN!C80="","",NOMENCLATURE_GEN!C80)</f>
        <v/>
      </c>
      <c r="D80" s="4">
        <f>IF(NOMENCLATURE_GEN!D80="","",NOMENCLATURE_GEN!D80)</f>
        <v>163</v>
      </c>
      <c r="E80" s="4" t="str">
        <f ca="1">IF(NOMENCLATURE_GEN!E80="","",NOMENCLATURE_GEN!E80)</f>
        <v>A</v>
      </c>
      <c r="F80" s="4" t="str">
        <f>IF(NOMENCLATURE_GEN!F80="","",NOMENCLATURE_GEN!F80)</f>
        <v>TBE</v>
      </c>
      <c r="G80" s="310" t="str">
        <f>IF(NOMENCLATURE_GEN!G80="","",NOMENCLATURE_GEN!G80)</f>
        <v>Convoyeur de centralisation des aciers</v>
      </c>
      <c r="H80" s="4">
        <f>IF(NOMENCLATURE_GEN!H80="","",NOMENCLATURE_GEN!H80)</f>
        <v>1000</v>
      </c>
      <c r="I80" s="4">
        <f>IF(NOMENCLATURE_GEN!I80="","",NOMENCLATURE_GEN!I80)</f>
        <v>4000</v>
      </c>
      <c r="J80" s="130">
        <f>IF(NOMENCLATURE_GEN!J80="","",NOMENCLATURE_GEN!J80)</f>
        <v>15</v>
      </c>
      <c r="K80" s="158" t="str">
        <f>IF(Motorisation!L80="","",Motorisation!L80)</f>
        <v>KA 57</v>
      </c>
      <c r="L80" s="159" t="str">
        <f>IF(NOMENCLATURE_GEN!R80="","",NOMENCLATURE_GEN!R80)</f>
        <v>Tete</v>
      </c>
      <c r="M80" s="164" t="str">
        <f>IF(NOMENCLATURE_GEN!L80="","",NOMENCLATURE_GEN!L80)</f>
        <v>NON</v>
      </c>
      <c r="N80" s="160" t="s">
        <v>723</v>
      </c>
      <c r="O80" s="13" t="s">
        <v>724</v>
      </c>
      <c r="P80" s="14"/>
      <c r="Q80" s="14"/>
      <c r="R80" s="14"/>
      <c r="S80" s="16"/>
      <c r="T80" s="16"/>
      <c r="U80" s="17"/>
      <c r="V80" s="7"/>
    </row>
    <row r="81" spans="2:22" s="3" customFormat="1" ht="39.950000000000003" customHeight="1">
      <c r="B81" s="129" t="str">
        <f>IF(NOMENCLATURE_GEN!B81="","",NOMENCLATURE_GEN!B81)</f>
        <v/>
      </c>
      <c r="C81" s="243" t="str">
        <f>IF(NOMENCLATURE_GEN!C81="","",NOMENCLATURE_GEN!C81)</f>
        <v/>
      </c>
      <c r="D81" s="4">
        <f>IF(NOMENCLATURE_GEN!D81="","",NOMENCLATURE_GEN!D81)</f>
        <v>164</v>
      </c>
      <c r="E81" s="4" t="str">
        <f ca="1">IF(NOMENCLATURE_GEN!E81="","",NOMENCLATURE_GEN!E81)</f>
        <v>A</v>
      </c>
      <c r="F81" s="4" t="str">
        <f>IF(NOMENCLATURE_GEN!F81="","",NOMENCLATURE_GEN!F81)</f>
        <v>TBE</v>
      </c>
      <c r="G81" s="310" t="str">
        <f>IF(NOMENCLATURE_GEN!G81="","",NOMENCLATURE_GEN!G81)</f>
        <v>Convoyeur de transfert des aciers vers benne</v>
      </c>
      <c r="H81" s="4">
        <f>IF(NOMENCLATURE_GEN!H81="","",NOMENCLATURE_GEN!H81)</f>
        <v>1000</v>
      </c>
      <c r="I81" s="4">
        <f>IF(NOMENCLATURE_GEN!I81="","",NOMENCLATURE_GEN!I81)</f>
        <v>11500</v>
      </c>
      <c r="J81" s="130">
        <f>IF(NOMENCLATURE_GEN!J81="","",NOMENCLATURE_GEN!J81)</f>
        <v>25</v>
      </c>
      <c r="K81" s="158" t="str">
        <f>IF(Motorisation!L81="","",Motorisation!L81)</f>
        <v>KA 57</v>
      </c>
      <c r="L81" s="159" t="str">
        <f>IF(NOMENCLATURE_GEN!R81="","",NOMENCLATURE_GEN!R81)</f>
        <v>Tete</v>
      </c>
      <c r="M81" s="164" t="str">
        <f>IF(NOMENCLATURE_GEN!L81="","",NOMENCLATURE_GEN!L81)</f>
        <v>NON</v>
      </c>
      <c r="N81" s="160" t="s">
        <v>723</v>
      </c>
      <c r="O81" s="13" t="s">
        <v>724</v>
      </c>
      <c r="P81" s="14"/>
      <c r="Q81" s="14"/>
      <c r="R81" s="14"/>
      <c r="S81" s="16"/>
      <c r="T81" s="16"/>
      <c r="U81" s="17"/>
      <c r="V81" s="7"/>
    </row>
    <row r="82" spans="2:22" s="3" customFormat="1" ht="39.950000000000003" customHeight="1">
      <c r="B82" s="129" t="str">
        <f>IF(NOMENCLATURE_GEN!B82="","",NOMENCLATURE_GEN!B82)</f>
        <v/>
      </c>
      <c r="C82" s="243" t="str">
        <f>IF(NOMENCLATURE_GEN!C82="","",NOMENCLATURE_GEN!C82)</f>
        <v/>
      </c>
      <c r="D82" s="4">
        <f>IF(NOMENCLATURE_GEN!D82="","",NOMENCLATURE_GEN!D82)</f>
        <v>165</v>
      </c>
      <c r="E82" s="4" t="str">
        <f ca="1">IF(NOMENCLATURE_GEN!E82="","",NOMENCLATURE_GEN!E82)</f>
        <v>A</v>
      </c>
      <c r="F82" s="4" t="str">
        <f>IF(NOMENCLATURE_GEN!F82="","",NOMENCLATURE_GEN!F82)</f>
        <v>TBE</v>
      </c>
      <c r="G82" s="310" t="str">
        <f>IF(NOMENCLATURE_GEN!G82="","",NOMENCLATURE_GEN!G82)</f>
        <v>Convoyeur navette double sens de remplissage de la benne acier</v>
      </c>
      <c r="H82" s="4">
        <f>IF(NOMENCLATURE_GEN!H82="","",NOMENCLATURE_GEN!H82)</f>
        <v>1000</v>
      </c>
      <c r="I82" s="4">
        <f>IF(NOMENCLATURE_GEN!I82="","",NOMENCLATURE_GEN!I82)</f>
        <v>3000</v>
      </c>
      <c r="J82" s="130">
        <f>IF(NOMENCLATURE_GEN!J82="","",NOMENCLATURE_GEN!J82)</f>
        <v>0</v>
      </c>
      <c r="K82" s="158" t="str">
        <f>IF(Motorisation!L82="","",Motorisation!L82)</f>
        <v>KA 57</v>
      </c>
      <c r="L82" s="159" t="str">
        <f>IF(NOMENCLATURE_GEN!R82="","",NOMENCLATURE_GEN!R82)</f>
        <v>Tete</v>
      </c>
      <c r="M82" s="164" t="str">
        <f>IF(NOMENCLATURE_GEN!L82="","",NOMENCLATURE_GEN!L82)</f>
        <v>NON</v>
      </c>
      <c r="N82" s="160" t="s">
        <v>723</v>
      </c>
      <c r="O82" s="13" t="s">
        <v>724</v>
      </c>
      <c r="P82" s="14"/>
      <c r="Q82" s="14"/>
      <c r="R82" s="14"/>
      <c r="S82" s="16"/>
      <c r="T82" s="16"/>
      <c r="U82" s="17"/>
      <c r="V82" s="7"/>
    </row>
    <row r="83" spans="2:22" s="3" customFormat="1" ht="39.950000000000003" hidden="1" customHeight="1">
      <c r="B83" s="129" t="str">
        <f>IF(NOMENCLATURE_GEN!B83="","",NOMENCLATURE_GEN!B83)</f>
        <v/>
      </c>
      <c r="C83" s="243" t="str">
        <f>IF(NOMENCLATURE_GEN!C83="","",NOMENCLATURE_GEN!C83)</f>
        <v/>
      </c>
      <c r="D83" s="4">
        <f>IF(NOMENCLATURE_GEN!D83="","",NOMENCLATURE_GEN!D83)</f>
        <v>166</v>
      </c>
      <c r="E83" s="4" t="str">
        <f ca="1">IF(NOMENCLATURE_GEN!E83="","",NOMENCLATURE_GEN!E83)</f>
        <v>A</v>
      </c>
      <c r="F83" s="4" t="str">
        <f>IF(NOMENCLATURE_GEN!F83="","",NOMENCLATURE_GEN!F83)</f>
        <v>CYC</v>
      </c>
      <c r="G83" s="310" t="str">
        <f>IF(NOMENCLATURE_GEN!G83="","",NOMENCLATURE_GEN!G83)</f>
        <v>Cyclone &amp; écluse pour table densimétrique  - Ventilateur</v>
      </c>
      <c r="H83" s="4" t="str">
        <f>IF(NOMENCLATURE_GEN!H83="","",NOMENCLATURE_GEN!H83)</f>
        <v/>
      </c>
      <c r="I83" s="4" t="str">
        <f>IF(NOMENCLATURE_GEN!I83="","",NOMENCLATURE_GEN!I83)</f>
        <v/>
      </c>
      <c r="J83" s="130" t="str">
        <f>IF(NOMENCLATURE_GEN!J83="","",NOMENCLATURE_GEN!J83)</f>
        <v/>
      </c>
      <c r="K83" s="158" t="str">
        <f>IF(Motorisation!L83="","",Motorisation!L83)</f>
        <v>K57</v>
      </c>
      <c r="L83" s="159" t="str">
        <f>IF(NOMENCLATURE_GEN!R83="","",NOMENCLATURE_GEN!R83)</f>
        <v>-</v>
      </c>
      <c r="M83" s="164" t="str">
        <f>IF(NOMENCLATURE_GEN!L83="","",NOMENCLATURE_GEN!L83)</f>
        <v>NON</v>
      </c>
      <c r="N83" s="161"/>
      <c r="O83" s="14"/>
      <c r="P83" s="14"/>
      <c r="Q83" s="14"/>
      <c r="R83" s="14"/>
      <c r="S83" s="16"/>
      <c r="T83" s="16"/>
      <c r="U83" s="17"/>
      <c r="V83" s="7"/>
    </row>
    <row r="84" spans="2:22" s="3" customFormat="1" ht="39.950000000000003" hidden="1" customHeight="1">
      <c r="B84" s="129" t="str">
        <f>IF(NOMENCLATURE_GEN!B84="","",NOMENCLATURE_GEN!B84)</f>
        <v/>
      </c>
      <c r="C84" s="243" t="str">
        <f>IF(NOMENCLATURE_GEN!C84="","",NOMENCLATURE_GEN!C84)</f>
        <v/>
      </c>
      <c r="D84" s="4">
        <f>IF(NOMENCLATURE_GEN!D84="","",NOMENCLATURE_GEN!D84)</f>
        <v>166</v>
      </c>
      <c r="E84" s="4" t="str">
        <f ca="1">IF(NOMENCLATURE_GEN!E84="","",NOMENCLATURE_GEN!E84)</f>
        <v>B</v>
      </c>
      <c r="F84" s="4" t="str">
        <f>IF(NOMENCLATURE_GEN!F84="","",NOMENCLATURE_GEN!F84)</f>
        <v>CYC</v>
      </c>
      <c r="G84" s="310" t="str">
        <f>IF(NOMENCLATURE_GEN!G84="","",NOMENCLATURE_GEN!G84)</f>
        <v>Cyclone &amp; écluse pour table densimétrique - Ecluse</v>
      </c>
      <c r="H84" s="4" t="str">
        <f>IF(NOMENCLATURE_GEN!H84="","",NOMENCLATURE_GEN!H84)</f>
        <v/>
      </c>
      <c r="I84" s="4" t="str">
        <f>IF(NOMENCLATURE_GEN!I84="","",NOMENCLATURE_GEN!I84)</f>
        <v/>
      </c>
      <c r="J84" s="130" t="str">
        <f>IF(NOMENCLATURE_GEN!J84="","",NOMENCLATURE_GEN!J84)</f>
        <v/>
      </c>
      <c r="K84" s="158" t="str">
        <f>IF(Motorisation!L84="","",Motorisation!L84)</f>
        <v>K57</v>
      </c>
      <c r="L84" s="159" t="str">
        <f>IF(NOMENCLATURE_GEN!R84="","",NOMENCLATURE_GEN!R84)</f>
        <v>-</v>
      </c>
      <c r="M84" s="164" t="str">
        <f>IF(NOMENCLATURE_GEN!L84="","",NOMENCLATURE_GEN!L84)</f>
        <v>NON</v>
      </c>
      <c r="N84" s="161"/>
      <c r="O84" s="14"/>
      <c r="P84" s="14"/>
      <c r="Q84" s="14"/>
      <c r="R84" s="14"/>
      <c r="S84" s="16"/>
      <c r="T84" s="16"/>
      <c r="U84" s="17"/>
      <c r="V84" s="7"/>
    </row>
    <row r="85" spans="2:22" s="3" customFormat="1" ht="39.950000000000003" hidden="1" customHeight="1">
      <c r="B85" s="129" t="str">
        <f>IF(NOMENCLATURE_GEN!B85="","",NOMENCLATURE_GEN!B85)</f>
        <v/>
      </c>
      <c r="C85" s="243" t="str">
        <f>IF(NOMENCLATURE_GEN!C85="","",NOMENCLATURE_GEN!C85)</f>
        <v/>
      </c>
      <c r="D85" s="4">
        <f>IF(NOMENCLATURE_GEN!D85="","",NOMENCLATURE_GEN!D85)</f>
        <v>166</v>
      </c>
      <c r="E85" s="4" t="str">
        <f ca="1">IF(NOMENCLATURE_GEN!E85="","",NOMENCLATURE_GEN!E85)</f>
        <v>C</v>
      </c>
      <c r="F85" s="4" t="str">
        <f>IF(NOMENCLATURE_GEN!F85="","",NOMENCLATURE_GEN!F85)</f>
        <v>CYC</v>
      </c>
      <c r="G85" s="310" t="str">
        <f>IF(NOMENCLATURE_GEN!G85="","",NOMENCLATURE_GEN!G85)</f>
        <v>Cyclone &amp; écluse pour table densimétrique - Clapet motorisé</v>
      </c>
      <c r="H85" s="4" t="str">
        <f>IF(NOMENCLATURE_GEN!H85="","",NOMENCLATURE_GEN!H85)</f>
        <v/>
      </c>
      <c r="I85" s="4" t="str">
        <f>IF(NOMENCLATURE_GEN!I85="","",NOMENCLATURE_GEN!I85)</f>
        <v/>
      </c>
      <c r="J85" s="130" t="str">
        <f>IF(NOMENCLATURE_GEN!J85="","",NOMENCLATURE_GEN!J85)</f>
        <v/>
      </c>
      <c r="K85" s="158" t="str">
        <f>IF(Motorisation!L85="","",Motorisation!L85)</f>
        <v>K57</v>
      </c>
      <c r="L85" s="159" t="str">
        <f>IF(NOMENCLATURE_GEN!R85="","",NOMENCLATURE_GEN!R85)</f>
        <v>-</v>
      </c>
      <c r="M85" s="164" t="str">
        <f>IF(NOMENCLATURE_GEN!L85="","",NOMENCLATURE_GEN!L85)</f>
        <v>NON</v>
      </c>
      <c r="N85" s="161"/>
      <c r="O85" s="14"/>
      <c r="P85" s="14"/>
      <c r="Q85" s="14"/>
      <c r="R85" s="14"/>
      <c r="S85" s="16"/>
      <c r="T85" s="16"/>
      <c r="U85" s="17"/>
      <c r="V85" s="7"/>
    </row>
    <row r="86" spans="2:22" s="3" customFormat="1" ht="39.950000000000003" hidden="1" customHeight="1">
      <c r="B86" s="129" t="str">
        <f>IF(NOMENCLATURE_GEN!B86="","",NOMENCLATURE_GEN!B86)</f>
        <v/>
      </c>
      <c r="C86" s="243" t="str">
        <f>IF(NOMENCLATURE_GEN!C86="","",NOMENCLATURE_GEN!C86)</f>
        <v/>
      </c>
      <c r="D86" s="4">
        <f>IF(NOMENCLATURE_GEN!D86="","",NOMENCLATURE_GEN!D86)</f>
        <v>167</v>
      </c>
      <c r="E86" s="4" t="str">
        <f ca="1">IF(NOMENCLATURE_GEN!E86="","",NOMENCLATURE_GEN!E86)</f>
        <v>A</v>
      </c>
      <c r="F86" s="4" t="str">
        <f>IF(NOMENCLATURE_GEN!F86="","",NOMENCLATURE_GEN!F86)</f>
        <v>HYD</v>
      </c>
      <c r="G86" s="310" t="str">
        <f>IF(NOMENCLATURE_GEN!G86="","",NOMENCLATURE_GEN!G86)</f>
        <v>Centrale hydraulique de pilotage des FMA</v>
      </c>
      <c r="H86" s="4" t="str">
        <f>IF(NOMENCLATURE_GEN!H86="","",NOMENCLATURE_GEN!H86)</f>
        <v/>
      </c>
      <c r="I86" s="4" t="str">
        <f>IF(NOMENCLATURE_GEN!I86="","",NOMENCLATURE_GEN!I86)</f>
        <v/>
      </c>
      <c r="J86" s="130" t="str">
        <f>IF(NOMENCLATURE_GEN!J86="","",NOMENCLATURE_GEN!J86)</f>
        <v/>
      </c>
      <c r="K86" s="158" t="str">
        <f>IF(Motorisation!L86="","",Motorisation!L86)</f>
        <v>K57</v>
      </c>
      <c r="L86" s="159" t="str">
        <f>IF(NOMENCLATURE_GEN!R86="","",NOMENCLATURE_GEN!R86)</f>
        <v>-</v>
      </c>
      <c r="M86" s="164" t="str">
        <f>IF(NOMENCLATURE_GEN!L86="","",NOMENCLATURE_GEN!L86)</f>
        <v>NON</v>
      </c>
      <c r="N86" s="161"/>
      <c r="O86" s="14"/>
      <c r="P86" s="14"/>
      <c r="Q86" s="14"/>
      <c r="R86" s="14"/>
      <c r="S86" s="16"/>
      <c r="T86" s="16"/>
      <c r="U86" s="17"/>
      <c r="V86" s="7"/>
    </row>
    <row r="87" spans="2:22" s="3" customFormat="1" ht="39.950000000000003" hidden="1" customHeight="1">
      <c r="B87" s="129" t="str">
        <f>IF(NOMENCLATURE_GEN!B87="","",NOMENCLATURE_GEN!B87)</f>
        <v>SUP</v>
      </c>
      <c r="C87" s="243" t="str">
        <f>IF(NOMENCLATURE_GEN!C87="","",NOMENCLATURE_GEN!C87)</f>
        <v/>
      </c>
      <c r="D87" s="4">
        <f>IF(NOMENCLATURE_GEN!D87="","",NOMENCLATURE_GEN!D87)</f>
        <v>168</v>
      </c>
      <c r="E87" s="4" t="str">
        <f ca="1">IF(NOMENCLATURE_GEN!E87="","",NOMENCLATURE_GEN!E87)</f>
        <v>A</v>
      </c>
      <c r="F87" s="4" t="str">
        <f>IF(NOMENCLATURE_GEN!F87="","",NOMENCLATURE_GEN!F87)</f>
        <v>FMA</v>
      </c>
      <c r="G87" s="310" t="str">
        <f>IF(NOMENCLATURE_GEN!G87="","",NOMENCLATURE_GEN!G87)</f>
        <v>Guide roue des FMA</v>
      </c>
      <c r="H87" s="4" t="str">
        <f>IF(NOMENCLATURE_GEN!H87="","",NOMENCLATURE_GEN!H87)</f>
        <v/>
      </c>
      <c r="I87" s="4" t="str">
        <f>IF(NOMENCLATURE_GEN!I87="","",NOMENCLATURE_GEN!I87)</f>
        <v/>
      </c>
      <c r="J87" s="130" t="str">
        <f>IF(NOMENCLATURE_GEN!J87="","",NOMENCLATURE_GEN!J87)</f>
        <v/>
      </c>
      <c r="K87" s="158" t="str">
        <f>IF(Motorisation!L87="","",Motorisation!L87)</f>
        <v>K57</v>
      </c>
      <c r="L87" s="159" t="str">
        <f>IF(NOMENCLATURE_GEN!R87="","",NOMENCLATURE_GEN!R87)</f>
        <v>-</v>
      </c>
      <c r="M87" s="164" t="str">
        <f>IF(NOMENCLATURE_GEN!L87="","",NOMENCLATURE_GEN!L87)</f>
        <v>NON</v>
      </c>
      <c r="N87" s="161"/>
      <c r="O87" s="14"/>
      <c r="P87" s="14"/>
      <c r="Q87" s="14"/>
      <c r="R87" s="14"/>
      <c r="S87" s="16"/>
      <c r="T87" s="16"/>
      <c r="U87" s="17"/>
      <c r="V87" s="7"/>
    </row>
    <row r="88" spans="2:22" s="3" customFormat="1" ht="39.950000000000003" hidden="1" customHeight="1">
      <c r="B88" s="129" t="str">
        <f>IF(NOMENCLATURE_GEN!B88="","",NOMENCLATURE_GEN!B88)</f>
        <v>SUP</v>
      </c>
      <c r="C88" s="243" t="str">
        <f>IF(NOMENCLATURE_GEN!C88="","",NOMENCLATURE_GEN!C88)</f>
        <v/>
      </c>
      <c r="D88" s="4">
        <f>IF(NOMENCLATURE_GEN!D88="","",NOMENCLATURE_GEN!D88)</f>
        <v>169</v>
      </c>
      <c r="E88" s="4" t="str">
        <f ca="1">IF(NOMENCLATURE_GEN!E88="","",NOMENCLATURE_GEN!E88)</f>
        <v>A</v>
      </c>
      <c r="F88" s="4" t="str">
        <f>IF(NOMENCLATURE_GEN!F88="","",NOMENCLATURE_GEN!F88)</f>
        <v>FMA</v>
      </c>
      <c r="G88" s="310" t="str">
        <f>IF(NOMENCLATURE_GEN!G88="","",NOMENCLATURE_GEN!G88)</f>
        <v>Bloc roue des FMA</v>
      </c>
      <c r="H88" s="4" t="str">
        <f>IF(NOMENCLATURE_GEN!H88="","",NOMENCLATURE_GEN!H88)</f>
        <v/>
      </c>
      <c r="I88" s="4" t="str">
        <f>IF(NOMENCLATURE_GEN!I88="","",NOMENCLATURE_GEN!I88)</f>
        <v/>
      </c>
      <c r="J88" s="130" t="str">
        <f>IF(NOMENCLATURE_GEN!J88="","",NOMENCLATURE_GEN!J88)</f>
        <v/>
      </c>
      <c r="K88" s="158" t="str">
        <f>IF(Motorisation!L88="","",Motorisation!L88)</f>
        <v>K57</v>
      </c>
      <c r="L88" s="159" t="str">
        <f>IF(NOMENCLATURE_GEN!R88="","",NOMENCLATURE_GEN!R88)</f>
        <v>-</v>
      </c>
      <c r="M88" s="164" t="str">
        <f>IF(NOMENCLATURE_GEN!L88="","",NOMENCLATURE_GEN!L88)</f>
        <v>NON</v>
      </c>
      <c r="N88" s="161"/>
      <c r="O88" s="14"/>
      <c r="P88" s="14"/>
      <c r="Q88" s="14"/>
      <c r="R88" s="14"/>
      <c r="S88" s="16"/>
      <c r="T88" s="16"/>
      <c r="U88" s="17"/>
      <c r="V88" s="7"/>
    </row>
    <row r="89" spans="2:22" s="3" customFormat="1" ht="39.950000000000003" hidden="1" customHeight="1">
      <c r="B89" s="129" t="str">
        <f>IF(NOMENCLATURE_GEN!B89="","",NOMENCLATURE_GEN!B89)</f>
        <v/>
      </c>
      <c r="C89" s="243" t="str">
        <f>IF(NOMENCLATURE_GEN!C89="","",NOMENCLATURE_GEN!C89)</f>
        <v/>
      </c>
      <c r="D89" s="4">
        <f>IF(NOMENCLATURE_GEN!D89="","",NOMENCLATURE_GEN!D89)</f>
        <v>170</v>
      </c>
      <c r="E89" s="4" t="str">
        <f ca="1">IF(NOMENCLATURE_GEN!E89="","",NOMENCLATURE_GEN!E89)</f>
        <v>A</v>
      </c>
      <c r="F89" s="4" t="str">
        <f>IF(NOMENCLATURE_GEN!F89="","",NOMENCLATURE_GEN!F89)</f>
        <v>COM</v>
      </c>
      <c r="G89" s="310" t="str">
        <f>IF(NOMENCLATURE_GEN!G89="","",NOMENCLATURE_GEN!G89)</f>
        <v>Compresseur + sécheur pour nettoyage trommel</v>
      </c>
      <c r="H89" s="4" t="str">
        <f>IF(NOMENCLATURE_GEN!H89="","",NOMENCLATURE_GEN!H89)</f>
        <v/>
      </c>
      <c r="I89" s="4" t="str">
        <f>IF(NOMENCLATURE_GEN!I89="","",NOMENCLATURE_GEN!I89)</f>
        <v/>
      </c>
      <c r="J89" s="130" t="str">
        <f>IF(NOMENCLATURE_GEN!J89="","",NOMENCLATURE_GEN!J89)</f>
        <v/>
      </c>
      <c r="K89" s="158" t="str">
        <f>IF(Motorisation!L89="","",Motorisation!L89)</f>
        <v>K57</v>
      </c>
      <c r="L89" s="159" t="str">
        <f>IF(NOMENCLATURE_GEN!R89="","",NOMENCLATURE_GEN!R89)</f>
        <v>-</v>
      </c>
      <c r="M89" s="164" t="str">
        <f>IF(NOMENCLATURE_GEN!L89="","",NOMENCLATURE_GEN!L89)</f>
        <v>NON</v>
      </c>
      <c r="N89" s="161"/>
      <c r="O89" s="14"/>
      <c r="P89" s="14"/>
      <c r="Q89" s="14"/>
      <c r="R89" s="14"/>
      <c r="S89" s="16"/>
      <c r="T89" s="16"/>
      <c r="U89" s="17"/>
      <c r="V89" s="7"/>
    </row>
    <row r="90" spans="2:22" s="3" customFormat="1" ht="39.950000000000003" customHeight="1">
      <c r="B90" s="129" t="str">
        <f>IF(NOMENCLATURE_GEN!B90="","",NOMENCLATURE_GEN!B90)</f>
        <v/>
      </c>
      <c r="C90" s="243" t="str">
        <f>IF(NOMENCLATURE_GEN!C90="","",NOMENCLATURE_GEN!C90)</f>
        <v/>
      </c>
      <c r="D90" s="4">
        <f>IF(NOMENCLATURE_GEN!D90="","",NOMENCLATURE_GEN!D90)</f>
        <v>172</v>
      </c>
      <c r="E90" s="4" t="str">
        <f ca="1">IF(NOMENCLATURE_GEN!E90="","",NOMENCLATURE_GEN!E90)</f>
        <v>A</v>
      </c>
      <c r="F90" s="4" t="str">
        <f>IF(NOMENCLATURE_GEN!F90="","",NOMENCLATURE_GEN!F90)</f>
        <v>CBA</v>
      </c>
      <c r="G90" s="310" t="str">
        <f>IF(NOMENCLATURE_GEN!G90="","",NOMENCLATURE_GEN!G90)</f>
        <v>Convoyeur de reprise des légers 0-8mm by-pass (tampon ou métha)</v>
      </c>
      <c r="H90" s="4">
        <f>IF(NOMENCLATURE_GEN!H90="","",NOMENCLATURE_GEN!H90)</f>
        <v>1000</v>
      </c>
      <c r="I90" s="4">
        <f>IF(NOMENCLATURE_GEN!I90="","",NOMENCLATURE_GEN!I90)</f>
        <v>18250</v>
      </c>
      <c r="J90" s="130">
        <f>IF(NOMENCLATURE_GEN!J90="","",NOMENCLATURE_GEN!J90)</f>
        <v>12</v>
      </c>
      <c r="K90" s="158" t="str">
        <f>IF(Motorisation!L90="","",Motorisation!L90)</f>
        <v>KA 77</v>
      </c>
      <c r="L90" s="159" t="str">
        <f>IF(NOMENCLATURE_GEN!R90="","",NOMENCLATURE_GEN!R90)</f>
        <v>Tete</v>
      </c>
      <c r="M90" s="164" t="str">
        <f>IF(NOMENCLATURE_GEN!L90="","",NOMENCLATURE_GEN!L90)</f>
        <v>NON</v>
      </c>
      <c r="N90" s="160" t="s">
        <v>757</v>
      </c>
      <c r="O90" s="13" t="s">
        <v>755</v>
      </c>
      <c r="P90" s="14"/>
      <c r="Q90" s="14"/>
      <c r="R90" s="14"/>
      <c r="S90" s="16"/>
      <c r="T90" s="16"/>
      <c r="U90" s="17"/>
      <c r="V90" s="7"/>
    </row>
    <row r="91" spans="2:22" s="3" customFormat="1" ht="39.950000000000003" customHeight="1">
      <c r="B91" s="129" t="str">
        <f>IF(NOMENCLATURE_GEN!B91="","",NOMENCLATURE_GEN!B91)</f>
        <v/>
      </c>
      <c r="C91" s="243" t="str">
        <f>IF(NOMENCLATURE_GEN!C91="","",NOMENCLATURE_GEN!C91)</f>
        <v/>
      </c>
      <c r="D91" s="4">
        <f>IF(NOMENCLATURE_GEN!D91="","",NOMENCLATURE_GEN!D91)</f>
        <v>173</v>
      </c>
      <c r="E91" s="4" t="str">
        <f ca="1">IF(NOMENCLATURE_GEN!E91="","",NOMENCLATURE_GEN!E91)</f>
        <v>A</v>
      </c>
      <c r="F91" s="4" t="str">
        <f>IF(NOMENCLATURE_GEN!F91="","",NOMENCLATURE_GEN!F91)</f>
        <v>CBA</v>
      </c>
      <c r="G91" s="310" t="str">
        <f>IF(NOMENCLATURE_GEN!G91="","",NOMENCLATURE_GEN!G91)</f>
        <v>Convoyeur de transfert des légers 0-8mm vers métha</v>
      </c>
      <c r="H91" s="4">
        <f>IF(NOMENCLATURE_GEN!H91="","",NOMENCLATURE_GEN!H91)</f>
        <v>1000</v>
      </c>
      <c r="I91" s="4">
        <f>IF(NOMENCLATURE_GEN!I91="","",NOMENCLATURE_GEN!I91)</f>
        <v>12750</v>
      </c>
      <c r="J91" s="130">
        <f>IF(NOMENCLATURE_GEN!J91="","",NOMENCLATURE_GEN!J91)</f>
        <v>18</v>
      </c>
      <c r="K91" s="158" t="str">
        <f>IF(Motorisation!L91="","",Motorisation!L91)</f>
        <v>KA 67</v>
      </c>
      <c r="L91" s="159" t="str">
        <f>IF(NOMENCLATURE_GEN!R91="","",NOMENCLATURE_GEN!R91)</f>
        <v>Tete</v>
      </c>
      <c r="M91" s="164" t="str">
        <f>IF(NOMENCLATURE_GEN!L91="","",NOMENCLATURE_GEN!L91)</f>
        <v>NON</v>
      </c>
      <c r="N91" s="160" t="s">
        <v>756</v>
      </c>
      <c r="O91" s="13" t="s">
        <v>755</v>
      </c>
      <c r="P91" s="14"/>
      <c r="Q91" s="14"/>
      <c r="R91" s="14"/>
      <c r="S91" s="16"/>
      <c r="T91" s="16"/>
      <c r="U91" s="17"/>
      <c r="V91" s="7"/>
    </row>
    <row r="92" spans="2:22" s="3" customFormat="1" ht="39.950000000000003" customHeight="1">
      <c r="B92" s="129" t="str">
        <f>IF(NOMENCLATURE_GEN!B92="","",NOMENCLATURE_GEN!B92)</f>
        <v/>
      </c>
      <c r="C92" s="243" t="str">
        <f>IF(NOMENCLATURE_GEN!C92="","",NOMENCLATURE_GEN!C92)</f>
        <v/>
      </c>
      <c r="D92" s="4">
        <f>IF(NOMENCLATURE_GEN!D92="","",NOMENCLATURE_GEN!D92)</f>
        <v>174</v>
      </c>
      <c r="E92" s="4" t="str">
        <f ca="1">IF(NOMENCLATURE_GEN!E92="","",NOMENCLATURE_GEN!E92)</f>
        <v>A</v>
      </c>
      <c r="F92" s="4" t="str">
        <f>IF(NOMENCLATURE_GEN!F92="","",NOMENCLATURE_GEN!F92)</f>
        <v>CBA</v>
      </c>
      <c r="G92" s="310" t="str">
        <f>IF(NOMENCLATURE_GEN!G92="","",NOMENCLATURE_GEN!G92)</f>
        <v>Convoyeur de transfert vers tampon (casier de stockage ou trémie tampon)</v>
      </c>
      <c r="H92" s="4">
        <f>IF(NOMENCLATURE_GEN!H92="","",NOMENCLATURE_GEN!H92)</f>
        <v>1000</v>
      </c>
      <c r="I92" s="4">
        <f>IF(NOMENCLATURE_GEN!I92="","",NOMENCLATURE_GEN!I92)</f>
        <v>7250</v>
      </c>
      <c r="J92" s="130">
        <f>IF(NOMENCLATURE_GEN!J92="","",NOMENCLATURE_GEN!J92)</f>
        <v>15</v>
      </c>
      <c r="K92" s="158" t="str">
        <f>IF(Motorisation!L92="","",Motorisation!L92)</f>
        <v>KA 67</v>
      </c>
      <c r="L92" s="159" t="str">
        <f>IF(NOMENCLATURE_GEN!R92="","",NOMENCLATURE_GEN!R92)</f>
        <v>Tete</v>
      </c>
      <c r="M92" s="164" t="str">
        <f>IF(NOMENCLATURE_GEN!L92="","",NOMENCLATURE_GEN!L92)</f>
        <v>NON</v>
      </c>
      <c r="N92" s="160" t="s">
        <v>756</v>
      </c>
      <c r="O92" s="13" t="s">
        <v>755</v>
      </c>
      <c r="P92" s="14"/>
      <c r="Q92" s="14"/>
      <c r="R92" s="14"/>
      <c r="S92" s="16"/>
      <c r="T92" s="16"/>
      <c r="U92" s="17"/>
      <c r="V92" s="7"/>
    </row>
    <row r="93" spans="2:22" s="3" customFormat="1" ht="39.950000000000003" hidden="1" customHeight="1">
      <c r="B93" s="129" t="str">
        <f>IF(NOMENCLATURE_GEN!B93="","",NOMENCLATURE_GEN!B93)</f>
        <v/>
      </c>
      <c r="C93" s="243" t="str">
        <f>IF(NOMENCLATURE_GEN!C93="","",NOMENCLATURE_GEN!C93)</f>
        <v/>
      </c>
      <c r="D93" s="4">
        <f>IF(NOMENCLATURE_GEN!D93="","",NOMENCLATURE_GEN!D93)</f>
        <v>175</v>
      </c>
      <c r="E93" s="4" t="str">
        <f ca="1">IF(NOMENCLATURE_GEN!E93="","",NOMENCLATURE_GEN!E93)</f>
        <v>A</v>
      </c>
      <c r="F93" s="4" t="str">
        <f>IF(NOMENCLATURE_GEN!F93="","",NOMENCLATURE_GEN!F93)</f>
        <v>GLT</v>
      </c>
      <c r="G93" s="310" t="str">
        <f>IF(NOMENCLATURE_GEN!G93="","",NOMENCLATURE_GEN!G93)</f>
        <v>Goulotte by-pass (casier ou trémie tampon)</v>
      </c>
      <c r="H93" s="4" t="str">
        <f>IF(NOMENCLATURE_GEN!H93="","",NOMENCLATURE_GEN!H93)</f>
        <v/>
      </c>
      <c r="I93" s="4" t="str">
        <f>IF(NOMENCLATURE_GEN!I93="","",NOMENCLATURE_GEN!I93)</f>
        <v/>
      </c>
      <c r="J93" s="130" t="str">
        <f>IF(NOMENCLATURE_GEN!J93="","",NOMENCLATURE_GEN!J93)</f>
        <v/>
      </c>
      <c r="K93" s="158" t="str">
        <f>IF(Motorisation!L93="","",Motorisation!L93)</f>
        <v>K57</v>
      </c>
      <c r="L93" s="159" t="str">
        <f>IF(NOMENCLATURE_GEN!R93="","",NOMENCLATURE_GEN!R93)</f>
        <v>-</v>
      </c>
      <c r="M93" s="164" t="str">
        <f>IF(NOMENCLATURE_GEN!L93="","",NOMENCLATURE_GEN!L93)</f>
        <v>NON</v>
      </c>
      <c r="N93" s="161"/>
      <c r="O93" s="14"/>
      <c r="P93" s="14"/>
      <c r="Q93" s="14"/>
      <c r="R93" s="14"/>
      <c r="S93" s="16"/>
      <c r="T93" s="16"/>
      <c r="U93" s="17"/>
      <c r="V93" s="7"/>
    </row>
    <row r="94" spans="2:22" s="3" customFormat="1" ht="39.950000000000003" hidden="1" customHeight="1">
      <c r="B94" s="129" t="str">
        <f>IF(NOMENCLATURE_GEN!B94="","",NOMENCLATURE_GEN!B94)</f>
        <v>SUP</v>
      </c>
      <c r="C94" s="243" t="str">
        <f>IF(NOMENCLATURE_GEN!C94="","",NOMENCLATURE_GEN!C94)</f>
        <v/>
      </c>
      <c r="D94" s="4">
        <f>IF(NOMENCLATURE_GEN!D94="","",NOMENCLATURE_GEN!D94)</f>
        <v>176</v>
      </c>
      <c r="E94" s="4" t="str">
        <f ca="1">IF(NOMENCLATURE_GEN!E94="","",NOMENCLATURE_GEN!E94)</f>
        <v>A</v>
      </c>
      <c r="F94" s="4" t="str">
        <f>IF(NOMENCLATURE_GEN!F94="","",NOMENCLATURE_GEN!F94)</f>
        <v>TRE</v>
      </c>
      <c r="G94" s="310" t="str">
        <f>IF(NOMENCLATURE_GEN!G94="","",NOMENCLATURE_GEN!G94)</f>
        <v>Trémie de chargement</v>
      </c>
      <c r="H94" s="4" t="str">
        <f>IF(NOMENCLATURE_GEN!H94="","",NOMENCLATURE_GEN!H94)</f>
        <v/>
      </c>
      <c r="I94" s="4" t="str">
        <f>IF(NOMENCLATURE_GEN!I94="","",NOMENCLATURE_GEN!I94)</f>
        <v/>
      </c>
      <c r="J94" s="130" t="str">
        <f>IF(NOMENCLATURE_GEN!J94="","",NOMENCLATURE_GEN!J94)</f>
        <v/>
      </c>
      <c r="K94" s="158" t="str">
        <f>IF(Motorisation!L94="","",Motorisation!L94)</f>
        <v>K57</v>
      </c>
      <c r="L94" s="159" t="str">
        <f>IF(NOMENCLATURE_GEN!R94="","",NOMENCLATURE_GEN!R94)</f>
        <v>-</v>
      </c>
      <c r="M94" s="164" t="str">
        <f>IF(NOMENCLATURE_GEN!L94="","",NOMENCLATURE_GEN!L94)</f>
        <v>NON</v>
      </c>
      <c r="N94" s="161"/>
      <c r="O94" s="14"/>
      <c r="P94" s="14"/>
      <c r="Q94" s="14"/>
      <c r="R94" s="14"/>
      <c r="S94" s="16"/>
      <c r="T94" s="16"/>
      <c r="U94" s="17"/>
      <c r="V94" s="7"/>
    </row>
    <row r="95" spans="2:22" s="3" customFormat="1" ht="39.950000000000003" hidden="1" customHeight="1">
      <c r="B95" s="129" t="str">
        <f>IF(NOMENCLATURE_GEN!B95="","",NOMENCLATURE_GEN!B95)</f>
        <v/>
      </c>
      <c r="C95" s="243" t="str">
        <f>IF(NOMENCLATURE_GEN!C95="","",NOMENCLATURE_GEN!C95)</f>
        <v/>
      </c>
      <c r="D95" s="4">
        <f>IF(NOMENCLATURE_GEN!D95="","",NOMENCLATURE_GEN!D95)</f>
        <v>177</v>
      </c>
      <c r="E95" s="4" t="str">
        <f ca="1">IF(NOMENCLATURE_GEN!E95="","",NOMENCLATURE_GEN!E95)</f>
        <v>A</v>
      </c>
      <c r="F95" s="4" t="str">
        <f>IF(NOMENCLATURE_GEN!F95="","",NOMENCLATURE_GEN!F95)</f>
        <v>EAB</v>
      </c>
      <c r="G95" s="310" t="str">
        <f>IF(NOMENCLATURE_GEN!G95="","",NOMENCLATURE_GEN!G95)</f>
        <v>Convoyeur alimentateur</v>
      </c>
      <c r="H95" s="4">
        <f>IF(NOMENCLATURE_GEN!H95="","",NOMENCLATURE_GEN!H95)</f>
        <v>1600</v>
      </c>
      <c r="I95" s="4">
        <f>IF(NOMENCLATURE_GEN!I95="","",NOMENCLATURE_GEN!I95)</f>
        <v>11500</v>
      </c>
      <c r="J95" s="130">
        <f>IF(NOMENCLATURE_GEN!J95="","",NOMENCLATURE_GEN!J95)</f>
        <v>8</v>
      </c>
      <c r="K95" s="158" t="str">
        <f>IF(Motorisation!L95="","",Motorisation!L95)</f>
        <v>KA 127</v>
      </c>
      <c r="L95" s="159" t="str">
        <f>IF(NOMENCLATURE_GEN!R95="","",NOMENCLATURE_GEN!R95)</f>
        <v>Tete</v>
      </c>
      <c r="M95" s="164" t="str">
        <f>IF(NOMENCLATURE_GEN!L95="","",NOMENCLATURE_GEN!L95)</f>
        <v>NON</v>
      </c>
      <c r="N95" s="161"/>
      <c r="O95" s="14"/>
      <c r="P95" s="14"/>
      <c r="Q95" s="14"/>
      <c r="R95" s="14"/>
      <c r="S95" s="16"/>
      <c r="T95" s="16"/>
      <c r="U95" s="17"/>
      <c r="V95" s="7"/>
    </row>
    <row r="96" spans="2:22" s="3" customFormat="1" ht="39.950000000000003" hidden="1" customHeight="1">
      <c r="B96" s="129" t="str">
        <f>IF(NOMENCLATURE_GEN!B96="","",NOMENCLATURE_GEN!B96)</f>
        <v/>
      </c>
      <c r="C96" s="243" t="str">
        <f>IF(NOMENCLATURE_GEN!C96="","",NOMENCLATURE_GEN!C96)</f>
        <v/>
      </c>
      <c r="D96" s="4">
        <f>IF(NOMENCLATURE_GEN!D96="","",NOMENCLATURE_GEN!D96)</f>
        <v>177</v>
      </c>
      <c r="E96" s="4" t="str">
        <f ca="1">IF(NOMENCLATURE_GEN!E96="","",NOMENCLATURE_GEN!E96)</f>
        <v>B</v>
      </c>
      <c r="F96" s="4" t="str">
        <f>IF(NOMENCLATURE_GEN!F96="","",NOMENCLATURE_GEN!F96)</f>
        <v>GRA</v>
      </c>
      <c r="G96" s="310" t="str">
        <f>IF(NOMENCLATURE_GEN!G96="","",NOMENCLATURE_GEN!G96)</f>
        <v>Convoyeur à bande et chaines - Centrale de graissage</v>
      </c>
      <c r="H96" s="4" t="str">
        <f>IF(NOMENCLATURE_GEN!H96="","",NOMENCLATURE_GEN!H96)</f>
        <v/>
      </c>
      <c r="I96" s="4" t="str">
        <f>IF(NOMENCLATURE_GEN!I96="","",NOMENCLATURE_GEN!I96)</f>
        <v/>
      </c>
      <c r="J96" s="130" t="str">
        <f>IF(NOMENCLATURE_GEN!J96="","",NOMENCLATURE_GEN!J96)</f>
        <v/>
      </c>
      <c r="K96" s="158" t="str">
        <f>IF(Motorisation!L96="","",Motorisation!L96)</f>
        <v/>
      </c>
      <c r="L96" s="159" t="str">
        <f>IF(NOMENCLATURE_GEN!R96="","",NOMENCLATURE_GEN!R96)</f>
        <v>-</v>
      </c>
      <c r="M96" s="164" t="str">
        <f>IF(NOMENCLATURE_GEN!L96="","",NOMENCLATURE_GEN!L96)</f>
        <v>NON</v>
      </c>
      <c r="N96" s="161"/>
      <c r="O96" s="14"/>
      <c r="P96" s="14"/>
      <c r="Q96" s="14"/>
      <c r="R96" s="14"/>
      <c r="S96" s="16"/>
      <c r="T96" s="16"/>
      <c r="U96" s="17"/>
      <c r="V96" s="7"/>
    </row>
    <row r="97" spans="2:22" s="3" customFormat="1" ht="39.950000000000003" hidden="1" customHeight="1">
      <c r="B97" s="129" t="str">
        <f>IF(NOMENCLATURE_GEN!B97="","",NOMENCLATURE_GEN!B97)</f>
        <v/>
      </c>
      <c r="C97" s="243" t="str">
        <f>IF(NOMENCLATURE_GEN!C97="","",NOMENCLATURE_GEN!C97)</f>
        <v/>
      </c>
      <c r="D97" s="4">
        <f>IF(NOMENCLATURE_GEN!D97="","",NOMENCLATURE_GEN!D97)</f>
        <v>178</v>
      </c>
      <c r="E97" s="4" t="str">
        <f ca="1">IF(NOMENCLATURE_GEN!E97="","",NOMENCLATURE_GEN!E97)</f>
        <v>A</v>
      </c>
      <c r="F97" s="4" t="str">
        <f>IF(NOMENCLATURE_GEN!F97="","",NOMENCLATURE_GEN!F97)</f>
        <v>REG</v>
      </c>
      <c r="G97" s="310" t="str">
        <f>IF(NOMENCLATURE_GEN!G97="","",NOMENCLATURE_GEN!G97)</f>
        <v>Ebouleur</v>
      </c>
      <c r="H97" s="4">
        <f>IF(NOMENCLATURE_GEN!H97="","",NOMENCLATURE_GEN!H97)</f>
        <v>1600</v>
      </c>
      <c r="I97" s="4" t="str">
        <f>IF(NOMENCLATURE_GEN!I97="","",NOMENCLATURE_GEN!I97)</f>
        <v>Ø450</v>
      </c>
      <c r="J97" s="130" t="str">
        <f>IF(NOMENCLATURE_GEN!J97="","",NOMENCLATURE_GEN!J97)</f>
        <v/>
      </c>
      <c r="K97" s="158" t="str">
        <f>IF(Motorisation!L97="","",Motorisation!L97)</f>
        <v>KA 77</v>
      </c>
      <c r="L97" s="159" t="str">
        <f>IF(NOMENCLATURE_GEN!R97="","",NOMENCLATURE_GEN!R97)</f>
        <v>-</v>
      </c>
      <c r="M97" s="164" t="str">
        <f>IF(NOMENCLATURE_GEN!L97="","",NOMENCLATURE_GEN!L97)</f>
        <v>NON</v>
      </c>
      <c r="N97" s="161"/>
      <c r="O97" s="14"/>
      <c r="P97" s="14"/>
      <c r="Q97" s="14"/>
      <c r="R97" s="14"/>
      <c r="S97" s="16"/>
      <c r="T97" s="16"/>
      <c r="U97" s="17"/>
      <c r="V97" s="7"/>
    </row>
    <row r="98" spans="2:22" s="3" customFormat="1" ht="39.950000000000003" hidden="1" customHeight="1">
      <c r="B98" s="129" t="str">
        <f>IF(NOMENCLATURE_GEN!B98="","",NOMENCLATURE_GEN!B98)</f>
        <v/>
      </c>
      <c r="C98" s="243" t="str">
        <f>IF(NOMENCLATURE_GEN!C98="","",NOMENCLATURE_GEN!C98)</f>
        <v/>
      </c>
      <c r="D98" s="4">
        <f>IF(NOMENCLATURE_GEN!D98="","",NOMENCLATURE_GEN!D98)</f>
        <v>178</v>
      </c>
      <c r="E98" s="4" t="str">
        <f ca="1">IF(NOMENCLATURE_GEN!E98="","",NOMENCLATURE_GEN!E98)</f>
        <v>B</v>
      </c>
      <c r="F98" s="4" t="str">
        <f>IF(NOMENCLATURE_GEN!F98="","",NOMENCLATURE_GEN!F98)</f>
        <v>REG</v>
      </c>
      <c r="G98" s="310" t="str">
        <f>IF(NOMENCLATURE_GEN!G98="","",NOMENCLATURE_GEN!G98)</f>
        <v>Ebouleur</v>
      </c>
      <c r="H98" s="4">
        <f>IF(NOMENCLATURE_GEN!H98="","",NOMENCLATURE_GEN!H98)</f>
        <v>1600</v>
      </c>
      <c r="I98" s="4" t="str">
        <f>IF(NOMENCLATURE_GEN!I98="","",NOMENCLATURE_GEN!I98)</f>
        <v>Ø450</v>
      </c>
      <c r="J98" s="130" t="str">
        <f>IF(NOMENCLATURE_GEN!J98="","",NOMENCLATURE_GEN!J98)</f>
        <v/>
      </c>
      <c r="K98" s="158" t="str">
        <f>IF(Motorisation!L98="","",Motorisation!L98)</f>
        <v>KA 77</v>
      </c>
      <c r="L98" s="159" t="str">
        <f>IF(NOMENCLATURE_GEN!R98="","",NOMENCLATURE_GEN!R98)</f>
        <v>-</v>
      </c>
      <c r="M98" s="164" t="str">
        <f>IF(NOMENCLATURE_GEN!L98="","",NOMENCLATURE_GEN!L98)</f>
        <v>NON</v>
      </c>
      <c r="N98" s="161"/>
      <c r="O98" s="14"/>
      <c r="P98" s="14"/>
      <c r="Q98" s="14"/>
      <c r="R98" s="14"/>
      <c r="S98" s="16"/>
      <c r="T98" s="16"/>
      <c r="U98" s="17"/>
      <c r="V98" s="7"/>
    </row>
    <row r="99" spans="2:22" s="3" customFormat="1" ht="39.950000000000003" customHeight="1">
      <c r="B99" s="129" t="str">
        <f>IF(NOMENCLATURE_GEN!B99="","",NOMENCLATURE_GEN!B99)</f>
        <v/>
      </c>
      <c r="C99" s="243" t="str">
        <f>IF(NOMENCLATURE_GEN!C99="","",NOMENCLATURE_GEN!C99)</f>
        <v/>
      </c>
      <c r="D99" s="4">
        <f>IF(NOMENCLATURE_GEN!D99="","",NOMENCLATURE_GEN!D99)</f>
        <v>179</v>
      </c>
      <c r="E99" s="4" t="str">
        <f ca="1">IF(NOMENCLATURE_GEN!E99="","",NOMENCLATURE_GEN!E99)</f>
        <v>A</v>
      </c>
      <c r="F99" s="4" t="str">
        <f>IF(NOMENCLATURE_GEN!F99="","",NOMENCLATURE_GEN!F99)</f>
        <v>CBA</v>
      </c>
      <c r="G99" s="310" t="str">
        <f>IF(NOMENCLATURE_GEN!G99="","",NOMENCLATURE_GEN!G99)</f>
        <v>Convoyeur de transfert des légers 0-8mm vers métha</v>
      </c>
      <c r="H99" s="4">
        <f>IF(NOMENCLATURE_GEN!H99="","",NOMENCLATURE_GEN!H99)</f>
        <v>1000</v>
      </c>
      <c r="I99" s="4">
        <f>IF(NOMENCLATURE_GEN!I99="","",NOMENCLATURE_GEN!I99)</f>
        <v>18250</v>
      </c>
      <c r="J99" s="130">
        <f>IF(NOMENCLATURE_GEN!J99="","",NOMENCLATURE_GEN!J99)</f>
        <v>9</v>
      </c>
      <c r="K99" s="158" t="str">
        <f>IF(Motorisation!L99="","",Motorisation!L99)</f>
        <v>KA 77</v>
      </c>
      <c r="L99" s="159" t="str">
        <f>IF(NOMENCLATURE_GEN!R99="","",NOMENCLATURE_GEN!R99)</f>
        <v>Tete</v>
      </c>
      <c r="M99" s="164" t="str">
        <f>IF(NOMENCLATURE_GEN!L99="","",NOMENCLATURE_GEN!L99)</f>
        <v>NON</v>
      </c>
      <c r="N99" s="160" t="s">
        <v>757</v>
      </c>
      <c r="O99" s="14" t="s">
        <v>755</v>
      </c>
      <c r="P99" s="14"/>
      <c r="Q99" s="14"/>
      <c r="R99" s="14"/>
      <c r="S99" s="16"/>
      <c r="T99" s="16"/>
      <c r="U99" s="17"/>
      <c r="V99" s="7"/>
    </row>
    <row r="100" spans="2:22" s="3" customFormat="1" ht="39.950000000000003" customHeight="1">
      <c r="B100" s="129" t="str">
        <f>IF(NOMENCLATURE_GEN!B100="","",NOMENCLATURE_GEN!B100)</f>
        <v/>
      </c>
      <c r="C100" s="243" t="str">
        <f>IF(NOMENCLATURE_GEN!C100="","",NOMENCLATURE_GEN!C100)</f>
        <v/>
      </c>
      <c r="D100" s="4">
        <f>IF(NOMENCLATURE_GEN!D100="","",NOMENCLATURE_GEN!D100)</f>
        <v>180</v>
      </c>
      <c r="E100" s="4" t="str">
        <f ca="1">IF(NOMENCLATURE_GEN!E100="","",NOMENCLATURE_GEN!E100)</f>
        <v>A</v>
      </c>
      <c r="F100" s="4" t="str">
        <f>IF(NOMENCLATURE_GEN!F100="","",NOMENCLATURE_GEN!F100)</f>
        <v>CBA</v>
      </c>
      <c r="G100" s="310" t="str">
        <f>IF(NOMENCLATURE_GEN!G100="","",NOMENCLATURE_GEN!G100)</f>
        <v>Convoyeur de transfert des légers 0-8mm vers métha</v>
      </c>
      <c r="H100" s="4">
        <f>IF(NOMENCLATURE_GEN!H100="","",NOMENCLATURE_GEN!H100)</f>
        <v>1000</v>
      </c>
      <c r="I100" s="4">
        <f>IF(NOMENCLATURE_GEN!I100="","",NOMENCLATURE_GEN!I100)</f>
        <v>6250</v>
      </c>
      <c r="J100" s="130">
        <f>IF(NOMENCLATURE_GEN!J100="","",NOMENCLATURE_GEN!J100)</f>
        <v>18</v>
      </c>
      <c r="K100" s="158" t="str">
        <f>IF(Motorisation!L100="","",Motorisation!L100)</f>
        <v>KA 67</v>
      </c>
      <c r="L100" s="159" t="str">
        <f>IF(NOMENCLATURE_GEN!R100="","",NOMENCLATURE_GEN!R100)</f>
        <v>Tete</v>
      </c>
      <c r="M100" s="164" t="str">
        <f>IF(NOMENCLATURE_GEN!L100="","",NOMENCLATURE_GEN!L100)</f>
        <v>NON</v>
      </c>
      <c r="N100" s="160" t="s">
        <v>756</v>
      </c>
      <c r="O100" s="13" t="s">
        <v>755</v>
      </c>
      <c r="P100" s="14"/>
      <c r="Q100" s="14"/>
      <c r="R100" s="14"/>
      <c r="S100" s="16"/>
      <c r="T100" s="16"/>
      <c r="U100" s="17"/>
      <c r="V100" s="7"/>
    </row>
    <row r="101" spans="2:22" s="3" customFormat="1" ht="39.950000000000003" customHeight="1">
      <c r="B101" s="129" t="str">
        <f>IF(NOMENCLATURE_GEN!B101="","",NOMENCLATURE_GEN!B101)</f>
        <v/>
      </c>
      <c r="C101" s="243" t="str">
        <f>IF(NOMENCLATURE_GEN!C101="","",NOMENCLATURE_GEN!C101)</f>
        <v/>
      </c>
      <c r="D101" s="4">
        <f>IF(NOMENCLATURE_GEN!D101="","",NOMENCLATURE_GEN!D101)</f>
        <v>181</v>
      </c>
      <c r="E101" s="4" t="str">
        <f ca="1">IF(NOMENCLATURE_GEN!E101="","",NOMENCLATURE_GEN!E101)</f>
        <v>A</v>
      </c>
      <c r="F101" s="4" t="str">
        <f>IF(NOMENCLATURE_GEN!F101="","",NOMENCLATURE_GEN!F101)</f>
        <v>CBA</v>
      </c>
      <c r="G101" s="310" t="str">
        <f>IF(NOMENCLATURE_GEN!G101="","",NOMENCLATURE_GEN!G101)</f>
        <v>Convoyeur de transfert des légers 0-8mm vers métha</v>
      </c>
      <c r="H101" s="4">
        <f>IF(NOMENCLATURE_GEN!H101="","",NOMENCLATURE_GEN!H101)</f>
        <v>1000</v>
      </c>
      <c r="I101" s="4">
        <f>IF(NOMENCLATURE_GEN!I101="","",NOMENCLATURE_GEN!I101)</f>
        <v>22250</v>
      </c>
      <c r="J101" s="130">
        <f>IF(NOMENCLATURE_GEN!J101="","",NOMENCLATURE_GEN!J101)</f>
        <v>19</v>
      </c>
      <c r="K101" s="158" t="str">
        <f>IF(Motorisation!L101="","",Motorisation!L101)</f>
        <v>KA 77</v>
      </c>
      <c r="L101" s="159" t="str">
        <f>IF(NOMENCLATURE_GEN!R101="","",NOMENCLATURE_GEN!R101)</f>
        <v>Tete</v>
      </c>
      <c r="M101" s="164" t="str">
        <f>IF(NOMENCLATURE_GEN!L101="","",NOMENCLATURE_GEN!L101)</f>
        <v>NON</v>
      </c>
      <c r="N101" s="160" t="s">
        <v>757</v>
      </c>
      <c r="O101" s="14" t="s">
        <v>755</v>
      </c>
      <c r="P101" s="14"/>
      <c r="Q101" s="14"/>
      <c r="R101" s="14"/>
      <c r="S101" s="16"/>
      <c r="T101" s="16"/>
      <c r="U101" s="17"/>
      <c r="V101" s="7"/>
    </row>
    <row r="102" spans="2:22" s="3" customFormat="1" ht="39.950000000000003" hidden="1" customHeight="1">
      <c r="B102" s="129" t="str">
        <f>IF(NOMENCLATURE_GEN!B102="","",NOMENCLATURE_GEN!B102)</f>
        <v/>
      </c>
      <c r="C102" s="243" t="str">
        <f>IF(NOMENCLATURE_GEN!C102="","",NOMENCLATURE_GEN!C102)</f>
        <v/>
      </c>
      <c r="D102" s="4">
        <f>IF(NOMENCLATURE_GEN!D102="","",NOMENCLATURE_GEN!D102)</f>
        <v>182</v>
      </c>
      <c r="E102" s="4" t="str">
        <f ca="1">IF(NOMENCLATURE_GEN!E102="","",NOMENCLATURE_GEN!E102)</f>
        <v>A</v>
      </c>
      <c r="F102" s="4" t="str">
        <f>IF(NOMENCLATURE_GEN!F102="","",NOMENCLATURE_GEN!F102)</f>
        <v>NAV</v>
      </c>
      <c r="G102" s="310" t="str">
        <f>IF(NOMENCLATURE_GEN!G102="","",NOMENCLATURE_GEN!G102)</f>
        <v>Système navette pour convoyeur mobile remplissage REPERE 165 benne métaux</v>
      </c>
      <c r="H102" s="4" t="str">
        <f>IF(NOMENCLATURE_GEN!H102="","",NOMENCLATURE_GEN!H102)</f>
        <v/>
      </c>
      <c r="I102" s="4" t="str">
        <f>IF(NOMENCLATURE_GEN!I102="","",NOMENCLATURE_GEN!I102)</f>
        <v/>
      </c>
      <c r="J102" s="130" t="str">
        <f>IF(NOMENCLATURE_GEN!J102="","",NOMENCLATURE_GEN!J102)</f>
        <v/>
      </c>
      <c r="K102" s="158" t="str">
        <f>IF(Motorisation!L102="","",Motorisation!L102)</f>
        <v>K57</v>
      </c>
      <c r="L102" s="159" t="str">
        <f>IF(NOMENCLATURE_GEN!R102="","",NOMENCLATURE_GEN!R102)</f>
        <v>-</v>
      </c>
      <c r="M102" s="164" t="str">
        <f>IF(NOMENCLATURE_GEN!L102="","",NOMENCLATURE_GEN!L102)</f>
        <v>NON</v>
      </c>
      <c r="N102" s="162"/>
      <c r="O102" s="22"/>
      <c r="P102" s="22"/>
      <c r="Q102" s="22"/>
      <c r="R102" s="22"/>
      <c r="S102" s="20"/>
      <c r="T102" s="20"/>
      <c r="U102" s="21"/>
      <c r="V102" s="7"/>
    </row>
    <row r="103" spans="2:22" s="3" customFormat="1" ht="39.950000000000003" hidden="1" customHeight="1">
      <c r="B103" s="129" t="str">
        <f>IF(NOMENCLATURE_GEN!B103="","",NOMENCLATURE_GEN!B103)</f>
        <v/>
      </c>
      <c r="C103" s="243" t="str">
        <f>IF(NOMENCLATURE_GEN!C103="","",NOMENCLATURE_GEN!C103)</f>
        <v/>
      </c>
      <c r="D103" s="4">
        <f>IF(NOMENCLATURE_GEN!D103="","",NOMENCLATURE_GEN!D103)</f>
        <v>184</v>
      </c>
      <c r="E103" s="4" t="str">
        <f ca="1">IF(NOMENCLATURE_GEN!E103="","",NOMENCLATURE_GEN!E103)</f>
        <v>A</v>
      </c>
      <c r="F103" s="4" t="str">
        <f>IF(NOMENCLATURE_GEN!F103="","",NOMENCLATURE_GEN!F103)</f>
        <v>CHA</v>
      </c>
      <c r="G103" s="310" t="str">
        <f>IF(NOMENCLATURE_GEN!G103="","",NOMENCLATURE_GEN!G103)</f>
        <v>Charpente support trommel primaire &amp; passerelle d'accès maintenance</v>
      </c>
      <c r="H103" s="4" t="str">
        <f>IF(NOMENCLATURE_GEN!H103="","",NOMENCLATURE_GEN!H103)</f>
        <v/>
      </c>
      <c r="I103" s="4" t="str">
        <f>IF(NOMENCLATURE_GEN!I103="","",NOMENCLATURE_GEN!I103)</f>
        <v/>
      </c>
      <c r="J103" s="130" t="str">
        <f>IF(NOMENCLATURE_GEN!J103="","",NOMENCLATURE_GEN!J103)</f>
        <v/>
      </c>
      <c r="K103" s="158" t="str">
        <f>IF(Motorisation!L103="","",Motorisation!L103)</f>
        <v>K57</v>
      </c>
      <c r="L103" s="159" t="str">
        <f>IF(NOMENCLATURE_GEN!R103="","",NOMENCLATURE_GEN!R103)</f>
        <v>-</v>
      </c>
      <c r="M103" s="164" t="str">
        <f>IF(NOMENCLATURE_GEN!L103="","",NOMENCLATURE_GEN!L103)</f>
        <v>NON</v>
      </c>
      <c r="N103" s="162"/>
      <c r="O103" s="22"/>
      <c r="P103" s="22"/>
      <c r="Q103" s="22"/>
      <c r="R103" s="22"/>
      <c r="S103" s="20"/>
      <c r="T103" s="20"/>
      <c r="U103" s="21"/>
      <c r="V103" s="7"/>
    </row>
    <row r="104" spans="2:22" s="3" customFormat="1" ht="39.950000000000003" hidden="1" customHeight="1">
      <c r="B104" s="129" t="str">
        <f>IF(NOMENCLATURE_GEN!B104="","",NOMENCLATURE_GEN!B104)</f>
        <v/>
      </c>
      <c r="C104" s="243" t="str">
        <f>IF(NOMENCLATURE_GEN!C104="","",NOMENCLATURE_GEN!C104)</f>
        <v/>
      </c>
      <c r="D104" s="4">
        <f>IF(NOMENCLATURE_GEN!D104="","",NOMENCLATURE_GEN!D104)</f>
        <v>185</v>
      </c>
      <c r="E104" s="4" t="str">
        <f ca="1">IF(NOMENCLATURE_GEN!E104="","",NOMENCLATURE_GEN!E104)</f>
        <v>A</v>
      </c>
      <c r="F104" s="4" t="str">
        <f>IF(NOMENCLATURE_GEN!F104="","",NOMENCLATURE_GEN!F104)</f>
        <v>CHA</v>
      </c>
      <c r="G104" s="310" t="str">
        <f>IF(NOMENCLATURE_GEN!G104="","",NOMENCLATURE_GEN!G104)</f>
        <v>Charpente support trommel secondaire &amp; passerelle d'accès maintenance</v>
      </c>
      <c r="H104" s="4" t="str">
        <f>IF(NOMENCLATURE_GEN!H104="","",NOMENCLATURE_GEN!H104)</f>
        <v/>
      </c>
      <c r="I104" s="4" t="str">
        <f>IF(NOMENCLATURE_GEN!I104="","",NOMENCLATURE_GEN!I104)</f>
        <v/>
      </c>
      <c r="J104" s="130" t="str">
        <f>IF(NOMENCLATURE_GEN!J104="","",NOMENCLATURE_GEN!J104)</f>
        <v/>
      </c>
      <c r="K104" s="158" t="str">
        <f>IF(Motorisation!L104="","",Motorisation!L104)</f>
        <v>K57</v>
      </c>
      <c r="L104" s="159" t="str">
        <f>IF(NOMENCLATURE_GEN!R104="","",NOMENCLATURE_GEN!R104)</f>
        <v>-</v>
      </c>
      <c r="M104" s="164" t="str">
        <f>IF(NOMENCLATURE_GEN!L104="","",NOMENCLATURE_GEN!L104)</f>
        <v>NON</v>
      </c>
      <c r="N104" s="162"/>
      <c r="O104" s="22"/>
      <c r="P104" s="22"/>
      <c r="Q104" s="22"/>
      <c r="R104" s="22"/>
      <c r="S104" s="20"/>
      <c r="T104" s="20"/>
      <c r="U104" s="21"/>
      <c r="V104" s="7"/>
    </row>
    <row r="105" spans="2:22" s="3" customFormat="1" ht="39.950000000000003" hidden="1" customHeight="1">
      <c r="B105" s="129" t="str">
        <f>IF(NOMENCLATURE_GEN!B105="","",NOMENCLATURE_GEN!B105)</f>
        <v/>
      </c>
      <c r="C105" s="243" t="str">
        <f>IF(NOMENCLATURE_GEN!C105="","",NOMENCLATURE_GEN!C105)</f>
        <v/>
      </c>
      <c r="D105" s="4">
        <f>IF(NOMENCLATURE_GEN!D105="","",NOMENCLATURE_GEN!D105)</f>
        <v>186</v>
      </c>
      <c r="E105" s="4" t="str">
        <f ca="1">IF(NOMENCLATURE_GEN!E105="","",NOMENCLATURE_GEN!E105)</f>
        <v>A</v>
      </c>
      <c r="F105" s="4" t="str">
        <f>IF(NOMENCLATURE_GEN!F105="","",NOMENCLATURE_GEN!F105)</f>
        <v>CHA</v>
      </c>
      <c r="G105" s="310" t="str">
        <f>IF(NOMENCLATURE_GEN!G105="","",NOMENCLATURE_GEN!G105)</f>
        <v>Plateforme accès maintenancepour les SNF</v>
      </c>
      <c r="H105" s="4">
        <f>IF(NOMENCLATURE_GEN!H105="","",NOMENCLATURE_GEN!H105)</f>
        <v>12000</v>
      </c>
      <c r="I105" s="4">
        <f>IF(NOMENCLATURE_GEN!I105="","",NOMENCLATURE_GEN!I105)</f>
        <v>10000</v>
      </c>
      <c r="J105" s="130" t="str">
        <f>IF(NOMENCLATURE_GEN!J105="","",NOMENCLATURE_GEN!J105)</f>
        <v/>
      </c>
      <c r="K105" s="158" t="str">
        <f>IF(Motorisation!L105="","",Motorisation!L105)</f>
        <v>K57</v>
      </c>
      <c r="L105" s="159" t="str">
        <f>IF(NOMENCLATURE_GEN!R105="","",NOMENCLATURE_GEN!R105)</f>
        <v>-</v>
      </c>
      <c r="M105" s="164" t="str">
        <f>IF(NOMENCLATURE_GEN!L105="","",NOMENCLATURE_GEN!L105)</f>
        <v>NON</v>
      </c>
      <c r="N105" s="162"/>
      <c r="O105" s="22"/>
      <c r="P105" s="22"/>
      <c r="Q105" s="22"/>
      <c r="R105" s="22"/>
      <c r="S105" s="20"/>
      <c r="T105" s="20"/>
      <c r="U105" s="21"/>
      <c r="V105" s="7"/>
    </row>
    <row r="106" spans="2:22" s="3" customFormat="1" ht="39.950000000000003" hidden="1" customHeight="1">
      <c r="B106" s="129" t="str">
        <f>IF(NOMENCLATURE_GEN!B106="","",NOMENCLATURE_GEN!B106)</f>
        <v/>
      </c>
      <c r="C106" s="243" t="str">
        <f>IF(NOMENCLATURE_GEN!C106="","",NOMENCLATURE_GEN!C106)</f>
        <v/>
      </c>
      <c r="D106" s="4">
        <f>IF(NOMENCLATURE_GEN!D106="","",NOMENCLATURE_GEN!D106)</f>
        <v>187</v>
      </c>
      <c r="E106" s="4" t="str">
        <f ca="1">IF(NOMENCLATURE_GEN!E106="","",NOMENCLATURE_GEN!E106)</f>
        <v>A</v>
      </c>
      <c r="F106" s="4" t="str">
        <f>IF(NOMENCLATURE_GEN!F106="","",NOMENCLATURE_GEN!F106)</f>
        <v>CHA</v>
      </c>
      <c r="G106" s="310" t="str">
        <f>IF(NOMENCLATURE_GEN!G106="","",NOMENCLATURE_GEN!G106)</f>
        <v>Charpente support pour OVB y compris goulotte inox et protection</v>
      </c>
      <c r="H106" s="4" t="str">
        <f>IF(NOMENCLATURE_GEN!H106="","",NOMENCLATURE_GEN!H106)</f>
        <v/>
      </c>
      <c r="I106" s="4" t="str">
        <f>IF(NOMENCLATURE_GEN!I106="","",NOMENCLATURE_GEN!I106)</f>
        <v/>
      </c>
      <c r="J106" s="130" t="str">
        <f>IF(NOMENCLATURE_GEN!J106="","",NOMENCLATURE_GEN!J106)</f>
        <v/>
      </c>
      <c r="K106" s="158" t="str">
        <f>IF(Motorisation!L106="","",Motorisation!L106)</f>
        <v>K57</v>
      </c>
      <c r="L106" s="159" t="str">
        <f>IF(NOMENCLATURE_GEN!R106="","",NOMENCLATURE_GEN!R106)</f>
        <v>-</v>
      </c>
      <c r="M106" s="164" t="str">
        <f>IF(NOMENCLATURE_GEN!L106="","",NOMENCLATURE_GEN!L106)</f>
        <v>NON</v>
      </c>
      <c r="N106" s="162"/>
      <c r="O106" s="22"/>
      <c r="P106" s="22"/>
      <c r="Q106" s="22"/>
      <c r="R106" s="22"/>
      <c r="S106" s="20"/>
      <c r="T106" s="20"/>
      <c r="U106" s="21"/>
      <c r="V106" s="7"/>
    </row>
    <row r="107" spans="2:22" s="3" customFormat="1" ht="39.950000000000003" hidden="1" customHeight="1">
      <c r="B107" s="129" t="str">
        <f>IF(NOMENCLATURE_GEN!B107="","",NOMENCLATURE_GEN!B107)</f>
        <v/>
      </c>
      <c r="C107" s="243" t="str">
        <f>IF(NOMENCLATURE_GEN!C107="","",NOMENCLATURE_GEN!C107)</f>
        <v/>
      </c>
      <c r="D107" s="4">
        <f>IF(NOMENCLATURE_GEN!D107="","",NOMENCLATURE_GEN!D107)</f>
        <v>188</v>
      </c>
      <c r="E107" s="4" t="str">
        <f ca="1">IF(NOMENCLATURE_GEN!E107="","",NOMENCLATURE_GEN!E107)</f>
        <v>A</v>
      </c>
      <c r="F107" s="4" t="str">
        <f>IF(NOMENCLATURE_GEN!F107="","",NOMENCLATURE_GEN!F107)</f>
        <v>CHA</v>
      </c>
      <c r="G107" s="310" t="str">
        <f>IF(NOMENCLATURE_GEN!G107="","",NOMENCLATURE_GEN!G107)</f>
        <v>Plateforme accès maintenance NIV1 pour balistiques &amp; crible trampoline</v>
      </c>
      <c r="H107" s="4">
        <f>IF(NOMENCLATURE_GEN!H107="","",NOMENCLATURE_GEN!H107)</f>
        <v>5200</v>
      </c>
      <c r="I107" s="4">
        <f>IF(NOMENCLATURE_GEN!I107="","",NOMENCLATURE_GEN!I107)</f>
        <v>26500</v>
      </c>
      <c r="J107" s="130" t="str">
        <f>IF(NOMENCLATURE_GEN!J107="","",NOMENCLATURE_GEN!J107)</f>
        <v/>
      </c>
      <c r="K107" s="158" t="str">
        <f>IF(Motorisation!L107="","",Motorisation!L107)</f>
        <v>K57</v>
      </c>
      <c r="L107" s="159" t="str">
        <f>IF(NOMENCLATURE_GEN!R107="","",NOMENCLATURE_GEN!R107)</f>
        <v>-</v>
      </c>
      <c r="M107" s="164" t="str">
        <f>IF(NOMENCLATURE_GEN!L107="","",NOMENCLATURE_GEN!L107)</f>
        <v>NON</v>
      </c>
      <c r="N107" s="162"/>
      <c r="O107" s="22"/>
      <c r="P107" s="22"/>
      <c r="Q107" s="22"/>
      <c r="R107" s="22"/>
      <c r="S107" s="20"/>
      <c r="T107" s="20"/>
      <c r="U107" s="21"/>
      <c r="V107" s="7"/>
    </row>
    <row r="108" spans="2:22" s="3" customFormat="1" ht="39.950000000000003" hidden="1" customHeight="1">
      <c r="B108" s="129" t="str">
        <f>IF(NOMENCLATURE_GEN!B108="","",NOMENCLATURE_GEN!B108)</f>
        <v/>
      </c>
      <c r="C108" s="243" t="str">
        <f>IF(NOMENCLATURE_GEN!C108="","",NOMENCLATURE_GEN!C108)</f>
        <v/>
      </c>
      <c r="D108" s="4">
        <f>IF(NOMENCLATURE_GEN!D108="","",NOMENCLATURE_GEN!D108)</f>
        <v>189</v>
      </c>
      <c r="E108" s="4" t="str">
        <f ca="1">IF(NOMENCLATURE_GEN!E108="","",NOMENCLATURE_GEN!E108)</f>
        <v>A</v>
      </c>
      <c r="F108" s="4" t="str">
        <f>IF(NOMENCLATURE_GEN!F108="","",NOMENCLATURE_GEN!F108)</f>
        <v>CHA</v>
      </c>
      <c r="G108" s="310" t="str">
        <f>IF(NOMENCLATURE_GEN!G108="","",NOMENCLATURE_GEN!G108)</f>
        <v>Plateforme accès maintenance NIV2 pour balistiques &amp; crible trampoline</v>
      </c>
      <c r="H108" s="4">
        <f>IF(NOMENCLATURE_GEN!H108="","",NOMENCLATURE_GEN!H108)</f>
        <v>5200</v>
      </c>
      <c r="I108" s="4">
        <f>IF(NOMENCLATURE_GEN!I108="","",NOMENCLATURE_GEN!I108)</f>
        <v>23000</v>
      </c>
      <c r="J108" s="130" t="str">
        <f>IF(NOMENCLATURE_GEN!J108="","",NOMENCLATURE_GEN!J108)</f>
        <v/>
      </c>
      <c r="K108" s="158" t="str">
        <f>IF(Motorisation!L108="","",Motorisation!L108)</f>
        <v>K57</v>
      </c>
      <c r="L108" s="159" t="str">
        <f>IF(NOMENCLATURE_GEN!R108="","",NOMENCLATURE_GEN!R108)</f>
        <v>-</v>
      </c>
      <c r="M108" s="164" t="str">
        <f>IF(NOMENCLATURE_GEN!L108="","",NOMENCLATURE_GEN!L108)</f>
        <v>NON</v>
      </c>
      <c r="N108" s="162"/>
      <c r="O108" s="22"/>
      <c r="P108" s="22"/>
      <c r="Q108" s="22"/>
      <c r="R108" s="22"/>
      <c r="S108" s="20"/>
      <c r="T108" s="20"/>
      <c r="U108" s="21"/>
      <c r="V108" s="7"/>
    </row>
    <row r="109" spans="2:22" s="3" customFormat="1" ht="39.950000000000003" hidden="1" customHeight="1">
      <c r="B109" s="129" t="str">
        <f>IF(NOMENCLATURE_GEN!B109="","",NOMENCLATURE_GEN!B109)</f>
        <v/>
      </c>
      <c r="C109" s="243" t="str">
        <f>IF(NOMENCLATURE_GEN!C109="","",NOMENCLATURE_GEN!C109)</f>
        <v/>
      </c>
      <c r="D109" s="4">
        <f>IF(NOMENCLATURE_GEN!D109="","",NOMENCLATURE_GEN!D109)</f>
        <v>190</v>
      </c>
      <c r="E109" s="4" t="str">
        <f ca="1">IF(NOMENCLATURE_GEN!E109="","",NOMENCLATURE_GEN!E109)</f>
        <v>A</v>
      </c>
      <c r="F109" s="4" t="str">
        <f>IF(NOMENCLATURE_GEN!F109="","",NOMENCLATURE_GEN!F109)</f>
        <v>CHA</v>
      </c>
      <c r="G109" s="310" t="str">
        <f>IF(NOMENCLATURE_GEN!G109="","",NOMENCLATURE_GEN!G109)</f>
        <v>Plateforme accès maintenance pour crible trampoline + charpente</v>
      </c>
      <c r="H109" s="4" t="str">
        <f>IF(NOMENCLATURE_GEN!H109="","",NOMENCLATURE_GEN!H109)</f>
        <v/>
      </c>
      <c r="I109" s="4" t="str">
        <f>IF(NOMENCLATURE_GEN!I109="","",NOMENCLATURE_GEN!I109)</f>
        <v/>
      </c>
      <c r="J109" s="130" t="str">
        <f>IF(NOMENCLATURE_GEN!J109="","",NOMENCLATURE_GEN!J109)</f>
        <v/>
      </c>
      <c r="K109" s="158" t="str">
        <f>IF(Motorisation!L109="","",Motorisation!L109)</f>
        <v>K57</v>
      </c>
      <c r="L109" s="159" t="str">
        <f>IF(NOMENCLATURE_GEN!R109="","",NOMENCLATURE_GEN!R109)</f>
        <v>-</v>
      </c>
      <c r="M109" s="164" t="str">
        <f>IF(NOMENCLATURE_GEN!L109="","",NOMENCLATURE_GEN!L109)</f>
        <v>NON</v>
      </c>
      <c r="N109" s="162"/>
      <c r="O109" s="22"/>
      <c r="P109" s="22"/>
      <c r="Q109" s="22"/>
      <c r="R109" s="22"/>
      <c r="S109" s="20"/>
      <c r="T109" s="20"/>
      <c r="U109" s="21"/>
      <c r="V109" s="7"/>
    </row>
    <row r="110" spans="2:22" s="3" customFormat="1" ht="39.950000000000003" hidden="1" customHeight="1">
      <c r="B110" s="129" t="str">
        <f>IF(NOMENCLATURE_GEN!B110="","",NOMENCLATURE_GEN!B110)</f>
        <v/>
      </c>
      <c r="C110" s="243" t="str">
        <f>IF(NOMENCLATURE_GEN!C110="","",NOMENCLATURE_GEN!C110)</f>
        <v/>
      </c>
      <c r="D110" s="4">
        <f>IF(NOMENCLATURE_GEN!D110="","",NOMENCLATURE_GEN!D110)</f>
        <v>191</v>
      </c>
      <c r="E110" s="4" t="str">
        <f ca="1">IF(NOMENCLATURE_GEN!E110="","",NOMENCLATURE_GEN!E110)</f>
        <v>A</v>
      </c>
      <c r="F110" s="4" t="str">
        <f>IF(NOMENCLATURE_GEN!F110="","",NOMENCLATURE_GEN!F110)</f>
        <v>CHA</v>
      </c>
      <c r="G110" s="310" t="str">
        <f>IF(NOMENCLATURE_GEN!G110="","",NOMENCLATURE_GEN!G110)</f>
        <v>Plateforme accès maintenance table TF &amp; cyclone</v>
      </c>
      <c r="H110" s="4">
        <f>IF(NOMENCLATURE_GEN!H110="","",NOMENCLATURE_GEN!H110)</f>
        <v>5500</v>
      </c>
      <c r="I110" s="4">
        <f>IF(NOMENCLATURE_GEN!I110="","",NOMENCLATURE_GEN!I110)</f>
        <v>9600</v>
      </c>
      <c r="J110" s="130" t="str">
        <f>IF(NOMENCLATURE_GEN!J110="","",NOMENCLATURE_GEN!J110)</f>
        <v/>
      </c>
      <c r="K110" s="158" t="str">
        <f>IF(Motorisation!L110="","",Motorisation!L110)</f>
        <v>K57</v>
      </c>
      <c r="L110" s="159" t="str">
        <f>IF(NOMENCLATURE_GEN!R110="","",NOMENCLATURE_GEN!R110)</f>
        <v>-</v>
      </c>
      <c r="M110" s="164" t="str">
        <f>IF(NOMENCLATURE_GEN!L110="","",NOMENCLATURE_GEN!L110)</f>
        <v>NON</v>
      </c>
      <c r="N110" s="162"/>
      <c r="O110" s="22"/>
      <c r="P110" s="22"/>
      <c r="Q110" s="22"/>
      <c r="R110" s="22"/>
      <c r="S110" s="20"/>
      <c r="T110" s="20"/>
      <c r="U110" s="21"/>
      <c r="V110" s="7"/>
    </row>
    <row r="111" spans="2:22" s="3" customFormat="1" ht="39.950000000000003" hidden="1" customHeight="1">
      <c r="B111" s="129" t="str">
        <f>IF(NOMENCLATURE_GEN!B111="","",NOMENCLATURE_GEN!B111)</f>
        <v/>
      </c>
      <c r="C111" s="243" t="str">
        <f>IF(NOMENCLATURE_GEN!C111="","",NOMENCLATURE_GEN!C111)</f>
        <v/>
      </c>
      <c r="D111" s="4">
        <f>IF(NOMENCLATURE_GEN!D111="","",NOMENCLATURE_GEN!D111)</f>
        <v>192</v>
      </c>
      <c r="E111" s="4" t="str">
        <f ca="1">IF(NOMENCLATURE_GEN!E111="","",NOMENCLATURE_GEN!E111)</f>
        <v>A</v>
      </c>
      <c r="F111" s="4" t="str">
        <f>IF(NOMENCLATURE_GEN!F111="","",NOMENCLATURE_GEN!F111)</f>
        <v>CHA</v>
      </c>
      <c r="G111" s="310" t="str">
        <f>IF(NOMENCLATURE_GEN!G111="","",NOMENCLATURE_GEN!G111)</f>
        <v>Ensemble des passerelles d'accès maintenance tête &amp; pied CVY</v>
      </c>
      <c r="H111" s="4">
        <f>IF(NOMENCLATURE_GEN!H111="","",NOMENCLATURE_GEN!H111)</f>
        <v>4500</v>
      </c>
      <c r="I111" s="4">
        <f>IF(NOMENCLATURE_GEN!I111="","",NOMENCLATURE_GEN!I111)</f>
        <v>4500</v>
      </c>
      <c r="J111" s="130" t="str">
        <f>IF(NOMENCLATURE_GEN!J111="","",NOMENCLATURE_GEN!J111)</f>
        <v/>
      </c>
      <c r="K111" s="158" t="str">
        <f>IF(Motorisation!L111="","",Motorisation!L111)</f>
        <v>K57</v>
      </c>
      <c r="L111" s="159" t="str">
        <f>IF(NOMENCLATURE_GEN!R111="","",NOMENCLATURE_GEN!R111)</f>
        <v>-</v>
      </c>
      <c r="M111" s="164" t="str">
        <f>IF(NOMENCLATURE_GEN!L111="","",NOMENCLATURE_GEN!L111)</f>
        <v>NON</v>
      </c>
      <c r="N111" s="162"/>
      <c r="O111" s="22"/>
      <c r="P111" s="22"/>
      <c r="Q111" s="22"/>
      <c r="R111" s="22"/>
      <c r="S111" s="20"/>
      <c r="T111" s="20"/>
      <c r="U111" s="21"/>
      <c r="V111" s="7"/>
    </row>
    <row r="112" spans="2:22" s="3" customFormat="1" ht="39.950000000000003" hidden="1" customHeight="1">
      <c r="B112" s="129" t="str">
        <f>IF(NOMENCLATURE_GEN!B112="","",NOMENCLATURE_GEN!B112)</f>
        <v/>
      </c>
      <c r="C112" s="243" t="str">
        <f>IF(NOMENCLATURE_GEN!C112="","",NOMENCLATURE_GEN!C112)</f>
        <v/>
      </c>
      <c r="D112" s="4">
        <f>IF(NOMENCLATURE_GEN!D112="","",NOMENCLATURE_GEN!D112)</f>
        <v>193</v>
      </c>
      <c r="E112" s="4" t="str">
        <f ca="1">IF(NOMENCLATURE_GEN!E112="","",NOMENCLATURE_GEN!E112)</f>
        <v>A</v>
      </c>
      <c r="F112" s="4" t="str">
        <f>IF(NOMENCLATURE_GEN!F112="","",NOMENCLATURE_GEN!F112)</f>
        <v>CHA</v>
      </c>
      <c r="G112" s="310" t="str">
        <f>IF(NOMENCLATURE_GEN!G112="","",NOMENCLATURE_GEN!G112)</f>
        <v>Ensemble des passerelles de liaison</v>
      </c>
      <c r="H112" s="4">
        <f>IF(NOMENCLATURE_GEN!H112="","",NOMENCLATURE_GEN!H112)</f>
        <v>900</v>
      </c>
      <c r="I112" s="4">
        <f>IF(NOMENCLATURE_GEN!I112="","",NOMENCLATURE_GEN!I112)</f>
        <v>50000</v>
      </c>
      <c r="J112" s="130" t="str">
        <f>IF(NOMENCLATURE_GEN!J112="","",NOMENCLATURE_GEN!J112)</f>
        <v/>
      </c>
      <c r="K112" s="158" t="str">
        <f>IF(Motorisation!L112="","",Motorisation!L112)</f>
        <v>K57</v>
      </c>
      <c r="L112" s="159" t="str">
        <f>IF(NOMENCLATURE_GEN!R112="","",NOMENCLATURE_GEN!R112)</f>
        <v>-</v>
      </c>
      <c r="M112" s="164" t="str">
        <f>IF(NOMENCLATURE_GEN!L112="","",NOMENCLATURE_GEN!L112)</f>
        <v>NON</v>
      </c>
      <c r="N112" s="162"/>
      <c r="O112" s="22"/>
      <c r="P112" s="22"/>
      <c r="Q112" s="22"/>
      <c r="R112" s="22"/>
      <c r="S112" s="20"/>
      <c r="T112" s="20"/>
      <c r="U112" s="21"/>
      <c r="V112" s="7"/>
    </row>
    <row r="113" spans="2:22" s="3" customFormat="1" ht="39.950000000000003" hidden="1" customHeight="1">
      <c r="B113" s="129" t="str">
        <f>IF(NOMENCLATURE_GEN!B113="","",NOMENCLATURE_GEN!B113)</f>
        <v/>
      </c>
      <c r="C113" s="243" t="str">
        <f>IF(NOMENCLATURE_GEN!C113="","",NOMENCLATURE_GEN!C113)</f>
        <v/>
      </c>
      <c r="D113" s="4">
        <f>IF(NOMENCLATURE_GEN!D113="","",NOMENCLATURE_GEN!D113)</f>
        <v>194</v>
      </c>
      <c r="E113" s="4" t="str">
        <f ca="1">IF(NOMENCLATURE_GEN!E113="","",NOMENCLATURE_GEN!E113)</f>
        <v>A</v>
      </c>
      <c r="F113" s="4" t="str">
        <f>IF(NOMENCLATURE_GEN!F113="","",NOMENCLATURE_GEN!F113)</f>
        <v>CHA</v>
      </c>
      <c r="G113" s="310" t="str">
        <f>IF(NOMENCLATURE_GEN!G113="","",NOMENCLATURE_GEN!G113)</f>
        <v>Ensemble des escaliers d'accès maintenance</v>
      </c>
      <c r="H113" s="4">
        <f>IF(NOMENCLATURE_GEN!H113="","",NOMENCLATURE_GEN!H113)</f>
        <v>900</v>
      </c>
      <c r="I113" s="4">
        <f>IF(NOMENCLATURE_GEN!I113="","",NOMENCLATURE_GEN!I113)</f>
        <v>4500</v>
      </c>
      <c r="J113" s="130" t="str">
        <f>IF(NOMENCLATURE_GEN!J113="","",NOMENCLATURE_GEN!J113)</f>
        <v/>
      </c>
      <c r="K113" s="158" t="str">
        <f>IF(Motorisation!L113="","",Motorisation!L113)</f>
        <v>K57</v>
      </c>
      <c r="L113" s="159" t="str">
        <f>IF(NOMENCLATURE_GEN!R113="","",NOMENCLATURE_GEN!R113)</f>
        <v>-</v>
      </c>
      <c r="M113" s="164" t="str">
        <f>IF(NOMENCLATURE_GEN!L113="","",NOMENCLATURE_GEN!L113)</f>
        <v>NON</v>
      </c>
      <c r="N113" s="162"/>
      <c r="O113" s="22"/>
      <c r="P113" s="22"/>
      <c r="Q113" s="22"/>
      <c r="R113" s="22"/>
      <c r="S113" s="20"/>
      <c r="T113" s="20"/>
      <c r="U113" s="21"/>
      <c r="V113" s="7"/>
    </row>
    <row r="114" spans="2:22" s="3" customFormat="1" ht="39.950000000000003" hidden="1" customHeight="1">
      <c r="B114" s="129" t="str">
        <f>IF(NOMENCLATURE_GEN!B114="","",NOMENCLATURE_GEN!B114)</f>
        <v/>
      </c>
      <c r="C114" s="243" t="str">
        <f>IF(NOMENCLATURE_GEN!C114="","",NOMENCLATURE_GEN!C114)</f>
        <v/>
      </c>
      <c r="D114" s="4">
        <f>IF(NOMENCLATURE_GEN!D114="","",NOMENCLATURE_GEN!D114)</f>
        <v>195</v>
      </c>
      <c r="E114" s="4" t="str">
        <f ca="1">IF(NOMENCLATURE_GEN!E114="","",NOMENCLATURE_GEN!E114)</f>
        <v>A</v>
      </c>
      <c r="F114" s="4" t="str">
        <f>IF(NOMENCLATURE_GEN!F114="","",NOMENCLATURE_GEN!F114)</f>
        <v>CHA</v>
      </c>
      <c r="G114" s="310" t="str">
        <f>IF(NOMENCLATURE_GEN!G114="","",NOMENCLATURE_GEN!G114)</f>
        <v>Ensemble des potences et rails de maintenance + 2 portiques</v>
      </c>
      <c r="H114" s="4" t="str">
        <f>IF(NOMENCLATURE_GEN!H114="","",NOMENCLATURE_GEN!H114)</f>
        <v/>
      </c>
      <c r="I114" s="4" t="str">
        <f>IF(NOMENCLATURE_GEN!I114="","",NOMENCLATURE_GEN!I114)</f>
        <v/>
      </c>
      <c r="J114" s="130" t="str">
        <f>IF(NOMENCLATURE_GEN!J114="","",NOMENCLATURE_GEN!J114)</f>
        <v/>
      </c>
      <c r="K114" s="158" t="str">
        <f>IF(Motorisation!L114="","",Motorisation!L114)</f>
        <v>K57</v>
      </c>
      <c r="L114" s="159" t="str">
        <f>IF(NOMENCLATURE_GEN!R114="","",NOMENCLATURE_GEN!R114)</f>
        <v>-</v>
      </c>
      <c r="M114" s="164" t="str">
        <f>IF(NOMENCLATURE_GEN!L114="","",NOMENCLATURE_GEN!L114)</f>
        <v>NON</v>
      </c>
      <c r="N114" s="162"/>
      <c r="O114" s="22"/>
      <c r="P114" s="22"/>
      <c r="Q114" s="22"/>
      <c r="R114" s="22"/>
      <c r="S114" s="20"/>
      <c r="T114" s="20"/>
      <c r="U114" s="21"/>
      <c r="V114" s="7"/>
    </row>
    <row r="115" spans="2:22" s="3" customFormat="1" ht="39.950000000000003" hidden="1" customHeight="1">
      <c r="B115" s="129" t="str">
        <f>IF(NOMENCLATURE_GEN!B115="","",NOMENCLATURE_GEN!B115)</f>
        <v/>
      </c>
      <c r="C115" s="243" t="str">
        <f>IF(NOMENCLATURE_GEN!C115="","",NOMENCLATURE_GEN!C115)</f>
        <v/>
      </c>
      <c r="D115" s="4">
        <f>IF(NOMENCLATURE_GEN!D115="","",NOMENCLATURE_GEN!D115)</f>
        <v>196</v>
      </c>
      <c r="E115" s="4" t="str">
        <f ca="1">IF(NOMENCLATURE_GEN!E115="","",NOMENCLATURE_GEN!E115)</f>
        <v>A</v>
      </c>
      <c r="F115" s="4" t="str">
        <f>IF(NOMENCLATURE_GEN!F115="","",NOMENCLATURE_GEN!F115)</f>
        <v>CHA</v>
      </c>
      <c r="G115" s="310" t="str">
        <f>IF(NOMENCLATURE_GEN!G115="","",NOMENCLATURE_GEN!G115)</f>
        <v>Ensemble passerelles et rails pour convoyeur navettes refus légers</v>
      </c>
      <c r="H115" s="4">
        <f>IF(NOMENCLATURE_GEN!H115="","",NOMENCLATURE_GEN!H115)</f>
        <v>8150</v>
      </c>
      <c r="I115" s="4">
        <f>IF(NOMENCLATURE_GEN!I115="","",NOMENCLATURE_GEN!I115)</f>
        <v>15600</v>
      </c>
      <c r="J115" s="130" t="str">
        <f>IF(NOMENCLATURE_GEN!J115="","",NOMENCLATURE_GEN!J115)</f>
        <v/>
      </c>
      <c r="K115" s="158" t="str">
        <f>IF(Motorisation!L115="","",Motorisation!L115)</f>
        <v>K57</v>
      </c>
      <c r="L115" s="159" t="str">
        <f>IF(NOMENCLATURE_GEN!R115="","",NOMENCLATURE_GEN!R115)</f>
        <v>-</v>
      </c>
      <c r="M115" s="164" t="str">
        <f>IF(NOMENCLATURE_GEN!L115="","",NOMENCLATURE_GEN!L115)</f>
        <v>NON</v>
      </c>
      <c r="N115" s="162"/>
      <c r="O115" s="22"/>
      <c r="P115" s="22"/>
      <c r="Q115" s="22"/>
      <c r="R115" s="22"/>
      <c r="S115" s="20"/>
      <c r="T115" s="20"/>
      <c r="U115" s="21"/>
      <c r="V115" s="7"/>
    </row>
    <row r="116" spans="2:22" s="3" customFormat="1" ht="39.950000000000003" hidden="1" customHeight="1">
      <c r="B116" s="129" t="str">
        <f>IF(NOMENCLATURE_GEN!B116="","",NOMENCLATURE_GEN!B116)</f>
        <v/>
      </c>
      <c r="C116" s="243" t="str">
        <f>IF(NOMENCLATURE_GEN!C116="","",NOMENCLATURE_GEN!C116)</f>
        <v/>
      </c>
      <c r="D116" s="4">
        <f>IF(NOMENCLATURE_GEN!D116="","",NOMENCLATURE_GEN!D116)</f>
        <v>197</v>
      </c>
      <c r="E116" s="4" t="str">
        <f ca="1">IF(NOMENCLATURE_GEN!E116="","",NOMENCLATURE_GEN!E116)</f>
        <v>A</v>
      </c>
      <c r="F116" s="4" t="str">
        <f>IF(NOMENCLATURE_GEN!F116="","",NOMENCLATURE_GEN!F116)</f>
        <v>CHA</v>
      </c>
      <c r="G116" s="310" t="str">
        <f>IF(NOMENCLATURE_GEN!G116="","",NOMENCLATURE_GEN!G116)</f>
        <v>Ensemble passerelles et rails pour convoyeurs navettes métaux</v>
      </c>
      <c r="H116" s="4">
        <f>IF(NOMENCLATURE_GEN!H116="","",NOMENCLATURE_GEN!H116)</f>
        <v>8150</v>
      </c>
      <c r="I116" s="4">
        <f>IF(NOMENCLATURE_GEN!I116="","",NOMENCLATURE_GEN!I116)</f>
        <v>7000</v>
      </c>
      <c r="J116" s="130" t="str">
        <f>IF(NOMENCLATURE_GEN!J116="","",NOMENCLATURE_GEN!J116)</f>
        <v/>
      </c>
      <c r="K116" s="158" t="str">
        <f>IF(Motorisation!L116="","",Motorisation!L116)</f>
        <v>K57</v>
      </c>
      <c r="L116" s="159" t="str">
        <f>IF(NOMENCLATURE_GEN!R116="","",NOMENCLATURE_GEN!R116)</f>
        <v>-</v>
      </c>
      <c r="M116" s="164" t="str">
        <f>IF(NOMENCLATURE_GEN!L116="","",NOMENCLATURE_GEN!L116)</f>
        <v>NON</v>
      </c>
      <c r="N116" s="162"/>
      <c r="O116" s="22"/>
      <c r="P116" s="22"/>
      <c r="Q116" s="22"/>
      <c r="R116" s="22"/>
      <c r="S116" s="20"/>
      <c r="T116" s="20"/>
      <c r="U116" s="21"/>
      <c r="V116" s="7"/>
    </row>
    <row r="117" spans="2:22" s="3" customFormat="1" ht="39.950000000000003" hidden="1" customHeight="1">
      <c r="B117" s="129" t="str">
        <f>IF(NOMENCLATURE_GEN!B117="","",NOMENCLATURE_GEN!B117)</f>
        <v/>
      </c>
      <c r="C117" s="243" t="str">
        <f>IF(NOMENCLATURE_GEN!C117="","",NOMENCLATURE_GEN!C117)</f>
        <v/>
      </c>
      <c r="D117" s="4">
        <f>IF(NOMENCLATURE_GEN!D117="","",NOMENCLATURE_GEN!D117)</f>
        <v>199</v>
      </c>
      <c r="E117" s="4" t="str">
        <f ca="1">IF(NOMENCLATURE_GEN!E117="","",NOMENCLATURE_GEN!E117)</f>
        <v>A</v>
      </c>
      <c r="F117" s="4" t="str">
        <f>IF(NOMENCLATURE_GEN!F117="","",NOMENCLATURE_GEN!F117)</f>
        <v>BRO</v>
      </c>
      <c r="G117" s="310" t="str">
        <f>IF(NOMENCLATURE_GEN!G117="","",NOMENCLATURE_GEN!G117)</f>
        <v>Broyeur pour métaux 30-180mm</v>
      </c>
      <c r="H117" s="4" t="str">
        <f>IF(NOMENCLATURE_GEN!H117="","",NOMENCLATURE_GEN!H117)</f>
        <v/>
      </c>
      <c r="I117" s="4" t="str">
        <f>IF(NOMENCLATURE_GEN!I117="","",NOMENCLATURE_GEN!I117)</f>
        <v/>
      </c>
      <c r="J117" s="130" t="str">
        <f>IF(NOMENCLATURE_GEN!J117="","",NOMENCLATURE_GEN!J117)</f>
        <v/>
      </c>
      <c r="K117" s="158" t="str">
        <f>IF(Motorisation!L117="","",Motorisation!L117)</f>
        <v>K57</v>
      </c>
      <c r="L117" s="159" t="str">
        <f>IF(NOMENCLATURE_GEN!R117="","",NOMENCLATURE_GEN!R117)</f>
        <v>-</v>
      </c>
      <c r="M117" s="164" t="str">
        <f>IF(NOMENCLATURE_GEN!L117="","",NOMENCLATURE_GEN!L117)</f>
        <v>NON</v>
      </c>
      <c r="N117" s="162"/>
      <c r="O117" s="22"/>
      <c r="P117" s="22"/>
      <c r="Q117" s="22"/>
      <c r="R117" s="22"/>
      <c r="S117" s="20"/>
      <c r="T117" s="20"/>
      <c r="U117" s="21"/>
      <c r="V117" s="7"/>
    </row>
    <row r="118" spans="2:22" s="3" customFormat="1" ht="39.950000000000003" customHeight="1">
      <c r="B118" s="129" t="str">
        <f>IF(NOMENCLATURE_GEN!B118="","",NOMENCLATURE_GEN!B118)</f>
        <v/>
      </c>
      <c r="C118" s="243" t="str">
        <f>IF(NOMENCLATURE_GEN!C118="","",NOMENCLATURE_GEN!C118)</f>
        <v/>
      </c>
      <c r="D118" s="4">
        <f>IF(NOMENCLATURE_GEN!D118="","",NOMENCLATURE_GEN!D118)</f>
        <v>200</v>
      </c>
      <c r="E118" s="4" t="str">
        <f ca="1">IF(NOMENCLATURE_GEN!E118="","",NOMENCLATURE_GEN!E118)</f>
        <v>A</v>
      </c>
      <c r="F118" s="4" t="str">
        <f>IF(NOMENCLATURE_GEN!F118="","",NOMENCLATURE_GEN!F118)</f>
        <v>TBE</v>
      </c>
      <c r="G118" s="310" t="str">
        <f>IF(NOMENCLATURE_GEN!G118="","",NOMENCLATURE_GEN!G118)</f>
        <v>Convoyeur de reprise sous broyeur des aciers 30-180mm</v>
      </c>
      <c r="H118" s="4">
        <f>IF(NOMENCLATURE_GEN!H118="","",NOMENCLATURE_GEN!H118)</f>
        <v>1000</v>
      </c>
      <c r="I118" s="4">
        <f>IF(NOMENCLATURE_GEN!I118="","",NOMENCLATURE_GEN!I118)</f>
        <v>6000</v>
      </c>
      <c r="J118" s="130">
        <f>IF(NOMENCLATURE_GEN!J118="","",NOMENCLATURE_GEN!J118)</f>
        <v>13</v>
      </c>
      <c r="K118" s="158" t="str">
        <f>IF(Motorisation!L118="","",Motorisation!L118)</f>
        <v>KA 57</v>
      </c>
      <c r="L118" s="159" t="str">
        <f>IF(NOMENCLATURE_GEN!R118="","",NOMENCLATURE_GEN!R118)</f>
        <v>Tete</v>
      </c>
      <c r="M118" s="164" t="str">
        <f>IF(NOMENCLATURE_GEN!L118="","",NOMENCLATURE_GEN!L118)</f>
        <v>NON</v>
      </c>
      <c r="N118" s="242" t="s">
        <v>723</v>
      </c>
      <c r="O118" s="552" t="s">
        <v>724</v>
      </c>
      <c r="P118" s="22"/>
      <c r="Q118" s="22"/>
      <c r="R118" s="22"/>
      <c r="S118" s="20"/>
      <c r="T118" s="20"/>
      <c r="U118" s="21"/>
      <c r="V118" s="7"/>
    </row>
    <row r="119" spans="2:22" s="3" customFormat="1" ht="39.950000000000003" customHeight="1">
      <c r="B119" s="129" t="str">
        <f>IF(NOMENCLATURE_GEN!B119="","",NOMENCLATURE_GEN!B119)</f>
        <v/>
      </c>
      <c r="C119" s="243" t="str">
        <f>IF(NOMENCLATURE_GEN!C119="","",NOMENCLATURE_GEN!C119)</f>
        <v/>
      </c>
      <c r="D119" s="4">
        <f>IF(NOMENCLATURE_GEN!D119="","",NOMENCLATURE_GEN!D119)</f>
        <v>201</v>
      </c>
      <c r="E119" s="4" t="str">
        <f ca="1">IF(NOMENCLATURE_GEN!E119="","",NOMENCLATURE_GEN!E119)</f>
        <v>A</v>
      </c>
      <c r="F119" s="4" t="str">
        <f>IF(NOMENCLATURE_GEN!F119="","",NOMENCLATURE_GEN!F119)</f>
        <v>TBE</v>
      </c>
      <c r="G119" s="310" t="str">
        <f>IF(NOMENCLATURE_GEN!G119="","",NOMENCLATURE_GEN!G119)</f>
        <v>Convoyeur de transfert des aciers 30-180mm vers OVB</v>
      </c>
      <c r="H119" s="4">
        <f>IF(NOMENCLATURE_GEN!H119="","",NOMENCLATURE_GEN!H119)</f>
        <v>1000</v>
      </c>
      <c r="I119" s="4">
        <f>IF(NOMENCLATURE_GEN!I119="","",NOMENCLATURE_GEN!I119)</f>
        <v>14750</v>
      </c>
      <c r="J119" s="130">
        <f>IF(NOMENCLATURE_GEN!J119="","",NOMENCLATURE_GEN!J119)</f>
        <v>19</v>
      </c>
      <c r="K119" s="158" t="str">
        <f>IF(Motorisation!L119="","",Motorisation!L119)</f>
        <v>KA 57</v>
      </c>
      <c r="L119" s="159" t="str">
        <f>IF(NOMENCLATURE_GEN!R119="","",NOMENCLATURE_GEN!R119)</f>
        <v>Tete</v>
      </c>
      <c r="M119" s="164" t="str">
        <f>IF(NOMENCLATURE_GEN!L119="","",NOMENCLATURE_GEN!L119)</f>
        <v>NON</v>
      </c>
      <c r="N119" s="242" t="s">
        <v>723</v>
      </c>
      <c r="O119" s="552" t="s">
        <v>724</v>
      </c>
      <c r="P119" s="22"/>
      <c r="Q119" s="22"/>
      <c r="R119" s="22"/>
      <c r="S119" s="20"/>
      <c r="T119" s="20"/>
      <c r="U119" s="21"/>
      <c r="V119" s="7"/>
    </row>
    <row r="120" spans="2:22" s="3" customFormat="1" ht="39.950000000000003" customHeight="1">
      <c r="B120" s="129" t="str">
        <f>IF(NOMENCLATURE_GEN!B120="","",NOMENCLATURE_GEN!B120)</f>
        <v/>
      </c>
      <c r="C120" s="243" t="str">
        <f>IF(NOMENCLATURE_GEN!C120="","",NOMENCLATURE_GEN!C120)</f>
        <v/>
      </c>
      <c r="D120" s="4">
        <f>IF(NOMENCLATURE_GEN!D120="","",NOMENCLATURE_GEN!D120)</f>
        <v>202</v>
      </c>
      <c r="E120" s="4" t="str">
        <f ca="1">IF(NOMENCLATURE_GEN!E120="","",NOMENCLATURE_GEN!E120)</f>
        <v>A</v>
      </c>
      <c r="F120" s="4" t="str">
        <f>IF(NOMENCLATURE_GEN!F120="","",NOMENCLATURE_GEN!F120)</f>
        <v>TBE</v>
      </c>
      <c r="G120" s="310" t="str">
        <f>IF(NOMENCLATURE_GEN!G120="","",NOMENCLATURE_GEN!G120)</f>
        <v>Convoyeur d'alimentation du séparateur de ferreux</v>
      </c>
      <c r="H120" s="4">
        <f>IF(NOMENCLATURE_GEN!H120="","",NOMENCLATURE_GEN!H120)</f>
        <v>1000</v>
      </c>
      <c r="I120" s="4">
        <f>IF(NOMENCLATURE_GEN!I120="","",NOMENCLATURE_GEN!I120)</f>
        <v>7500</v>
      </c>
      <c r="J120" s="130">
        <f>IF(NOMENCLATURE_GEN!J120="","",NOMENCLATURE_GEN!J120)</f>
        <v>19</v>
      </c>
      <c r="K120" s="158" t="str">
        <f>IF(Motorisation!L120="","",Motorisation!L120)</f>
        <v>KA 57</v>
      </c>
      <c r="L120" s="159" t="str">
        <f>IF(NOMENCLATURE_GEN!R120="","",NOMENCLATURE_GEN!R120)</f>
        <v>Tete</v>
      </c>
      <c r="M120" s="164" t="str">
        <f>IF(NOMENCLATURE_GEN!L120="","",NOMENCLATURE_GEN!L120)</f>
        <v>OUI</v>
      </c>
      <c r="N120" s="242" t="s">
        <v>750</v>
      </c>
      <c r="O120" s="552" t="s">
        <v>724</v>
      </c>
      <c r="P120" s="22"/>
      <c r="Q120" s="22"/>
      <c r="R120" s="22"/>
      <c r="S120" s="20"/>
      <c r="T120" s="20"/>
      <c r="U120" s="21"/>
      <c r="V120" s="7"/>
    </row>
    <row r="121" spans="2:22" s="3" customFormat="1" ht="39.950000000000003" hidden="1" customHeight="1">
      <c r="B121" s="129" t="str">
        <f>IF(NOMENCLATURE_GEN!B121="","",NOMENCLATURE_GEN!B121)</f>
        <v/>
      </c>
      <c r="C121" s="243" t="str">
        <f>IF(NOMENCLATURE_GEN!C121="","",NOMENCLATURE_GEN!C121)</f>
        <v/>
      </c>
      <c r="D121" s="4">
        <f>IF(NOMENCLATURE_GEN!D121="","",NOMENCLATURE_GEN!D121)</f>
        <v>203</v>
      </c>
      <c r="E121" s="4" t="str">
        <f ca="1">IF(NOMENCLATURE_GEN!E121="","",NOMENCLATURE_GEN!E121)</f>
        <v>A</v>
      </c>
      <c r="F121" s="4" t="str">
        <f>IF(NOMENCLATURE_GEN!F121="","",NOMENCLATURE_GEN!F121)</f>
        <v>OVB</v>
      </c>
      <c r="G121" s="310" t="str">
        <f>IF(NOMENCLATURE_GEN!G121="","",NOMENCLATURE_GEN!G121)</f>
        <v>Séparateur magnétique à aimant permament</v>
      </c>
      <c r="H121" s="4">
        <f>IF(NOMENCLATURE_GEN!H121="","",NOMENCLATURE_GEN!H121)</f>
        <v>1000</v>
      </c>
      <c r="I121" s="4">
        <f>IF(NOMENCLATURE_GEN!I121="","",NOMENCLATURE_GEN!I121)</f>
        <v>2500</v>
      </c>
      <c r="J121" s="130" t="str">
        <f>IF(NOMENCLATURE_GEN!J121="","",NOMENCLATURE_GEN!J121)</f>
        <v/>
      </c>
      <c r="K121" s="158" t="str">
        <f>IF(Motorisation!L121="","",Motorisation!L121)</f>
        <v/>
      </c>
      <c r="L121" s="159" t="str">
        <f>IF(NOMENCLATURE_GEN!R121="","",NOMENCLATURE_GEN!R121)</f>
        <v>Tete</v>
      </c>
      <c r="M121" s="164" t="str">
        <f>IF(NOMENCLATURE_GEN!L121="","",NOMENCLATURE_GEN!L121)</f>
        <v>NON</v>
      </c>
      <c r="N121" s="162"/>
      <c r="O121" s="22"/>
      <c r="P121" s="22"/>
      <c r="Q121" s="22"/>
      <c r="R121" s="22"/>
      <c r="S121" s="20"/>
      <c r="T121" s="20"/>
      <c r="U121" s="21"/>
      <c r="V121" s="7"/>
    </row>
    <row r="122" spans="2:22" s="3" customFormat="1" ht="39.950000000000003" hidden="1" customHeight="1">
      <c r="B122" s="129" t="str">
        <f>IF(NOMENCLATURE_GEN!B122="","",NOMENCLATURE_GEN!B122)</f>
        <v/>
      </c>
      <c r="C122" s="243" t="str">
        <f>IF(NOMENCLATURE_GEN!C122="","",NOMENCLATURE_GEN!C122)</f>
        <v/>
      </c>
      <c r="D122" s="4">
        <f>IF(NOMENCLATURE_GEN!D122="","",NOMENCLATURE_GEN!D122)</f>
        <v>203</v>
      </c>
      <c r="E122" s="4" t="str">
        <f ca="1">IF(NOMENCLATURE_GEN!E122="","",NOMENCLATURE_GEN!E122)</f>
        <v>B</v>
      </c>
      <c r="F122" s="4" t="str">
        <f>IF(NOMENCLATURE_GEN!F122="","",NOMENCLATURE_GEN!F122)</f>
        <v>GLT</v>
      </c>
      <c r="G122" s="310" t="str">
        <f>IF(NOMENCLATURE_GEN!G122="","",NOMENCLATURE_GEN!G122)</f>
        <v>GOULOTTE AVEC VERIN</v>
      </c>
      <c r="H122" s="4" t="str">
        <f>IF(NOMENCLATURE_GEN!H122="","",NOMENCLATURE_GEN!H122)</f>
        <v/>
      </c>
      <c r="I122" s="4" t="str">
        <f>IF(NOMENCLATURE_GEN!I122="","",NOMENCLATURE_GEN!I122)</f>
        <v/>
      </c>
      <c r="J122" s="130" t="str">
        <f>IF(NOMENCLATURE_GEN!J122="","",NOMENCLATURE_GEN!J122)</f>
        <v/>
      </c>
      <c r="K122" s="158" t="str">
        <f>IF(Motorisation!L122="","",Motorisation!L122)</f>
        <v/>
      </c>
      <c r="L122" s="159" t="str">
        <f>IF(NOMENCLATURE_GEN!R122="","",NOMENCLATURE_GEN!R122)</f>
        <v/>
      </c>
      <c r="M122" s="164" t="str">
        <f>IF(NOMENCLATURE_GEN!L122="","",NOMENCLATURE_GEN!L122)</f>
        <v/>
      </c>
      <c r="N122" s="162"/>
      <c r="O122" s="22"/>
      <c r="P122" s="22"/>
      <c r="Q122" s="22"/>
      <c r="R122" s="22"/>
      <c r="S122" s="20"/>
      <c r="T122" s="20"/>
      <c r="U122" s="21"/>
      <c r="V122" s="7"/>
    </row>
    <row r="123" spans="2:22" s="3" customFormat="1" ht="39.950000000000003" hidden="1" customHeight="1">
      <c r="B123" s="129" t="str">
        <f>IF(NOMENCLATURE_GEN!B123="","",NOMENCLATURE_GEN!B123)</f>
        <v>SUP</v>
      </c>
      <c r="C123" s="243" t="str">
        <f>IF(NOMENCLATURE_GEN!C123="","",NOMENCLATURE_GEN!C123)</f>
        <v/>
      </c>
      <c r="D123" s="4">
        <f>IF(NOMENCLATURE_GEN!D123="","",NOMENCLATURE_GEN!D123)</f>
        <v>204</v>
      </c>
      <c r="E123" s="4" t="str">
        <f ca="1">IF(NOMENCLATURE_GEN!E123="","",NOMENCLATURE_GEN!E123)</f>
        <v>A</v>
      </c>
      <c r="F123" s="4" t="str">
        <f>IF(NOMENCLATURE_GEN!F123="","",NOMENCLATURE_GEN!F123)</f>
        <v>CHA</v>
      </c>
      <c r="G123" s="310" t="str">
        <f>IF(NOMENCLATURE_GEN!G123="","",NOMENCLATURE_GEN!G123)</f>
        <v>Charpente support OVB + protection grillagée et goulotte inox</v>
      </c>
      <c r="H123" s="4" t="str">
        <f>IF(NOMENCLATURE_GEN!H123="","",NOMENCLATURE_GEN!H123)</f>
        <v/>
      </c>
      <c r="I123" s="4" t="str">
        <f>IF(NOMENCLATURE_GEN!I123="","",NOMENCLATURE_GEN!I123)</f>
        <v/>
      </c>
      <c r="J123" s="130" t="str">
        <f>IF(NOMENCLATURE_GEN!J123="","",NOMENCLATURE_GEN!J123)</f>
        <v/>
      </c>
      <c r="K123" s="158" t="str">
        <f>IF(Motorisation!L123="","",Motorisation!L123)</f>
        <v/>
      </c>
      <c r="L123" s="159" t="str">
        <f>IF(NOMENCLATURE_GEN!R123="","",NOMENCLATURE_GEN!R123)</f>
        <v>-</v>
      </c>
      <c r="M123" s="164" t="str">
        <f>IF(NOMENCLATURE_GEN!L123="","",NOMENCLATURE_GEN!L123)</f>
        <v>NON</v>
      </c>
      <c r="N123" s="162"/>
      <c r="O123" s="22"/>
      <c r="P123" s="22"/>
      <c r="Q123" s="22"/>
      <c r="R123" s="22"/>
      <c r="S123" s="20"/>
      <c r="T123" s="20"/>
      <c r="U123" s="21"/>
      <c r="V123" s="7"/>
    </row>
    <row r="124" spans="2:22" s="3" customFormat="1" ht="39.950000000000003" hidden="1" customHeight="1">
      <c r="B124" s="129" t="str">
        <f>IF(NOMENCLATURE_GEN!B124="","",NOMENCLATURE_GEN!B124)</f>
        <v>SUP</v>
      </c>
      <c r="C124" s="243" t="str">
        <f>IF(NOMENCLATURE_GEN!C124="","",NOMENCLATURE_GEN!C124)</f>
        <v/>
      </c>
      <c r="D124" s="4">
        <f>IF(NOMENCLATURE_GEN!D124="","",NOMENCLATURE_GEN!D124)</f>
        <v>205</v>
      </c>
      <c r="E124" s="4" t="str">
        <f ca="1">IF(NOMENCLATURE_GEN!E124="","",NOMENCLATURE_GEN!E124)</f>
        <v>A</v>
      </c>
      <c r="F124" s="4" t="str">
        <f>IF(NOMENCLATURE_GEN!F124="","",NOMENCLATURE_GEN!F124)</f>
        <v>CHA</v>
      </c>
      <c r="G124" s="310" t="str">
        <f>IF(NOMENCLATURE_GEN!G124="","",NOMENCLATURE_GEN!G124)</f>
        <v>Charpente support et accès maintenance broyeur</v>
      </c>
      <c r="H124" s="4">
        <f>IF(NOMENCLATURE_GEN!H124="","",NOMENCLATURE_GEN!H124)</f>
        <v>3500</v>
      </c>
      <c r="I124" s="4">
        <f>IF(NOMENCLATURE_GEN!I124="","",NOMENCLATURE_GEN!I124)</f>
        <v>4000</v>
      </c>
      <c r="J124" s="130" t="str">
        <f>IF(NOMENCLATURE_GEN!J124="","",NOMENCLATURE_GEN!J124)</f>
        <v/>
      </c>
      <c r="K124" s="158" t="str">
        <f>IF(Motorisation!L124="","",Motorisation!L124)</f>
        <v/>
      </c>
      <c r="L124" s="159" t="str">
        <f>IF(NOMENCLATURE_GEN!R124="","",NOMENCLATURE_GEN!R124)</f>
        <v>-</v>
      </c>
      <c r="M124" s="164" t="str">
        <f>IF(NOMENCLATURE_GEN!L124="","",NOMENCLATURE_GEN!L124)</f>
        <v>NON</v>
      </c>
      <c r="N124" s="162"/>
      <c r="O124" s="22"/>
      <c r="P124" s="22"/>
      <c r="Q124" s="22"/>
      <c r="R124" s="22"/>
      <c r="S124" s="20"/>
      <c r="T124" s="20"/>
      <c r="U124" s="21"/>
      <c r="V124" s="7"/>
    </row>
    <row r="125" spans="2:22" s="3" customFormat="1" ht="39.950000000000003" customHeight="1">
      <c r="B125" s="129" t="str">
        <f>IF(NOMENCLATURE_GEN!B125="","",NOMENCLATURE_GEN!B125)</f>
        <v/>
      </c>
      <c r="C125" s="243" t="str">
        <f>IF(NOMENCLATURE_GEN!C125="","",NOMENCLATURE_GEN!C125)</f>
        <v/>
      </c>
      <c r="D125" s="4">
        <f>IF(NOMENCLATURE_GEN!D125="","",NOMENCLATURE_GEN!D125)</f>
        <v>207</v>
      </c>
      <c r="E125" s="4" t="str">
        <f ca="1">IF(NOMENCLATURE_GEN!E125="","",NOMENCLATURE_GEN!E125)</f>
        <v>A</v>
      </c>
      <c r="F125" s="4" t="str">
        <f>IF(NOMENCLATURE_GEN!F125="","",NOMENCLATURE_GEN!F125)</f>
        <v>TBE</v>
      </c>
      <c r="G125" s="310" t="str">
        <f>IF(NOMENCLATURE_GEN!G125="","",NOMENCLATURE_GEN!G125)</f>
        <v>Convoyeur by-pass presse à paquets</v>
      </c>
      <c r="H125" s="4">
        <f>IF(NOMENCLATURE_GEN!H125="","",NOMENCLATURE_GEN!H125)</f>
        <v>800</v>
      </c>
      <c r="I125" s="4">
        <f>IF(NOMENCLATURE_GEN!I125="","",NOMENCLATURE_GEN!I125)</f>
        <v>3500</v>
      </c>
      <c r="J125" s="130">
        <f>IF(NOMENCLATURE_GEN!J125="","",NOMENCLATURE_GEN!J125)</f>
        <v>0</v>
      </c>
      <c r="K125" s="158" t="str">
        <f>IF(Motorisation!L125="","",Motorisation!L125)</f>
        <v>MGFAT4</v>
      </c>
      <c r="L125" s="159" t="str">
        <f>IF(NOMENCLATURE_GEN!R125="","",NOMENCLATURE_GEN!R125)</f>
        <v>Tete</v>
      </c>
      <c r="M125" s="164" t="str">
        <f>IF(NOMENCLATURE_GEN!L125="","",NOMENCLATURE_GEN!L125)</f>
        <v>NON</v>
      </c>
      <c r="N125" s="242" t="s">
        <v>720</v>
      </c>
      <c r="O125" s="552" t="s">
        <v>722</v>
      </c>
      <c r="P125" s="22"/>
      <c r="Q125" s="22"/>
      <c r="R125" s="22"/>
      <c r="S125" s="20"/>
      <c r="T125" s="20"/>
      <c r="U125" s="21"/>
      <c r="V125" s="7"/>
    </row>
    <row r="126" spans="2:22" s="3" customFormat="1" ht="39.950000000000003" hidden="1" customHeight="1">
      <c r="B126" s="129" t="str">
        <f>IF(NOMENCLATURE_GEN!B126="","",NOMENCLATURE_GEN!B126)</f>
        <v/>
      </c>
      <c r="C126" s="243" t="str">
        <f>IF(NOMENCLATURE_GEN!C126="","",NOMENCLATURE_GEN!C126)</f>
        <v/>
      </c>
      <c r="D126" s="4">
        <f>IF(NOMENCLATURE_GEN!D126="","",NOMENCLATURE_GEN!D126)</f>
        <v>208</v>
      </c>
      <c r="E126" s="4" t="str">
        <f ca="1">IF(NOMENCLATURE_GEN!E126="","",NOMENCLATURE_GEN!E126)</f>
        <v>A</v>
      </c>
      <c r="F126" s="4" t="str">
        <f>IF(NOMENCLATURE_GEN!F126="","",NOMENCLATURE_GEN!F126)</f>
        <v>SOL</v>
      </c>
      <c r="G126" s="310" t="str">
        <f>IF(NOMENCLATURE_GEN!G126="","",NOMENCLATURE_GEN!G126)</f>
        <v>RLX séparateur objets longs SUR CVY 162</v>
      </c>
      <c r="H126" s="4" t="str">
        <f>IF(NOMENCLATURE_GEN!H126="","",NOMENCLATURE_GEN!H126)</f>
        <v/>
      </c>
      <c r="I126" s="4" t="str">
        <f>IF(NOMENCLATURE_GEN!I126="","",NOMENCLATURE_GEN!I126)</f>
        <v/>
      </c>
      <c r="J126" s="130" t="str">
        <f>IF(NOMENCLATURE_GEN!J126="","",NOMENCLATURE_GEN!J126)</f>
        <v/>
      </c>
      <c r="K126" s="158" t="str">
        <f>IF(Motorisation!L126="","",Motorisation!L126)</f>
        <v>MGFAT4</v>
      </c>
      <c r="L126" s="159" t="str">
        <f>IF(NOMENCLATURE_GEN!R126="","",NOMENCLATURE_GEN!R126)</f>
        <v>-</v>
      </c>
      <c r="M126" s="164" t="str">
        <f>IF(NOMENCLATURE_GEN!L126="","",NOMENCLATURE_GEN!L126)</f>
        <v>NON</v>
      </c>
      <c r="N126" s="162"/>
      <c r="O126" s="22"/>
      <c r="P126" s="22"/>
      <c r="Q126" s="22"/>
      <c r="R126" s="22"/>
      <c r="S126" s="20"/>
      <c r="T126" s="20"/>
      <c r="U126" s="21"/>
      <c r="V126" s="7"/>
    </row>
    <row r="127" spans="2:22" s="3" customFormat="1" ht="39.950000000000003" hidden="1" customHeight="1">
      <c r="B127" s="129" t="str">
        <f>IF(NOMENCLATURE_GEN!B127="","",NOMENCLATURE_GEN!B127)</f>
        <v/>
      </c>
      <c r="C127" s="243" t="str">
        <f>IF(NOMENCLATURE_GEN!C127="","",NOMENCLATURE_GEN!C127)</f>
        <v/>
      </c>
      <c r="D127" s="4">
        <f>IF(NOMENCLATURE_GEN!D127="","",NOMENCLATURE_GEN!D127)</f>
        <v>209</v>
      </c>
      <c r="E127" s="4" t="str">
        <f ca="1">IF(NOMENCLATURE_GEN!E127="","",NOMENCLATURE_GEN!E127)</f>
        <v>A</v>
      </c>
      <c r="F127" s="4" t="str">
        <f>IF(NOMENCLATURE_GEN!F127="","",NOMENCLATURE_GEN!F127)</f>
        <v>PRP</v>
      </c>
      <c r="G127" s="310" t="str">
        <f>IF(NOMENCLATURE_GEN!G127="","",NOMENCLATURE_GEN!G127)</f>
        <v>Fourniture et pose d'une presse à paquets PP11</v>
      </c>
      <c r="H127" s="4" t="str">
        <f>IF(NOMENCLATURE_GEN!H127="","",NOMENCLATURE_GEN!H127)</f>
        <v/>
      </c>
      <c r="I127" s="4" t="str">
        <f>IF(NOMENCLATURE_GEN!I127="","",NOMENCLATURE_GEN!I127)</f>
        <v/>
      </c>
      <c r="J127" s="130" t="str">
        <f>IF(NOMENCLATURE_GEN!J127="","",NOMENCLATURE_GEN!J127)</f>
        <v/>
      </c>
      <c r="K127" s="158" t="str">
        <f>IF(Motorisation!L127="","",Motorisation!L127)</f>
        <v>K57</v>
      </c>
      <c r="L127" s="159" t="str">
        <f>IF(NOMENCLATURE_GEN!R127="","",NOMENCLATURE_GEN!R127)</f>
        <v>-</v>
      </c>
      <c r="M127" s="164" t="str">
        <f>IF(NOMENCLATURE_GEN!L127="","",NOMENCLATURE_GEN!L127)</f>
        <v>NON</v>
      </c>
      <c r="N127" s="162"/>
      <c r="O127" s="22"/>
      <c r="P127" s="22"/>
      <c r="Q127" s="22"/>
      <c r="R127" s="22"/>
      <c r="S127" s="20"/>
      <c r="T127" s="20"/>
      <c r="U127" s="21"/>
      <c r="V127" s="7"/>
    </row>
    <row r="128" spans="2:22" s="3" customFormat="1" ht="39.950000000000003" hidden="1" customHeight="1">
      <c r="B128" s="129" t="str">
        <f>IF(NOMENCLATURE_GEN!B128="","",NOMENCLATURE_GEN!B128)</f>
        <v>SUP</v>
      </c>
      <c r="C128" s="243" t="str">
        <f>IF(NOMENCLATURE_GEN!C128="","",NOMENCLATURE_GEN!C128)</f>
        <v/>
      </c>
      <c r="D128" s="4">
        <f>IF(NOMENCLATURE_GEN!D128="","",NOMENCLATURE_GEN!D128)</f>
        <v>210</v>
      </c>
      <c r="E128" s="4" t="str">
        <f ca="1">IF(NOMENCLATURE_GEN!E128="","",NOMENCLATURE_GEN!E128)</f>
        <v>A</v>
      </c>
      <c r="F128" s="4" t="str">
        <f>IF(NOMENCLATURE_GEN!F128="","",NOMENCLATURE_GEN!F128)</f>
        <v>COU</v>
      </c>
      <c r="G128" s="310" t="str">
        <f>IF(NOMENCLATURE_GEN!G128="","",NOMENCLATURE_GEN!G128)</f>
        <v>Moins value pour suppressions Couronne rotatif pour convoyeur de mise en tas FFOM</v>
      </c>
      <c r="H128" s="4" t="str">
        <f>IF(NOMENCLATURE_GEN!H128="","",NOMENCLATURE_GEN!H128)</f>
        <v/>
      </c>
      <c r="I128" s="4" t="str">
        <f>IF(NOMENCLATURE_GEN!I128="","",NOMENCLATURE_GEN!I128)</f>
        <v/>
      </c>
      <c r="J128" s="130" t="str">
        <f>IF(NOMENCLATURE_GEN!J128="","",NOMENCLATURE_GEN!J128)</f>
        <v/>
      </c>
      <c r="K128" s="158" t="str">
        <f>IF(Motorisation!L128="","",Motorisation!L128)</f>
        <v>K57</v>
      </c>
      <c r="L128" s="159" t="str">
        <f>IF(NOMENCLATURE_GEN!R128="","",NOMENCLATURE_GEN!R128)</f>
        <v>-</v>
      </c>
      <c r="M128" s="164" t="str">
        <f>IF(NOMENCLATURE_GEN!L128="","",NOMENCLATURE_GEN!L128)</f>
        <v>NON</v>
      </c>
      <c r="N128" s="162"/>
      <c r="O128" s="22"/>
      <c r="P128" s="22"/>
      <c r="Q128" s="22"/>
      <c r="R128" s="22"/>
      <c r="S128" s="20"/>
      <c r="T128" s="20"/>
      <c r="U128" s="21"/>
      <c r="V128" s="7"/>
    </row>
    <row r="129" spans="2:22" s="3" customFormat="1" ht="39.950000000000003" hidden="1" customHeight="1">
      <c r="B129" s="129" t="str">
        <f>IF(NOMENCLATURE_GEN!B129="","",NOMENCLATURE_GEN!B129)</f>
        <v/>
      </c>
      <c r="C129" s="243" t="str">
        <f>IF(NOMENCLATURE_GEN!C129="","",NOMENCLATURE_GEN!C129)</f>
        <v/>
      </c>
      <c r="D129" s="4">
        <f>IF(NOMENCLATURE_GEN!D129="","",NOMENCLATURE_GEN!D129)</f>
        <v>211</v>
      </c>
      <c r="E129" s="4" t="str">
        <f ca="1">IF(NOMENCLATURE_GEN!E129="","",NOMENCLATURE_GEN!E129)</f>
        <v>A</v>
      </c>
      <c r="F129" s="4" t="str">
        <f>IF(NOMENCLATURE_GEN!F129="","",NOMENCLATURE_GEN!F129)</f>
        <v>NAV</v>
      </c>
      <c r="G129" s="310" t="str">
        <f>IF(NOMENCLATURE_GEN!G129="","",NOMENCLATURE_GEN!G129)</f>
        <v>Navette pour convoyeur mobile remplissage benne FFOM TBE 160</v>
      </c>
      <c r="H129" s="4" t="str">
        <f>IF(NOMENCLATURE_GEN!H129="","",NOMENCLATURE_GEN!H129)</f>
        <v/>
      </c>
      <c r="I129" s="4" t="str">
        <f>IF(NOMENCLATURE_GEN!I129="","",NOMENCLATURE_GEN!I129)</f>
        <v/>
      </c>
      <c r="J129" s="130" t="str">
        <f>IF(NOMENCLATURE_GEN!J129="","",NOMENCLATURE_GEN!J129)</f>
        <v/>
      </c>
      <c r="K129" s="158" t="str">
        <f>IF(Motorisation!L129="","",Motorisation!L129)</f>
        <v>K57</v>
      </c>
      <c r="L129" s="159" t="str">
        <f>IF(NOMENCLATURE_GEN!R129="","",NOMENCLATURE_GEN!R129)</f>
        <v>-</v>
      </c>
      <c r="M129" s="164" t="str">
        <f>IF(NOMENCLATURE_GEN!L129="","",NOMENCLATURE_GEN!L129)</f>
        <v>NON</v>
      </c>
      <c r="N129" s="162"/>
      <c r="O129" s="22"/>
      <c r="P129" s="22"/>
      <c r="Q129" s="22"/>
      <c r="R129" s="22"/>
      <c r="S129" s="20"/>
      <c r="T129" s="20"/>
      <c r="U129" s="21"/>
      <c r="V129" s="7"/>
    </row>
    <row r="130" spans="2:22" s="3" customFormat="1" ht="39.950000000000003" hidden="1" customHeight="1">
      <c r="B130" s="129" t="str">
        <f>IF(NOMENCLATURE_GEN!B130="","",NOMENCLATURE_GEN!B130)</f>
        <v/>
      </c>
      <c r="C130" s="243" t="str">
        <f>IF(NOMENCLATURE_GEN!C130="","",NOMENCLATURE_GEN!C130)</f>
        <v/>
      </c>
      <c r="D130" s="4">
        <f>IF(NOMENCLATURE_GEN!D130="","",NOMENCLATURE_GEN!D130)</f>
        <v>212</v>
      </c>
      <c r="E130" s="4" t="str">
        <f ca="1">IF(NOMENCLATURE_GEN!E130="","",NOMENCLATURE_GEN!E130)</f>
        <v>A</v>
      </c>
      <c r="F130" s="4" t="str">
        <f>IF(NOMENCLATURE_GEN!F130="","",NOMENCLATURE_GEN!F130)</f>
        <v>CHA</v>
      </c>
      <c r="G130" s="310" t="str">
        <f>IF(NOMENCLATURE_GEN!G130="","",NOMENCLATURE_GEN!G130)</f>
        <v>Ensemble passerelle pour convoyeur navette FFOM</v>
      </c>
      <c r="H130" s="4" t="str">
        <f>IF(NOMENCLATURE_GEN!H130="","",NOMENCLATURE_GEN!H130)</f>
        <v/>
      </c>
      <c r="I130" s="4" t="str">
        <f>IF(NOMENCLATURE_GEN!I130="","",NOMENCLATURE_GEN!I130)</f>
        <v/>
      </c>
      <c r="J130" s="130" t="str">
        <f>IF(NOMENCLATURE_GEN!J130="","",NOMENCLATURE_GEN!J130)</f>
        <v/>
      </c>
      <c r="K130" s="158" t="str">
        <f>IF(Motorisation!L130="","",Motorisation!L130)</f>
        <v/>
      </c>
      <c r="L130" s="159" t="str">
        <f>IF(NOMENCLATURE_GEN!R130="","",NOMENCLATURE_GEN!R130)</f>
        <v>-</v>
      </c>
      <c r="M130" s="164" t="str">
        <f>IF(NOMENCLATURE_GEN!L130="","",NOMENCLATURE_GEN!L130)</f>
        <v>NON</v>
      </c>
      <c r="N130" s="162"/>
      <c r="O130" s="22"/>
      <c r="P130" s="22"/>
      <c r="Q130" s="22"/>
      <c r="R130" s="22"/>
      <c r="S130" s="20"/>
      <c r="T130" s="20"/>
      <c r="U130" s="21"/>
      <c r="V130" s="7"/>
    </row>
    <row r="131" spans="2:22" s="3" customFormat="1" ht="39.950000000000003" hidden="1" customHeight="1">
      <c r="B131" s="129" t="str">
        <f>IF(NOMENCLATURE_GEN!B131="","",NOMENCLATURE_GEN!B131)</f>
        <v/>
      </c>
      <c r="C131" s="243" t="str">
        <f>IF(NOMENCLATURE_GEN!C131="","",NOMENCLATURE_GEN!C131)</f>
        <v/>
      </c>
      <c r="D131" s="4">
        <f>IF(NOMENCLATURE_GEN!D131="","",NOMENCLATURE_GEN!D131)</f>
        <v>213</v>
      </c>
      <c r="E131" s="4" t="str">
        <f ca="1">IF(NOMENCLATURE_GEN!E131="","",NOMENCLATURE_GEN!E131)</f>
        <v>A</v>
      </c>
      <c r="F131" s="4" t="str">
        <f>IF(NOMENCLATURE_GEN!F131="","",NOMENCLATURE_GEN!F131)</f>
        <v>PES</v>
      </c>
      <c r="G131" s="310" t="str">
        <f>IF(NOMENCLATURE_GEN!G131="","",NOMENCLATURE_GEN!G131)</f>
        <v>Pesage des paquets d'aciers en sortie</v>
      </c>
      <c r="H131" s="4" t="str">
        <f>IF(NOMENCLATURE_GEN!H131="","",NOMENCLATURE_GEN!H131)</f>
        <v/>
      </c>
      <c r="I131" s="4" t="str">
        <f>IF(NOMENCLATURE_GEN!I131="","",NOMENCLATURE_GEN!I131)</f>
        <v/>
      </c>
      <c r="J131" s="130" t="str">
        <f>IF(NOMENCLATURE_GEN!J131="","",NOMENCLATURE_GEN!J131)</f>
        <v/>
      </c>
      <c r="K131" s="158" t="str">
        <f>IF(Motorisation!L131="","",Motorisation!L131)</f>
        <v/>
      </c>
      <c r="L131" s="159" t="str">
        <f>IF(NOMENCLATURE_GEN!R131="","",NOMENCLATURE_GEN!R131)</f>
        <v>-</v>
      </c>
      <c r="M131" s="164" t="str">
        <f>IF(NOMENCLATURE_GEN!L131="","",NOMENCLATURE_GEN!L131)</f>
        <v>NON</v>
      </c>
      <c r="N131" s="162"/>
      <c r="O131" s="22"/>
      <c r="P131" s="22"/>
      <c r="Q131" s="22"/>
      <c r="R131" s="22"/>
      <c r="S131" s="20"/>
      <c r="T131" s="20"/>
      <c r="U131" s="21"/>
      <c r="V131" s="7"/>
    </row>
    <row r="132" spans="2:22" s="3" customFormat="1" ht="39.950000000000003" hidden="1" customHeight="1">
      <c r="B132" s="129" t="str">
        <f>IF(NOMENCLATURE_GEN!B132="","",NOMENCLATURE_GEN!B132)</f>
        <v/>
      </c>
      <c r="C132" s="243" t="str">
        <f>IF(NOMENCLATURE_GEN!C132="","",NOMENCLATURE_GEN!C132)</f>
        <v/>
      </c>
      <c r="D132" s="4">
        <f>IF(NOMENCLATURE_GEN!D132="","",NOMENCLATURE_GEN!D132)</f>
        <v>215</v>
      </c>
      <c r="E132" s="4" t="str">
        <f ca="1">IF(NOMENCLATURE_GEN!E132="","",NOMENCLATURE_GEN!E132)</f>
        <v>A</v>
      </c>
      <c r="F132" s="4" t="str">
        <f>IF(NOMENCLATURE_GEN!F132="","",NOMENCLATURE_GEN!F132)</f>
        <v>ELEC</v>
      </c>
      <c r="G132" s="310" t="str">
        <f>IF(NOMENCLATURE_GEN!G132="","",NOMENCLATURE_GEN!G132)</f>
        <v>Cablage électrique + capteurs</v>
      </c>
      <c r="H132" s="4" t="str">
        <f>IF(NOMENCLATURE_GEN!H132="","",NOMENCLATURE_GEN!H132)</f>
        <v/>
      </c>
      <c r="I132" s="4" t="str">
        <f>IF(NOMENCLATURE_GEN!I132="","",NOMENCLATURE_GEN!I132)</f>
        <v/>
      </c>
      <c r="J132" s="130" t="str">
        <f>IF(NOMENCLATURE_GEN!J132="","",NOMENCLATURE_GEN!J132)</f>
        <v/>
      </c>
      <c r="K132" s="158" t="str">
        <f>IF(Motorisation!L132="","",Motorisation!L132)</f>
        <v/>
      </c>
      <c r="L132" s="159" t="str">
        <f>IF(NOMENCLATURE_GEN!R132="","",NOMENCLATURE_GEN!R132)</f>
        <v>-</v>
      </c>
      <c r="M132" s="164" t="str">
        <f>IF(NOMENCLATURE_GEN!L132="","",NOMENCLATURE_GEN!L132)</f>
        <v>NON</v>
      </c>
      <c r="N132" s="162"/>
      <c r="O132" s="22"/>
      <c r="P132" s="22"/>
      <c r="Q132" s="22"/>
      <c r="R132" s="22"/>
      <c r="S132" s="20"/>
      <c r="T132" s="20"/>
      <c r="U132" s="21"/>
      <c r="V132" s="7"/>
    </row>
    <row r="133" spans="2:22" s="3" customFormat="1" ht="39.950000000000003" hidden="1" customHeight="1">
      <c r="B133" s="129" t="str">
        <f>IF(NOMENCLATURE_GEN!B133="","",NOMENCLATURE_GEN!B133)</f>
        <v/>
      </c>
      <c r="C133" s="243" t="str">
        <f>IF(NOMENCLATURE_GEN!C133="","",NOMENCLATURE_GEN!C133)</f>
        <v/>
      </c>
      <c r="D133" s="4">
        <f>IF(NOMENCLATURE_GEN!D133="","",NOMENCLATURE_GEN!D133)</f>
        <v>219</v>
      </c>
      <c r="E133" s="4" t="str">
        <f ca="1">IF(NOMENCLATURE_GEN!E133="","",NOMENCLATURE_GEN!E133)</f>
        <v>A</v>
      </c>
      <c r="F133" s="4" t="str">
        <f>IF(NOMENCLATURE_GEN!F133="","",NOMENCLATURE_GEN!F133)</f>
        <v>PES</v>
      </c>
      <c r="G133" s="310" t="str">
        <f>IF(NOMENCLATURE_GEN!G133="","",NOMENCLATURE_GEN!G133)</f>
        <v>Station de pesage dynamique sur CBA 199 fraction FFOM vers métha</v>
      </c>
      <c r="H133" s="4" t="str">
        <f>IF(NOMENCLATURE_GEN!H133="","",NOMENCLATURE_GEN!H133)</f>
        <v/>
      </c>
      <c r="I133" s="4" t="str">
        <f>IF(NOMENCLATURE_GEN!I133="","",NOMENCLATURE_GEN!I133)</f>
        <v/>
      </c>
      <c r="J133" s="130" t="str">
        <f>IF(NOMENCLATURE_GEN!J133="","",NOMENCLATURE_GEN!J133)</f>
        <v/>
      </c>
      <c r="K133" s="158" t="str">
        <f>IF(Motorisation!L133="","",Motorisation!L133)</f>
        <v/>
      </c>
      <c r="L133" s="159" t="str">
        <f>IF(NOMENCLATURE_GEN!R133="","",NOMENCLATURE_GEN!R133)</f>
        <v>-</v>
      </c>
      <c r="M133" s="164" t="str">
        <f>IF(NOMENCLATURE_GEN!L133="","",NOMENCLATURE_GEN!L133)</f>
        <v>NON</v>
      </c>
      <c r="N133" s="162"/>
      <c r="O133" s="22"/>
      <c r="P133" s="22"/>
      <c r="Q133" s="22"/>
      <c r="R133" s="22"/>
      <c r="S133" s="20"/>
      <c r="T133" s="20"/>
      <c r="U133" s="21"/>
      <c r="V133" s="7"/>
    </row>
    <row r="134" spans="2:22" s="3" customFormat="1" ht="39.950000000000003" hidden="1" customHeight="1">
      <c r="B134" s="129" t="str">
        <f>IF(NOMENCLATURE_GEN!B134="","",NOMENCLATURE_GEN!B134)</f>
        <v>SUP</v>
      </c>
      <c r="C134" s="243" t="str">
        <f>IF(NOMENCLATURE_GEN!C134="","",NOMENCLATURE_GEN!C134)</f>
        <v/>
      </c>
      <c r="D134" s="4">
        <f>IF(NOMENCLATURE_GEN!D134="","",NOMENCLATURE_GEN!D134)</f>
        <v>221</v>
      </c>
      <c r="E134" s="4" t="str">
        <f ca="1">IF(NOMENCLATURE_GEN!E134="","",NOMENCLATURE_GEN!E134)</f>
        <v>A</v>
      </c>
      <c r="F134" s="4" t="str">
        <f>IF(NOMENCLATURE_GEN!F134="","",NOMENCLATURE_GEN!F134)</f>
        <v>TVB</v>
      </c>
      <c r="G134" s="310" t="str">
        <f>IF(NOMENCLATURE_GEN!G134="","",NOMENCLATURE_GEN!G134)</f>
        <v>Alimentateur vibrant pour tri optique verre</v>
      </c>
      <c r="H134" s="4" t="str">
        <f>IF(NOMENCLATURE_GEN!H134="","",NOMENCLATURE_GEN!H134)</f>
        <v/>
      </c>
      <c r="I134" s="4" t="str">
        <f>IF(NOMENCLATURE_GEN!I134="","",NOMENCLATURE_GEN!I134)</f>
        <v/>
      </c>
      <c r="J134" s="130" t="str">
        <f>IF(NOMENCLATURE_GEN!J134="","",NOMENCLATURE_GEN!J134)</f>
        <v/>
      </c>
      <c r="K134" s="158" t="str">
        <f>IF(Motorisation!L134="","",Motorisation!L134)</f>
        <v/>
      </c>
      <c r="L134" s="159" t="str">
        <f>IF(NOMENCLATURE_GEN!R134="","",NOMENCLATURE_GEN!R134)</f>
        <v>-</v>
      </c>
      <c r="M134" s="164" t="str">
        <f>IF(NOMENCLATURE_GEN!L134="","",NOMENCLATURE_GEN!L134)</f>
        <v>NON</v>
      </c>
      <c r="N134" s="162"/>
      <c r="O134" s="22"/>
      <c r="P134" s="22"/>
      <c r="Q134" s="22"/>
      <c r="R134" s="22"/>
      <c r="S134" s="20"/>
      <c r="T134" s="20"/>
      <c r="U134" s="21"/>
      <c r="V134" s="7"/>
    </row>
    <row r="135" spans="2:22" s="3" customFormat="1" ht="39.950000000000003" hidden="1" customHeight="1">
      <c r="B135" s="129" t="str">
        <f>IF(NOMENCLATURE_GEN!B135="","",NOMENCLATURE_GEN!B135)</f>
        <v>SUP</v>
      </c>
      <c r="C135" s="243" t="str">
        <f>IF(NOMENCLATURE_GEN!C135="","",NOMENCLATURE_GEN!C135)</f>
        <v/>
      </c>
      <c r="D135" s="4">
        <f>IF(NOMENCLATURE_GEN!D135="","",NOMENCLATURE_GEN!D135)</f>
        <v>222</v>
      </c>
      <c r="E135" s="4" t="str">
        <f ca="1">IF(NOMENCLATURE_GEN!E135="","",NOMENCLATURE_GEN!E135)</f>
        <v>A</v>
      </c>
      <c r="F135" s="4" t="str">
        <f>IF(NOMENCLATURE_GEN!F135="","",NOMENCLATURE_GEN!F135)</f>
        <v>SOP</v>
      </c>
      <c r="G135" s="310" t="str">
        <f>IF(NOMENCLATURE_GEN!G135="","",NOMENCLATURE_GEN!G135)</f>
        <v>Séparateur optique verre</v>
      </c>
      <c r="H135" s="4" t="str">
        <f>IF(NOMENCLATURE_GEN!H135="","",NOMENCLATURE_GEN!H135)</f>
        <v/>
      </c>
      <c r="I135" s="4" t="str">
        <f>IF(NOMENCLATURE_GEN!I135="","",NOMENCLATURE_GEN!I135)</f>
        <v/>
      </c>
      <c r="J135" s="130" t="str">
        <f>IF(NOMENCLATURE_GEN!J135="","",NOMENCLATURE_GEN!J135)</f>
        <v/>
      </c>
      <c r="K135" s="158" t="str">
        <f>IF(Motorisation!L135="","",Motorisation!L135)</f>
        <v/>
      </c>
      <c r="L135" s="159" t="str">
        <f>IF(NOMENCLATURE_GEN!R135="","",NOMENCLATURE_GEN!R135)</f>
        <v>-</v>
      </c>
      <c r="M135" s="164" t="str">
        <f>IF(NOMENCLATURE_GEN!L135="","",NOMENCLATURE_GEN!L135)</f>
        <v>NON</v>
      </c>
      <c r="N135" s="162"/>
      <c r="O135" s="22"/>
      <c r="P135" s="22"/>
      <c r="Q135" s="22"/>
      <c r="R135" s="22"/>
      <c r="S135" s="20"/>
      <c r="T135" s="20"/>
      <c r="U135" s="21"/>
      <c r="V135" s="7"/>
    </row>
    <row r="136" spans="2:22" s="3" customFormat="1" ht="39.950000000000003" hidden="1" customHeight="1">
      <c r="B136" s="129" t="str">
        <f>IF(NOMENCLATURE_GEN!B136="","",NOMENCLATURE_GEN!B136)</f>
        <v>SUP</v>
      </c>
      <c r="C136" s="243" t="str">
        <f>IF(NOMENCLATURE_GEN!C136="","",NOMENCLATURE_GEN!C136)</f>
        <v/>
      </c>
      <c r="D136" s="4">
        <f>IF(NOMENCLATURE_GEN!D136="","",NOMENCLATURE_GEN!D136)</f>
        <v>224</v>
      </c>
      <c r="E136" s="4" t="str">
        <f ca="1">IF(NOMENCLATURE_GEN!E136="","",NOMENCLATURE_GEN!E136)</f>
        <v>A</v>
      </c>
      <c r="F136" s="4" t="str">
        <f>IF(NOMENCLATURE_GEN!F136="","",NOMENCLATURE_GEN!F136)</f>
        <v>CHA</v>
      </c>
      <c r="G136" s="310" t="str">
        <f>IF(NOMENCLATURE_GEN!G136="","",NOMENCLATURE_GEN!G136)</f>
        <v>Plateforme d'accès maintenance pour tri optique et vibrant</v>
      </c>
      <c r="H136" s="4" t="str">
        <f>IF(NOMENCLATURE_GEN!H136="","",NOMENCLATURE_GEN!H136)</f>
        <v/>
      </c>
      <c r="I136" s="4" t="str">
        <f>IF(NOMENCLATURE_GEN!I136="","",NOMENCLATURE_GEN!I136)</f>
        <v/>
      </c>
      <c r="J136" s="130" t="str">
        <f>IF(NOMENCLATURE_GEN!J136="","",NOMENCLATURE_GEN!J136)</f>
        <v/>
      </c>
      <c r="K136" s="158" t="str">
        <f>IF(Motorisation!L136="","",Motorisation!L136)</f>
        <v/>
      </c>
      <c r="L136" s="159" t="str">
        <f>IF(NOMENCLATURE_GEN!R136="","",NOMENCLATURE_GEN!R136)</f>
        <v>-</v>
      </c>
      <c r="M136" s="164" t="str">
        <f>IF(NOMENCLATURE_GEN!L136="","",NOMENCLATURE_GEN!L136)</f>
        <v>NON</v>
      </c>
      <c r="N136" s="162"/>
      <c r="O136" s="22"/>
      <c r="P136" s="22"/>
      <c r="Q136" s="22"/>
      <c r="R136" s="22"/>
      <c r="S136" s="20"/>
      <c r="T136" s="20"/>
      <c r="U136" s="21"/>
      <c r="V136" s="7"/>
    </row>
    <row r="137" spans="2:22" s="3" customFormat="1" ht="39.950000000000003" hidden="1" customHeight="1">
      <c r="B137" s="129" t="str">
        <f>IF(NOMENCLATURE_GEN!B137="","",NOMENCLATURE_GEN!B137)</f>
        <v>SUP</v>
      </c>
      <c r="C137" s="243" t="str">
        <f>IF(NOMENCLATURE_GEN!C137="","",NOMENCLATURE_GEN!C137)</f>
        <v/>
      </c>
      <c r="D137" s="4">
        <f>IF(NOMENCLATURE_GEN!D137="","",NOMENCLATURE_GEN!D137)</f>
        <v>225</v>
      </c>
      <c r="E137" s="4" t="str">
        <f ca="1">IF(NOMENCLATURE_GEN!E137="","",NOMENCLATURE_GEN!E137)</f>
        <v>A</v>
      </c>
      <c r="F137" s="4" t="str">
        <f>IF(NOMENCLATURE_GEN!F137="","",NOMENCLATURE_GEN!F137)</f>
        <v>COM</v>
      </c>
      <c r="G137" s="310" t="str">
        <f>IF(NOMENCLATURE_GEN!G137="","",NOMENCLATURE_GEN!G137)</f>
        <v>Compresseur + sécheur + réseau pour tri optique verre</v>
      </c>
      <c r="H137" s="4" t="str">
        <f>IF(NOMENCLATURE_GEN!H137="","",NOMENCLATURE_GEN!H137)</f>
        <v/>
      </c>
      <c r="I137" s="4" t="str">
        <f>IF(NOMENCLATURE_GEN!I137="","",NOMENCLATURE_GEN!I137)</f>
        <v/>
      </c>
      <c r="J137" s="130" t="str">
        <f>IF(NOMENCLATURE_GEN!J137="","",NOMENCLATURE_GEN!J137)</f>
        <v/>
      </c>
      <c r="K137" s="158" t="str">
        <f>IF(Motorisation!L137="","",Motorisation!L137)</f>
        <v/>
      </c>
      <c r="L137" s="159" t="str">
        <f>IF(NOMENCLATURE_GEN!R137="","",NOMENCLATURE_GEN!R137)</f>
        <v>-</v>
      </c>
      <c r="M137" s="164" t="str">
        <f>IF(NOMENCLATURE_GEN!L137="","",NOMENCLATURE_GEN!L137)</f>
        <v>NON</v>
      </c>
      <c r="N137" s="162"/>
      <c r="O137" s="22"/>
      <c r="P137" s="22"/>
      <c r="Q137" s="22"/>
      <c r="R137" s="22"/>
      <c r="S137" s="20"/>
      <c r="T137" s="20"/>
      <c r="U137" s="21"/>
      <c r="V137" s="7"/>
    </row>
    <row r="138" spans="2:22" s="3" customFormat="1" ht="39.950000000000003" hidden="1" customHeight="1">
      <c r="B138" s="129" t="str">
        <f>IF(NOMENCLATURE_GEN!B138="","",NOMENCLATURE_GEN!B138)</f>
        <v>SUP</v>
      </c>
      <c r="C138" s="243" t="str">
        <f>IF(NOMENCLATURE_GEN!C138="","",NOMENCLATURE_GEN!C138)</f>
        <v/>
      </c>
      <c r="D138" s="4">
        <f>IF(NOMENCLATURE_GEN!D138="","",NOMENCLATURE_GEN!D138)</f>
        <v>227</v>
      </c>
      <c r="E138" s="4" t="str">
        <f ca="1">IF(NOMENCLATURE_GEN!E138="","",NOMENCLATURE_GEN!E138)</f>
        <v>A</v>
      </c>
      <c r="F138" s="4" t="str">
        <f>IF(NOMENCLATURE_GEN!F138="","",NOMENCLATURE_GEN!F138)</f>
        <v>ELEC</v>
      </c>
      <c r="G138" s="310" t="str">
        <f>IF(NOMENCLATURE_GEN!G138="","",NOMENCLATURE_GEN!G138)</f>
        <v>Cablage électrique + capteurs</v>
      </c>
      <c r="H138" s="4" t="str">
        <f>IF(NOMENCLATURE_GEN!H138="","",NOMENCLATURE_GEN!H138)</f>
        <v/>
      </c>
      <c r="I138" s="4" t="str">
        <f>IF(NOMENCLATURE_GEN!I138="","",NOMENCLATURE_GEN!I138)</f>
        <v/>
      </c>
      <c r="J138" s="130" t="str">
        <f>IF(NOMENCLATURE_GEN!J138="","",NOMENCLATURE_GEN!J138)</f>
        <v/>
      </c>
      <c r="K138" s="158" t="str">
        <f>IF(Motorisation!L138="","",Motorisation!L138)</f>
        <v/>
      </c>
      <c r="L138" s="159" t="str">
        <f>IF(NOMENCLATURE_GEN!R138="","",NOMENCLATURE_GEN!R138)</f>
        <v>-</v>
      </c>
      <c r="M138" s="164" t="str">
        <f>IF(NOMENCLATURE_GEN!L138="","",NOMENCLATURE_GEN!L138)</f>
        <v>NON</v>
      </c>
      <c r="N138" s="162"/>
      <c r="O138" s="22"/>
      <c r="P138" s="22"/>
      <c r="Q138" s="22"/>
      <c r="R138" s="22"/>
      <c r="S138" s="20"/>
      <c r="T138" s="20"/>
      <c r="U138" s="21"/>
      <c r="V138" s="7"/>
    </row>
    <row r="139" spans="2:22" s="3" customFormat="1" ht="39.950000000000003" hidden="1" customHeight="1">
      <c r="B139" s="129" t="str">
        <f>IF(NOMENCLATURE_GEN!B139="","",NOMENCLATURE_GEN!B139)</f>
        <v/>
      </c>
      <c r="C139" s="243" t="str">
        <f>IF(NOMENCLATURE_GEN!C139="","",NOMENCLATURE_GEN!C139)</f>
        <v/>
      </c>
      <c r="D139" s="4">
        <f>IF(NOMENCLATURE_GEN!D139="","",NOMENCLATURE_GEN!D139)</f>
        <v>231</v>
      </c>
      <c r="E139" s="4" t="str">
        <f ca="1">IF(NOMENCLATURE_GEN!E139="","",NOMENCLATURE_GEN!E139)</f>
        <v>A</v>
      </c>
      <c r="F139" s="4" t="str">
        <f>IF(NOMENCLATURE_GEN!F139="","",NOMENCLATURE_GEN!F139)</f>
        <v>DIV</v>
      </c>
      <c r="G139" s="310" t="str">
        <f>IF(NOMENCLATURE_GEN!G139="","",NOMENCLATURE_GEN!G139)</f>
        <v>lot de pièces de premières urgences</v>
      </c>
      <c r="H139" s="4" t="str">
        <f>IF(NOMENCLATURE_GEN!H139="","",NOMENCLATURE_GEN!H139)</f>
        <v/>
      </c>
      <c r="I139" s="4" t="str">
        <f>IF(NOMENCLATURE_GEN!I139="","",NOMENCLATURE_GEN!I139)</f>
        <v/>
      </c>
      <c r="J139" s="130" t="str">
        <f>IF(NOMENCLATURE_GEN!J139="","",NOMENCLATURE_GEN!J139)</f>
        <v/>
      </c>
      <c r="K139" s="158" t="str">
        <f>IF(Motorisation!L139="","",Motorisation!L139)</f>
        <v/>
      </c>
      <c r="L139" s="159" t="str">
        <f>IF(NOMENCLATURE_GEN!R139="","",NOMENCLATURE_GEN!R139)</f>
        <v>-</v>
      </c>
      <c r="M139" s="164" t="str">
        <f>IF(NOMENCLATURE_GEN!L139="","",NOMENCLATURE_GEN!L139)</f>
        <v>NON</v>
      </c>
      <c r="N139" s="162"/>
      <c r="O139" s="22"/>
      <c r="P139" s="22"/>
      <c r="Q139" s="22"/>
      <c r="R139" s="22"/>
      <c r="S139" s="20"/>
      <c r="T139" s="20"/>
      <c r="U139" s="21"/>
      <c r="V139" s="7"/>
    </row>
    <row r="140" spans="2:22" s="3" customFormat="1" ht="39.950000000000003" hidden="1" customHeight="1" thickBot="1">
      <c r="B140" s="284" t="str">
        <f>IF(NOMENCLATURE_GEN!B140="","",NOMENCLATURE_GEN!B140)</f>
        <v/>
      </c>
      <c r="C140" s="285" t="str">
        <f>IF(NOMENCLATURE_GEN!C140="","",NOMENCLATURE_GEN!C140)</f>
        <v/>
      </c>
      <c r="D140" s="286" t="str">
        <f>IF(NOMENCLATURE_GEN!D140="","",NOMENCLATURE_GEN!D140)</f>
        <v/>
      </c>
      <c r="E140" s="286" t="str">
        <f ca="1">IF(NOMENCLATURE_GEN!E140="","",NOMENCLATURE_GEN!E140)</f>
        <v>A</v>
      </c>
      <c r="F140" s="286" t="str">
        <f>IF(NOMENCLATURE_GEN!F140="","",NOMENCLATURE_GEN!F140)</f>
        <v/>
      </c>
      <c r="G140" s="311" t="str">
        <f>IF(NOMENCLATURE_GEN!G140="","",NOMENCLATURE_GEN!G140)</f>
        <v/>
      </c>
      <c r="H140" s="286" t="str">
        <f>IF(NOMENCLATURE_GEN!H140="","",NOMENCLATURE_GEN!H140)</f>
        <v/>
      </c>
      <c r="I140" s="286" t="str">
        <f>IF(NOMENCLATURE_GEN!I140="","",NOMENCLATURE_GEN!I140)</f>
        <v/>
      </c>
      <c r="J140" s="287" t="str">
        <f>IF(NOMENCLATURE_GEN!J140="","",NOMENCLATURE_GEN!J140)</f>
        <v/>
      </c>
      <c r="K140" s="165" t="str">
        <f>IF(Motorisation!L140="","",Motorisation!L140)</f>
        <v/>
      </c>
      <c r="L140" s="166" t="str">
        <f>IF(NOMENCLATURE_GEN!R140="","",NOMENCLATURE_GEN!R140)</f>
        <v>-</v>
      </c>
      <c r="M140" s="167" t="str">
        <f>IF(NOMENCLATURE_GEN!L140="","",NOMENCLATURE_GEN!L140)</f>
        <v>NON</v>
      </c>
      <c r="N140" s="163"/>
      <c r="O140" s="156"/>
      <c r="P140" s="156"/>
      <c r="Q140" s="156"/>
      <c r="R140" s="156"/>
      <c r="S140" s="155"/>
      <c r="T140" s="155"/>
      <c r="U140" s="157"/>
      <c r="V140" s="7"/>
    </row>
    <row r="141" spans="2:22" ht="15.75" thickBot="1"/>
    <row r="142" spans="2:22" ht="30" customHeight="1" thickBot="1">
      <c r="B142" s="266" t="s">
        <v>311</v>
      </c>
      <c r="C142" s="267" t="s">
        <v>100</v>
      </c>
      <c r="D142" s="267" t="s">
        <v>312</v>
      </c>
      <c r="E142" s="695" t="s">
        <v>313</v>
      </c>
      <c r="F142" s="695"/>
      <c r="G142" s="695"/>
      <c r="H142" s="695"/>
      <c r="I142" s="695"/>
      <c r="J142" s="695"/>
      <c r="K142" s="430" t="s">
        <v>365</v>
      </c>
    </row>
    <row r="143" spans="2:22" ht="30" customHeight="1">
      <c r="B143" s="268" t="s">
        <v>537</v>
      </c>
      <c r="C143" s="269" t="s">
        <v>10</v>
      </c>
      <c r="D143" s="433">
        <v>45440</v>
      </c>
      <c r="E143" s="694" t="s">
        <v>729</v>
      </c>
      <c r="F143" s="694"/>
      <c r="G143" s="694"/>
      <c r="H143" s="694"/>
      <c r="I143" s="694"/>
      <c r="J143" s="694"/>
      <c r="K143" s="434">
        <v>45442</v>
      </c>
    </row>
    <row r="144" spans="2:22" ht="30" customHeight="1">
      <c r="B144" s="9" t="s">
        <v>537</v>
      </c>
      <c r="C144" s="10" t="s">
        <v>501</v>
      </c>
      <c r="D144" s="422">
        <v>45456</v>
      </c>
      <c r="E144" s="692" t="s">
        <v>766</v>
      </c>
      <c r="F144" s="692"/>
      <c r="G144" s="692"/>
      <c r="H144" s="692"/>
      <c r="I144" s="692"/>
      <c r="J144" s="692"/>
      <c r="K144" s="439">
        <v>45456</v>
      </c>
    </row>
    <row r="145" spans="2:11" ht="30" customHeight="1">
      <c r="B145" s="9"/>
      <c r="C145" s="10"/>
      <c r="D145" s="10"/>
      <c r="E145" s="692"/>
      <c r="F145" s="692"/>
      <c r="G145" s="692"/>
      <c r="H145" s="692"/>
      <c r="I145" s="692"/>
      <c r="J145" s="692"/>
      <c r="K145" s="11"/>
    </row>
    <row r="146" spans="2:11" ht="30" customHeight="1">
      <c r="B146" s="9"/>
      <c r="C146" s="10"/>
      <c r="D146" s="10"/>
      <c r="E146" s="692"/>
      <c r="F146" s="692"/>
      <c r="G146" s="692"/>
      <c r="H146" s="692"/>
      <c r="I146" s="692"/>
      <c r="J146" s="692"/>
      <c r="K146" s="11"/>
    </row>
    <row r="147" spans="2:11" ht="30" customHeight="1">
      <c r="B147" s="9"/>
      <c r="C147" s="10"/>
      <c r="D147" s="10"/>
      <c r="E147" s="692"/>
      <c r="F147" s="692"/>
      <c r="G147" s="692"/>
      <c r="H147" s="692"/>
      <c r="I147" s="692"/>
      <c r="J147" s="692"/>
      <c r="K147" s="11"/>
    </row>
    <row r="148" spans="2:11" ht="30" customHeight="1">
      <c r="B148" s="9"/>
      <c r="C148" s="10"/>
      <c r="D148" s="10"/>
      <c r="E148" s="692"/>
      <c r="F148" s="692"/>
      <c r="G148" s="692"/>
      <c r="H148" s="692"/>
      <c r="I148" s="692"/>
      <c r="J148" s="692"/>
      <c r="K148" s="11"/>
    </row>
    <row r="149" spans="2:11" ht="30" customHeight="1">
      <c r="B149" s="9"/>
      <c r="C149" s="10"/>
      <c r="D149" s="10"/>
      <c r="E149" s="692"/>
      <c r="F149" s="692"/>
      <c r="G149" s="692"/>
      <c r="H149" s="692"/>
      <c r="I149" s="692"/>
      <c r="J149" s="692"/>
      <c r="K149" s="11"/>
    </row>
    <row r="150" spans="2:11" ht="30" customHeight="1">
      <c r="B150" s="9"/>
      <c r="C150" s="10"/>
      <c r="D150" s="10"/>
      <c r="E150" s="692"/>
      <c r="F150" s="692"/>
      <c r="G150" s="692"/>
      <c r="H150" s="692"/>
      <c r="I150" s="692"/>
      <c r="J150" s="692"/>
      <c r="K150" s="11"/>
    </row>
    <row r="151" spans="2:11" ht="30" customHeight="1">
      <c r="B151" s="9"/>
      <c r="C151" s="10"/>
      <c r="D151" s="10"/>
      <c r="E151" s="692"/>
      <c r="F151" s="692"/>
      <c r="G151" s="692"/>
      <c r="H151" s="692"/>
      <c r="I151" s="692"/>
      <c r="J151" s="692"/>
      <c r="K151" s="11"/>
    </row>
    <row r="152" spans="2:11" ht="30" customHeight="1" thickBot="1">
      <c r="B152" s="270"/>
      <c r="C152" s="271"/>
      <c r="D152" s="271"/>
      <c r="E152" s="693"/>
      <c r="F152" s="693"/>
      <c r="G152" s="693"/>
      <c r="H152" s="693"/>
      <c r="I152" s="693"/>
      <c r="J152" s="693"/>
      <c r="K152" s="431"/>
    </row>
  </sheetData>
  <sheetProtection algorithmName="SHA-512" hashValue="t22MnXvVaGgKWxvpE2cJY/6d+tPFR2nt9+Pr75mhHuvcmsm1HF/jPm5MU2NE34AK22zU/tKqj0nYg6/PAKbyrQ==" saltValue="SMDgALLdgsh6NBgrv0zyZw==" spinCount="100000" sheet="1" objects="1" scenarios="1" formatCells="0" formatColumns="0" formatRows="0" insertHyperlinks="0" autoFilter="0" pivotTables="0"/>
  <autoFilter ref="B7:U140" xr:uid="{00000000-0009-0000-0000-000002000000}">
    <filterColumn colId="4">
      <filters>
        <filter val="CBA"/>
        <filter val="TBE"/>
      </filters>
    </filterColumn>
  </autoFilter>
  <mergeCells count="21">
    <mergeCell ref="E149:J149"/>
    <mergeCell ref="E150:J150"/>
    <mergeCell ref="E151:J151"/>
    <mergeCell ref="E152:J152"/>
    <mergeCell ref="J4:J5"/>
    <mergeCell ref="E142:J142"/>
    <mergeCell ref="E143:J143"/>
    <mergeCell ref="E144:J144"/>
    <mergeCell ref="E145:J145"/>
    <mergeCell ref="E146:J146"/>
    <mergeCell ref="E147:J147"/>
    <mergeCell ref="B4:E4"/>
    <mergeCell ref="K6:U6"/>
    <mergeCell ref="B5:E5"/>
    <mergeCell ref="E148:J148"/>
    <mergeCell ref="B2:C2"/>
    <mergeCell ref="O2:AA2"/>
    <mergeCell ref="B3:C3"/>
    <mergeCell ref="K3:AA3"/>
    <mergeCell ref="D2:E2"/>
    <mergeCell ref="D3:E3"/>
  </mergeCells>
  <dataValidations disablePrompts="1" count="1">
    <dataValidation allowBlank="1" showInputMessage="1" sqref="J153:J1048576 J1:J4 J141 J6:J7" xr:uid="{00000000-0002-0000-0200-000000000000}"/>
  </dataValidations>
  <printOptions horizontalCentered="1"/>
  <pageMargins left="0.25" right="0.25" top="0.75" bottom="0.75" header="0.3" footer="0.3"/>
  <pageSetup paperSize="8" scale="39" fitToHeight="0" orientation="landscape" r:id="rId1"/>
  <rowBreaks count="1" manualBreakCount="1">
    <brk id="140" max="2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 filterMode="1">
    <tabColor rgb="FF92D050"/>
    <pageSetUpPr fitToPage="1"/>
  </sheetPr>
  <dimension ref="B1:AD152"/>
  <sheetViews>
    <sheetView showGridLines="0" view="pageBreakPreview" zoomScale="70" zoomScaleNormal="70" zoomScaleSheetLayoutView="70" workbookViewId="0">
      <pane xSplit="6" ySplit="7" topLeftCell="G15" activePane="bottomRight" state="frozen"/>
      <selection pane="topRight" activeCell="G1" sqref="G1"/>
      <selection pane="bottomLeft" activeCell="A8" sqref="A8"/>
      <selection pane="bottomRight" activeCell="H158" sqref="H158"/>
    </sheetView>
  </sheetViews>
  <sheetFormatPr baseColWidth="10" defaultColWidth="11.42578125" defaultRowHeight="15"/>
  <cols>
    <col min="1" max="1" width="3.5703125" style="1" customWidth="1"/>
    <col min="2" max="2" width="12.5703125" style="1" customWidth="1"/>
    <col min="3" max="4" width="14.28515625" style="1" customWidth="1"/>
    <col min="5" max="5" width="7.28515625" style="1" customWidth="1"/>
    <col min="6" max="6" width="13.5703125" style="1" customWidth="1"/>
    <col min="7" max="7" width="75.140625" style="1" bestFit="1" customWidth="1"/>
    <col min="8" max="8" width="23.42578125" style="2" bestFit="1" customWidth="1"/>
    <col min="9" max="9" width="25.5703125" style="2" customWidth="1"/>
    <col min="10" max="10" width="19.85546875" style="2" customWidth="1"/>
    <col min="11" max="12" width="26.42578125" style="6" customWidth="1"/>
    <col min="13" max="13" width="20.42578125" style="6" customWidth="1"/>
    <col min="14" max="16" width="17.5703125" style="6" customWidth="1"/>
    <col min="17" max="17" width="13.42578125" style="6" customWidth="1"/>
    <col min="18" max="18" width="24.28515625" style="6" customWidth="1"/>
    <col min="19" max="19" width="18.42578125" style="6" customWidth="1"/>
    <col min="20" max="20" width="24.85546875" style="6" customWidth="1"/>
    <col min="21" max="21" width="22" style="6" customWidth="1"/>
    <col min="22" max="23" width="21.85546875" style="6" customWidth="1"/>
    <col min="24" max="24" width="51" style="6" bestFit="1" customWidth="1"/>
    <col min="25" max="25" width="51" style="6" customWidth="1"/>
    <col min="26" max="26" width="50" style="6" customWidth="1"/>
    <col min="27" max="27" width="3.5703125" style="7" customWidth="1"/>
    <col min="28" max="16384" width="11.42578125" style="1"/>
  </cols>
  <sheetData>
    <row r="1" spans="2:30" s="49" customFormat="1" ht="18.75" customHeight="1" thickBot="1">
      <c r="H1" s="51"/>
      <c r="I1" s="51"/>
      <c r="J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</row>
    <row r="2" spans="2:30" s="49" customFormat="1" ht="19.5" customHeight="1" thickBot="1">
      <c r="B2" s="696" t="s">
        <v>0</v>
      </c>
      <c r="C2" s="697"/>
      <c r="D2" s="696" t="s">
        <v>100</v>
      </c>
      <c r="E2" s="697"/>
      <c r="H2" s="51" t="s">
        <v>23</v>
      </c>
      <c r="I2" s="51"/>
      <c r="J2" s="51"/>
      <c r="M2" s="51"/>
      <c r="N2" s="51"/>
      <c r="O2" s="51"/>
      <c r="P2" s="711"/>
      <c r="Q2" s="711"/>
      <c r="R2" s="711"/>
      <c r="S2" s="711"/>
      <c r="T2" s="711"/>
      <c r="U2" s="711"/>
      <c r="V2" s="711"/>
      <c r="W2" s="711"/>
      <c r="X2" s="711"/>
      <c r="Y2" s="711"/>
      <c r="Z2" s="711"/>
      <c r="AA2" s="711"/>
      <c r="AB2" s="711"/>
      <c r="AC2" s="711"/>
      <c r="AD2" s="711"/>
    </row>
    <row r="3" spans="2:30" s="49" customFormat="1" ht="30" customHeight="1" thickBot="1">
      <c r="B3" s="706">
        <f>NOMENCLATURE_GEN!B3</f>
        <v>224102</v>
      </c>
      <c r="C3" s="664"/>
      <c r="D3" s="706" t="str">
        <f>LOOKUP(2,1/(C:C&lt;&gt;""),C:C)</f>
        <v>E</v>
      </c>
      <c r="E3" s="664"/>
      <c r="H3" s="52" t="s">
        <v>13</v>
      </c>
      <c r="I3" s="51"/>
      <c r="J3" s="51"/>
      <c r="K3" s="712"/>
      <c r="L3" s="712"/>
      <c r="M3" s="712"/>
      <c r="N3" s="712"/>
      <c r="O3" s="712"/>
      <c r="P3" s="712"/>
      <c r="Q3" s="712"/>
      <c r="R3" s="712"/>
      <c r="S3" s="712"/>
      <c r="T3" s="712"/>
      <c r="U3" s="712"/>
      <c r="V3" s="712"/>
      <c r="W3" s="712"/>
      <c r="X3" s="712"/>
      <c r="Y3" s="712"/>
      <c r="Z3" s="712"/>
      <c r="AA3" s="712"/>
      <c r="AB3" s="712"/>
      <c r="AC3" s="712"/>
      <c r="AD3" s="712"/>
    </row>
    <row r="4" spans="2:30" s="49" customFormat="1" ht="19.5" customHeight="1" thickBot="1">
      <c r="B4" s="696" t="s">
        <v>159</v>
      </c>
      <c r="C4" s="705"/>
      <c r="D4" s="705"/>
      <c r="E4" s="697"/>
      <c r="H4" s="51"/>
      <c r="I4" s="51"/>
      <c r="J4" s="703"/>
    </row>
    <row r="5" spans="2:30" s="49" customFormat="1" ht="25.15" customHeight="1" thickBot="1">
      <c r="B5" s="706" t="str">
        <f>NOMENCLATURE_GEN!B5</f>
        <v>PAPREC - CHAGNY</v>
      </c>
      <c r="C5" s="663"/>
      <c r="D5" s="663"/>
      <c r="E5" s="664"/>
      <c r="H5" s="51"/>
      <c r="I5" s="51"/>
      <c r="J5" s="703"/>
    </row>
    <row r="6" spans="2:30" ht="32.25" customHeight="1" thickBot="1">
      <c r="D6" s="49"/>
      <c r="E6" s="49"/>
      <c r="F6" s="49"/>
      <c r="G6" s="49"/>
      <c r="K6" s="725" t="s">
        <v>71</v>
      </c>
      <c r="L6" s="726"/>
      <c r="M6" s="726"/>
      <c r="N6" s="726"/>
      <c r="O6" s="726"/>
      <c r="P6" s="726"/>
      <c r="Q6" s="726"/>
      <c r="R6" s="726"/>
      <c r="S6" s="726"/>
      <c r="T6" s="726"/>
      <c r="U6" s="726"/>
      <c r="V6" s="726"/>
      <c r="W6" s="726"/>
      <c r="X6" s="726"/>
      <c r="Y6" s="726"/>
      <c r="Z6" s="727"/>
    </row>
    <row r="7" spans="2:30" ht="53.25" customHeight="1" thickBot="1">
      <c r="B7" s="244" t="str">
        <f>NOMENCLATURE_GEN!B7</f>
        <v>NVX /
SUP /
MOD /</v>
      </c>
      <c r="C7" s="438" t="str">
        <f>NOMENCLATURE_GEN!C7</f>
        <v>REPERE CLIENT</v>
      </c>
      <c r="D7" s="247" t="str">
        <f>NOMENCLATURE_GEN!D7</f>
        <v>REPERE VAUCHE</v>
      </c>
      <c r="E7" s="436" t="s">
        <v>353</v>
      </c>
      <c r="F7" s="247" t="str">
        <f>NOMENCLATURE_GEN!F7</f>
        <v xml:space="preserve">TYPE </v>
      </c>
      <c r="G7" s="247" t="str">
        <f>NOMENCLATURE_GEN!G7</f>
        <v>DESIGNATION</v>
      </c>
      <c r="H7" s="247" t="str">
        <f>NOMENCLATURE_GEN!H7</f>
        <v>LARGEUR 
DE BANDE (mm)</v>
      </c>
      <c r="I7" s="247" t="str">
        <f>NOMENCLATURE_GEN!I7</f>
        <v>LONGEUR HORS TOUT (mm)</v>
      </c>
      <c r="J7" s="248" t="str">
        <f>NOMENCLATURE_GEN!J7</f>
        <v>INCLINAISON (°)</v>
      </c>
      <c r="K7" s="435" t="s">
        <v>91</v>
      </c>
      <c r="L7" s="436" t="s">
        <v>88</v>
      </c>
      <c r="M7" s="436" t="s">
        <v>27</v>
      </c>
      <c r="N7" s="436" t="s">
        <v>12</v>
      </c>
      <c r="O7" s="436" t="s">
        <v>527</v>
      </c>
      <c r="P7" s="436" t="s">
        <v>92</v>
      </c>
      <c r="Q7" s="436" t="s">
        <v>93</v>
      </c>
      <c r="R7" s="436" t="s">
        <v>94</v>
      </c>
      <c r="S7" s="436" t="s">
        <v>5</v>
      </c>
      <c r="T7" s="436" t="s">
        <v>3</v>
      </c>
      <c r="U7" s="436" t="s">
        <v>6</v>
      </c>
      <c r="V7" s="436" t="s">
        <v>4</v>
      </c>
      <c r="W7" s="436" t="s">
        <v>95</v>
      </c>
      <c r="X7" s="436" t="s">
        <v>173</v>
      </c>
      <c r="Y7" s="645" t="s">
        <v>741</v>
      </c>
      <c r="Z7" s="437" t="s">
        <v>145</v>
      </c>
    </row>
    <row r="8" spans="2:30" s="3" customFormat="1" ht="39.950000000000003" customHeight="1">
      <c r="B8" s="126" t="str">
        <f>IF(NOMENCLATURE_GEN!B8="","",NOMENCLATURE_GEN!B8)</f>
        <v/>
      </c>
      <c r="C8" s="127" t="str">
        <f>IF(NOMENCLATURE_GEN!C8="","",NOMENCLATURE_GEN!C8)</f>
        <v/>
      </c>
      <c r="D8" s="127">
        <f>IF(NOMENCLATURE_GEN!D8="","",NOMENCLATURE_GEN!D8)</f>
        <v>101</v>
      </c>
      <c r="E8" s="127" t="str">
        <f ca="1">IF(NOMENCLATURE_GEN!E8="","",NOMENCLATURE_GEN!E8)</f>
        <v>A</v>
      </c>
      <c r="F8" s="127" t="str">
        <f>IF(NOMENCLATURE_GEN!F8="","",NOMENCLATURE_GEN!F8)</f>
        <v>EAB</v>
      </c>
      <c r="G8" s="309" t="str">
        <f>IF(NOMENCLATURE_GEN!G8="","",NOMENCLATURE_GEN!G8)</f>
        <v>Convoyeur à bande et chaines de reprise des BRS</v>
      </c>
      <c r="H8" s="127">
        <f>IF(NOMENCLATURE_GEN!H8="","",NOMENCLATURE_GEN!H8)</f>
        <v>1600</v>
      </c>
      <c r="I8" s="127">
        <f>IF(NOMENCLATURE_GEN!I8="","",NOMENCLATURE_GEN!I8)</f>
        <v>33400</v>
      </c>
      <c r="J8" s="128">
        <f>IF(NOMENCLATURE_GEN!J8="","",NOMENCLATURE_GEN!J8)</f>
        <v>35</v>
      </c>
      <c r="K8" s="282" t="s">
        <v>503</v>
      </c>
      <c r="L8" s="283" t="s">
        <v>504</v>
      </c>
      <c r="M8" s="283" t="s">
        <v>534</v>
      </c>
      <c r="N8" s="283" t="s">
        <v>495</v>
      </c>
      <c r="O8" s="283"/>
      <c r="P8" s="283">
        <v>5.8</v>
      </c>
      <c r="Q8" s="283">
        <v>9050</v>
      </c>
      <c r="R8" s="283">
        <v>7.4</v>
      </c>
      <c r="S8" s="283"/>
      <c r="T8" s="283" t="s">
        <v>616</v>
      </c>
      <c r="U8" s="283" t="s">
        <v>494</v>
      </c>
      <c r="V8" s="622" t="s">
        <v>635</v>
      </c>
      <c r="W8" s="283">
        <v>90</v>
      </c>
      <c r="X8" s="317" t="s">
        <v>637</v>
      </c>
      <c r="Y8" s="650">
        <v>45467</v>
      </c>
      <c r="Z8" s="275" t="s">
        <v>506</v>
      </c>
      <c r="AA8" s="7"/>
    </row>
    <row r="9" spans="2:30" s="49" customFormat="1" ht="39.950000000000003" hidden="1" customHeight="1">
      <c r="B9" s="9" t="str">
        <f>IF(NOMENCLATURE_GEN!B9="","",NOMENCLATURE_GEN!B9)</f>
        <v/>
      </c>
      <c r="C9" s="10" t="str">
        <f>IF(NOMENCLATURE_GEN!C9="","",NOMENCLATURE_GEN!C9)</f>
        <v/>
      </c>
      <c r="D9" s="150">
        <f>IF(NOMENCLATURE_GEN!D9="","",NOMENCLATURE_GEN!D9)</f>
        <v>101</v>
      </c>
      <c r="E9" s="150" t="str">
        <f ca="1">IF(NOMENCLATURE_GEN!E9="","",NOMENCLATURE_GEN!E9)</f>
        <v>B</v>
      </c>
      <c r="F9" s="150" t="str">
        <f>IF(NOMENCLATURE_GEN!F9="","",NOMENCLATURE_GEN!F9)</f>
        <v>GRA</v>
      </c>
      <c r="G9" s="24" t="str">
        <f>IF(NOMENCLATURE_GEN!G9="","",NOMENCLATURE_GEN!G9)</f>
        <v>Convoyeur à bande et chaines - Centrale de graissage</v>
      </c>
      <c r="H9" s="313" t="str">
        <f>IF(NOMENCLATURE_GEN!H9="","",NOMENCLATURE_GEN!H9)</f>
        <v/>
      </c>
      <c r="I9" s="313" t="str">
        <f>IF(NOMENCLATURE_GEN!I9="","",NOMENCLATURE_GEN!I9)</f>
        <v/>
      </c>
      <c r="J9" s="314" t="str">
        <f>IF(NOMENCLATURE_GEN!J9="","",NOMENCLATURE_GEN!J9)</f>
        <v/>
      </c>
      <c r="K9" s="53" t="s">
        <v>494</v>
      </c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646"/>
      <c r="Z9" s="55"/>
      <c r="AA9" s="7"/>
    </row>
    <row r="10" spans="2:30" s="3" customFormat="1" ht="39.950000000000003" customHeight="1">
      <c r="B10" s="324" t="str">
        <f>IF(NOMENCLATURE_GEN!B10="","",NOMENCLATURE_GEN!B10)</f>
        <v/>
      </c>
      <c r="C10" s="4" t="str">
        <f>IF(NOMENCLATURE_GEN!C10="","",NOMENCLATURE_GEN!C10)</f>
        <v/>
      </c>
      <c r="D10" s="4">
        <f>IF(NOMENCLATURE_GEN!D10="","",NOMENCLATURE_GEN!D10)</f>
        <v>102</v>
      </c>
      <c r="E10" s="4" t="str">
        <f ca="1">IF(NOMENCLATURE_GEN!E10="","",NOMENCLATURE_GEN!E10)</f>
        <v>A</v>
      </c>
      <c r="F10" s="4" t="str">
        <f>IF(NOMENCLATURE_GEN!F10="","",NOMENCLATURE_GEN!F10)</f>
        <v>CBA</v>
      </c>
      <c r="G10" s="310" t="str">
        <f>IF(NOMENCLATURE_GEN!G10="","",NOMENCLATURE_GEN!G10)</f>
        <v>Convoyeur d'alimentation du trommel</v>
      </c>
      <c r="H10" s="4">
        <f>IF(NOMENCLATURE_GEN!H10="","",NOMENCLATURE_GEN!H10)</f>
        <v>1400</v>
      </c>
      <c r="I10" s="4">
        <f>IF(NOMENCLATURE_GEN!I10="","",NOMENCLATURE_GEN!I10)</f>
        <v>7000</v>
      </c>
      <c r="J10" s="130">
        <f>IF(NOMENCLATURE_GEN!J10="","",NOMENCLATURE_GEN!J10)</f>
        <v>17</v>
      </c>
      <c r="K10" s="9" t="s">
        <v>503</v>
      </c>
      <c r="L10" s="13" t="s">
        <v>507</v>
      </c>
      <c r="M10" s="13" t="s">
        <v>534</v>
      </c>
      <c r="N10" s="13" t="s">
        <v>495</v>
      </c>
      <c r="O10" s="13"/>
      <c r="P10" s="13">
        <v>4</v>
      </c>
      <c r="Q10" s="13">
        <v>590</v>
      </c>
      <c r="R10" s="13">
        <v>65</v>
      </c>
      <c r="S10" s="13"/>
      <c r="T10" s="13" t="s">
        <v>596</v>
      </c>
      <c r="U10" s="13" t="s">
        <v>494</v>
      </c>
      <c r="V10" s="513" t="s">
        <v>594</v>
      </c>
      <c r="W10" s="13">
        <v>40</v>
      </c>
      <c r="X10" s="10" t="s">
        <v>595</v>
      </c>
      <c r="Y10" s="649">
        <v>45467</v>
      </c>
      <c r="Z10" s="11"/>
      <c r="AA10" s="7"/>
    </row>
    <row r="11" spans="2:30" s="3" customFormat="1" ht="39.950000000000003" customHeight="1">
      <c r="B11" s="324" t="str">
        <f>IF(NOMENCLATURE_GEN!B11="","",NOMENCLATURE_GEN!B11)</f>
        <v/>
      </c>
      <c r="C11" s="4" t="str">
        <f>IF(NOMENCLATURE_GEN!C11="","",NOMENCLATURE_GEN!C11)</f>
        <v/>
      </c>
      <c r="D11" s="4">
        <f>IF(NOMENCLATURE_GEN!D11="","",NOMENCLATURE_GEN!D11)</f>
        <v>103</v>
      </c>
      <c r="E11" s="4" t="str">
        <f ca="1">IF(NOMENCLATURE_GEN!E11="","",NOMENCLATURE_GEN!E11)</f>
        <v>A</v>
      </c>
      <c r="F11" s="4" t="str">
        <f>IF(NOMENCLATURE_GEN!F11="","",NOMENCLATURE_GEN!F11)</f>
        <v>TRO</v>
      </c>
      <c r="G11" s="310" t="str">
        <f>IF(NOMENCLATURE_GEN!G11="","",NOMENCLATURE_GEN!G11)</f>
        <v>Trommel cribleur, maille Ø150/180mm avec peignes</v>
      </c>
      <c r="H11" s="4">
        <f>IF(NOMENCLATURE_GEN!H11="","",NOMENCLATURE_GEN!H11)</f>
        <v>2500</v>
      </c>
      <c r="I11" s="4">
        <f>IF(NOMENCLATURE_GEN!I11="","",NOMENCLATURE_GEN!I11)</f>
        <v>6000</v>
      </c>
      <c r="J11" s="130">
        <f>IF(NOMENCLATURE_GEN!J11="","",NOMENCLATURE_GEN!J11)</f>
        <v>3</v>
      </c>
      <c r="K11" s="9" t="s">
        <v>503</v>
      </c>
      <c r="L11" s="13" t="s">
        <v>509</v>
      </c>
      <c r="M11" s="13" t="s">
        <v>505</v>
      </c>
      <c r="N11" s="13" t="s">
        <v>495</v>
      </c>
      <c r="O11" s="13"/>
      <c r="P11" s="13">
        <v>15</v>
      </c>
      <c r="Q11" s="13">
        <v>2700</v>
      </c>
      <c r="R11" s="13">
        <v>53</v>
      </c>
      <c r="S11" s="13">
        <v>1.6</v>
      </c>
      <c r="T11" s="513" t="s">
        <v>632</v>
      </c>
      <c r="U11" s="13" t="s">
        <v>494</v>
      </c>
      <c r="V11" s="513" t="s">
        <v>633</v>
      </c>
      <c r="W11" s="13">
        <v>70</v>
      </c>
      <c r="X11" s="10" t="s">
        <v>674</v>
      </c>
      <c r="Y11" s="649">
        <v>45467</v>
      </c>
      <c r="Z11" s="11"/>
      <c r="AA11" s="7"/>
    </row>
    <row r="12" spans="2:30" s="3" customFormat="1" ht="39.75" customHeight="1">
      <c r="B12" s="324" t="str">
        <f>IF(NOMENCLATURE_GEN!B12="","",NOMENCLATURE_GEN!B12)</f>
        <v/>
      </c>
      <c r="C12" s="4" t="str">
        <f>IF(NOMENCLATURE_GEN!C12="","",NOMENCLATURE_GEN!C12)</f>
        <v/>
      </c>
      <c r="D12" s="4">
        <f>IF(NOMENCLATURE_GEN!D12="","",NOMENCLATURE_GEN!D12)</f>
        <v>104</v>
      </c>
      <c r="E12" s="4" t="str">
        <f ca="1">IF(NOMENCLATURE_GEN!E12="","",NOMENCLATURE_GEN!E12)</f>
        <v>A</v>
      </c>
      <c r="F12" s="4" t="str">
        <f>IF(NOMENCLATURE_GEN!F12="","",NOMENCLATURE_GEN!F12)</f>
        <v>CBA</v>
      </c>
      <c r="G12" s="310" t="str">
        <f>IF(NOMENCLATURE_GEN!G12="","",NOMENCLATURE_GEN!G12)</f>
        <v>Convoyeur de reprise de la fraction &gt; 180mm, tête inox</v>
      </c>
      <c r="H12" s="4">
        <f>IF(NOMENCLATURE_GEN!H12="","",NOMENCLATURE_GEN!H12)</f>
        <v>1400</v>
      </c>
      <c r="I12" s="4">
        <f>IF(NOMENCLATURE_GEN!I12="","",NOMENCLATURE_GEN!I12)</f>
        <v>7000</v>
      </c>
      <c r="J12" s="130">
        <f>IF(NOMENCLATURE_GEN!J12="","",NOMENCLATURE_GEN!J12)</f>
        <v>0</v>
      </c>
      <c r="K12" s="9" t="s">
        <v>503</v>
      </c>
      <c r="L12" s="13" t="s">
        <v>507</v>
      </c>
      <c r="M12" s="13" t="s">
        <v>534</v>
      </c>
      <c r="N12" s="13" t="s">
        <v>495</v>
      </c>
      <c r="O12" s="13"/>
      <c r="P12" s="13">
        <v>4</v>
      </c>
      <c r="Q12" s="13">
        <v>920</v>
      </c>
      <c r="R12" s="13">
        <v>55</v>
      </c>
      <c r="S12" s="13"/>
      <c r="T12" s="13" t="s">
        <v>596</v>
      </c>
      <c r="U12" s="13" t="s">
        <v>494</v>
      </c>
      <c r="V12" s="513" t="s">
        <v>594</v>
      </c>
      <c r="W12" s="13">
        <v>40</v>
      </c>
      <c r="X12" s="10" t="s">
        <v>595</v>
      </c>
      <c r="Y12" s="649">
        <v>45467</v>
      </c>
      <c r="Z12" s="11"/>
      <c r="AA12" s="7"/>
    </row>
    <row r="13" spans="2:30" s="3" customFormat="1" ht="39.75" hidden="1" customHeight="1">
      <c r="B13" s="129" t="str">
        <f>IF(NOMENCLATURE_GEN!B13="","",NOMENCLATURE_GEN!B13)</f>
        <v/>
      </c>
      <c r="C13" s="4" t="str">
        <f>IF(NOMENCLATURE_GEN!C13="","",NOMENCLATURE_GEN!C13)</f>
        <v/>
      </c>
      <c r="D13" s="4">
        <f>IF(NOMENCLATURE_GEN!D13="","",NOMENCLATURE_GEN!D13)</f>
        <v>105</v>
      </c>
      <c r="E13" s="4" t="str">
        <f ca="1">IF(NOMENCLATURE_GEN!E13="","",NOMENCLATURE_GEN!E13)</f>
        <v>A</v>
      </c>
      <c r="F13" s="4" t="str">
        <f>IF(NOMENCLATURE_GEN!F13="","",NOMENCLATURE_GEN!F13)</f>
        <v>OVB</v>
      </c>
      <c r="G13" s="310" t="str">
        <f>IF(NOMENCLATURE_GEN!G13="","",NOMENCLATURE_GEN!G13)</f>
        <v>Séparateur magnétique à aimant permament</v>
      </c>
      <c r="H13" s="4">
        <f>IF(NOMENCLATURE_GEN!H13="","",NOMENCLATURE_GEN!H13)</f>
        <v>1200</v>
      </c>
      <c r="I13" s="4">
        <f>IF(NOMENCLATURE_GEN!I13="","",NOMENCLATURE_GEN!I13)</f>
        <v>1200</v>
      </c>
      <c r="J13" s="130" t="str">
        <f>IF(NOMENCLATURE_GEN!J13="","",NOMENCLATURE_GEN!J13)</f>
        <v/>
      </c>
      <c r="K13" s="9" t="s">
        <v>494</v>
      </c>
      <c r="L13" s="13" t="s">
        <v>513</v>
      </c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0"/>
      <c r="Y13" s="442"/>
      <c r="Z13" s="11"/>
      <c r="AA13" s="7"/>
    </row>
    <row r="14" spans="2:30" s="3" customFormat="1" ht="33" hidden="1" customHeight="1">
      <c r="B14" s="129" t="str">
        <f>IF(NOMENCLATURE_GEN!B14="","",NOMENCLATURE_GEN!B14)</f>
        <v/>
      </c>
      <c r="C14" s="4" t="str">
        <f>IF(NOMENCLATURE_GEN!C14="","",NOMENCLATURE_GEN!C14)</f>
        <v/>
      </c>
      <c r="D14" s="4">
        <f>IF(NOMENCLATURE_GEN!D14="","",NOMENCLATURE_GEN!D14)</f>
        <v>106</v>
      </c>
      <c r="E14" s="4" t="str">
        <f ca="1">IF(NOMENCLATURE_GEN!E14="","",NOMENCLATURE_GEN!E14)</f>
        <v>A</v>
      </c>
      <c r="F14" s="4" t="str">
        <f>IF(NOMENCLATURE_GEN!F14="","",NOMENCLATURE_GEN!F14)</f>
        <v>GLT</v>
      </c>
      <c r="G14" s="310" t="str">
        <f>IF(NOMENCLATURE_GEN!G14="","",NOMENCLATURE_GEN!G14)</f>
        <v>Goulotte de liaison vers le convoyeur des refus</v>
      </c>
      <c r="H14" s="4">
        <f>IF(NOMENCLATURE_GEN!H14="","",NOMENCLATURE_GEN!H14)</f>
        <v>1200</v>
      </c>
      <c r="I14" s="4">
        <f>IF(NOMENCLATURE_GEN!I14="","",NOMENCLATURE_GEN!I14)</f>
        <v>1200</v>
      </c>
      <c r="J14" s="130">
        <f>IF(NOMENCLATURE_GEN!J14="","",NOMENCLATURE_GEN!J14)</f>
        <v>0</v>
      </c>
      <c r="K14" s="9" t="s">
        <v>494</v>
      </c>
      <c r="L14" s="10"/>
      <c r="M14" s="10"/>
      <c r="N14" s="10"/>
      <c r="O14" s="10"/>
      <c r="P14" s="14"/>
      <c r="Q14" s="16"/>
      <c r="R14" s="16"/>
      <c r="S14" s="16"/>
      <c r="T14" s="10"/>
      <c r="U14" s="10"/>
      <c r="V14" s="10"/>
      <c r="W14" s="16"/>
      <c r="X14" s="16"/>
      <c r="Y14" s="647"/>
      <c r="Z14" s="17"/>
      <c r="AA14" s="7"/>
    </row>
    <row r="15" spans="2:30" s="3" customFormat="1" ht="39.950000000000003" customHeight="1">
      <c r="B15" s="129" t="str">
        <f>IF(NOMENCLATURE_GEN!B15="","",NOMENCLATURE_GEN!B15)</f>
        <v/>
      </c>
      <c r="C15" s="4" t="str">
        <f>IF(NOMENCLATURE_GEN!C15="","",NOMENCLATURE_GEN!C15)</f>
        <v/>
      </c>
      <c r="D15" s="4">
        <f>IF(NOMENCLATURE_GEN!D15="","",NOMENCLATURE_GEN!D15)</f>
        <v>107</v>
      </c>
      <c r="E15" s="4" t="str">
        <f ca="1">IF(NOMENCLATURE_GEN!E15="","",NOMENCLATURE_GEN!E15)</f>
        <v>A</v>
      </c>
      <c r="F15" s="4" t="str">
        <f>IF(NOMENCLATURE_GEN!F15="","",NOMENCLATURE_GEN!F15)</f>
        <v>CBA</v>
      </c>
      <c r="G15" s="310" t="str">
        <f>IF(NOMENCLATURE_GEN!G15="","",NOMENCLATURE_GEN!G15)</f>
        <v>Convoyeur de centralisation des refus</v>
      </c>
      <c r="H15" s="4">
        <f>IF(NOMENCLATURE_GEN!H15="","",NOMENCLATURE_GEN!H15)</f>
        <v>1400</v>
      </c>
      <c r="I15" s="4">
        <f>IF(NOMENCLATURE_GEN!I15="","",NOMENCLATURE_GEN!I15)</f>
        <v>9250</v>
      </c>
      <c r="J15" s="130">
        <f>IF(NOMENCLATURE_GEN!J15="","",NOMENCLATURE_GEN!J15)</f>
        <v>4</v>
      </c>
      <c r="K15" s="9" t="s">
        <v>503</v>
      </c>
      <c r="L15" s="10" t="s">
        <v>507</v>
      </c>
      <c r="M15" s="13" t="s">
        <v>534</v>
      </c>
      <c r="N15" s="10" t="s">
        <v>495</v>
      </c>
      <c r="O15" s="10"/>
      <c r="P15" s="14">
        <v>4</v>
      </c>
      <c r="Q15" s="16">
        <v>590</v>
      </c>
      <c r="R15" s="16">
        <v>65</v>
      </c>
      <c r="S15" s="16"/>
      <c r="T15" s="10" t="s">
        <v>598</v>
      </c>
      <c r="U15" s="10" t="s">
        <v>494</v>
      </c>
      <c r="V15" s="10" t="s">
        <v>594</v>
      </c>
      <c r="W15" s="16">
        <v>40</v>
      </c>
      <c r="X15" s="10" t="s">
        <v>595</v>
      </c>
      <c r="Y15" s="649">
        <v>45467</v>
      </c>
      <c r="Z15" s="11"/>
      <c r="AA15" s="7"/>
    </row>
    <row r="16" spans="2:30" s="3" customFormat="1" ht="39.950000000000003" customHeight="1">
      <c r="B16" s="129" t="str">
        <f>IF(NOMENCLATURE_GEN!B16="","",NOMENCLATURE_GEN!B16)</f>
        <v/>
      </c>
      <c r="C16" s="4" t="str">
        <f>IF(NOMENCLATURE_GEN!C16="","",NOMENCLATURE_GEN!C16)</f>
        <v/>
      </c>
      <c r="D16" s="4">
        <f>IF(NOMENCLATURE_GEN!D16="","",NOMENCLATURE_GEN!D16)</f>
        <v>108</v>
      </c>
      <c r="E16" s="4" t="str">
        <f ca="1">IF(NOMENCLATURE_GEN!E16="","",NOMENCLATURE_GEN!E16)</f>
        <v>A</v>
      </c>
      <c r="F16" s="4" t="str">
        <f>IF(NOMENCLATURE_GEN!F16="","",NOMENCLATURE_GEN!F16)</f>
        <v>CBA</v>
      </c>
      <c r="G16" s="310" t="str">
        <f>IF(NOMENCLATURE_GEN!G16="","",NOMENCLATURE_GEN!G16)</f>
        <v>Convoyeur de transfert des refus</v>
      </c>
      <c r="H16" s="4">
        <f>IF(NOMENCLATURE_GEN!H16="","",NOMENCLATURE_GEN!H16)</f>
        <v>1400</v>
      </c>
      <c r="I16" s="4">
        <f>IF(NOMENCLATURE_GEN!I16="","",NOMENCLATURE_GEN!I16)</f>
        <v>14750</v>
      </c>
      <c r="J16" s="130">
        <f>IF(NOMENCLATURE_GEN!J16="","",NOMENCLATURE_GEN!J16)</f>
        <v>6</v>
      </c>
      <c r="K16" s="9" t="s">
        <v>503</v>
      </c>
      <c r="L16" s="10" t="s">
        <v>510</v>
      </c>
      <c r="M16" s="13" t="s">
        <v>534</v>
      </c>
      <c r="N16" s="10" t="s">
        <v>495</v>
      </c>
      <c r="O16" s="10"/>
      <c r="P16" s="14">
        <v>7.3</v>
      </c>
      <c r="Q16" s="16">
        <v>1550</v>
      </c>
      <c r="R16" s="16">
        <v>38</v>
      </c>
      <c r="S16" s="16"/>
      <c r="T16" s="10" t="s">
        <v>607</v>
      </c>
      <c r="U16" s="10" t="s">
        <v>494</v>
      </c>
      <c r="V16" s="10" t="s">
        <v>594</v>
      </c>
      <c r="W16" s="16">
        <v>50</v>
      </c>
      <c r="X16" s="10" t="s">
        <v>606</v>
      </c>
      <c r="Y16" s="649">
        <v>45467</v>
      </c>
      <c r="Z16" s="17"/>
      <c r="AA16" s="7"/>
    </row>
    <row r="17" spans="2:27" s="3" customFormat="1" ht="39.950000000000003" customHeight="1">
      <c r="B17" s="129" t="str">
        <f>IF(NOMENCLATURE_GEN!B17="","",NOMENCLATURE_GEN!B17)</f>
        <v/>
      </c>
      <c r="C17" s="4" t="str">
        <f>IF(NOMENCLATURE_GEN!C17="","",NOMENCLATURE_GEN!C17)</f>
        <v/>
      </c>
      <c r="D17" s="4">
        <f>IF(NOMENCLATURE_GEN!D17="","",NOMENCLATURE_GEN!D17)</f>
        <v>109</v>
      </c>
      <c r="E17" s="4" t="str">
        <f ca="1">IF(NOMENCLATURE_GEN!E17="","",NOMENCLATURE_GEN!E17)</f>
        <v>A</v>
      </c>
      <c r="F17" s="4" t="str">
        <f>IF(NOMENCLATURE_GEN!F17="","",NOMENCLATURE_GEN!F17)</f>
        <v>CBA</v>
      </c>
      <c r="G17" s="310" t="str">
        <f>IF(NOMENCLATURE_GEN!G17="","",NOMENCLATURE_GEN!G17)</f>
        <v>Convoyeur de transfert des refus</v>
      </c>
      <c r="H17" s="4">
        <f>IF(NOMENCLATURE_GEN!H17="","",NOMENCLATURE_GEN!H17)</f>
        <v>1400</v>
      </c>
      <c r="I17" s="4">
        <f>IF(NOMENCLATURE_GEN!I17="","",NOMENCLATURE_GEN!I17)</f>
        <v>15250</v>
      </c>
      <c r="J17" s="130">
        <f>IF(NOMENCLATURE_GEN!J17="","",NOMENCLATURE_GEN!J17)</f>
        <v>14</v>
      </c>
      <c r="K17" s="9" t="s">
        <v>503</v>
      </c>
      <c r="L17" s="10" t="s">
        <v>510</v>
      </c>
      <c r="M17" s="13" t="s">
        <v>534</v>
      </c>
      <c r="N17" s="10" t="s">
        <v>495</v>
      </c>
      <c r="O17" s="10"/>
      <c r="P17" s="14">
        <v>7.3</v>
      </c>
      <c r="Q17" s="16">
        <v>1550</v>
      </c>
      <c r="R17" s="16">
        <v>38</v>
      </c>
      <c r="S17" s="16"/>
      <c r="T17" s="10" t="s">
        <v>608</v>
      </c>
      <c r="U17" s="10" t="s">
        <v>494</v>
      </c>
      <c r="V17" s="10" t="s">
        <v>594</v>
      </c>
      <c r="W17" s="16">
        <v>50</v>
      </c>
      <c r="X17" s="10" t="s">
        <v>606</v>
      </c>
      <c r="Y17" s="649">
        <v>45467</v>
      </c>
      <c r="Z17" s="17"/>
      <c r="AA17" s="7"/>
    </row>
    <row r="18" spans="2:27" s="3" customFormat="1" ht="39.950000000000003" customHeight="1">
      <c r="B18" s="129" t="str">
        <f>IF(NOMENCLATURE_GEN!B18="","",NOMENCLATURE_GEN!B18)</f>
        <v/>
      </c>
      <c r="C18" s="4" t="str">
        <f>IF(NOMENCLATURE_GEN!C18="","",NOMENCLATURE_GEN!C18)</f>
        <v/>
      </c>
      <c r="D18" s="4">
        <f>IF(NOMENCLATURE_GEN!D18="","",NOMENCLATURE_GEN!D18)</f>
        <v>110</v>
      </c>
      <c r="E18" s="4" t="str">
        <f ca="1">IF(NOMENCLATURE_GEN!E18="","",NOMENCLATURE_GEN!E18)</f>
        <v>A</v>
      </c>
      <c r="F18" s="4" t="str">
        <f>IF(NOMENCLATURE_GEN!F18="","",NOMENCLATURE_GEN!F18)</f>
        <v>CBA</v>
      </c>
      <c r="G18" s="310" t="str">
        <f>IF(NOMENCLATURE_GEN!G18="","",NOMENCLATURE_GEN!G18)</f>
        <v>Convoyeur de transfert des refus vers FMA</v>
      </c>
      <c r="H18" s="4">
        <f>IF(NOMENCLATURE_GEN!H18="","",NOMENCLATURE_GEN!H18)</f>
        <v>1400</v>
      </c>
      <c r="I18" s="4">
        <f>IF(NOMENCLATURE_GEN!I18="","",NOMENCLATURE_GEN!I18)</f>
        <v>20000</v>
      </c>
      <c r="J18" s="130">
        <f>IF(NOMENCLATURE_GEN!J18="","",NOMENCLATURE_GEN!J18)</f>
        <v>25</v>
      </c>
      <c r="K18" s="9" t="s">
        <v>503</v>
      </c>
      <c r="L18" s="10" t="s">
        <v>510</v>
      </c>
      <c r="M18" s="13" t="s">
        <v>534</v>
      </c>
      <c r="N18" s="10" t="s">
        <v>495</v>
      </c>
      <c r="O18" s="10"/>
      <c r="P18" s="14">
        <v>7.3</v>
      </c>
      <c r="Q18" s="16">
        <v>1550</v>
      </c>
      <c r="R18" s="16">
        <v>33</v>
      </c>
      <c r="S18" s="16"/>
      <c r="T18" s="10" t="s">
        <v>609</v>
      </c>
      <c r="U18" s="10" t="s">
        <v>494</v>
      </c>
      <c r="V18" s="10" t="s">
        <v>594</v>
      </c>
      <c r="W18" s="16">
        <v>50</v>
      </c>
      <c r="X18" s="10" t="s">
        <v>606</v>
      </c>
      <c r="Y18" s="649">
        <v>45467</v>
      </c>
      <c r="Z18" s="17"/>
      <c r="AA18" s="7"/>
    </row>
    <row r="19" spans="2:27" s="3" customFormat="1" ht="39.950000000000003" customHeight="1">
      <c r="B19" s="129" t="str">
        <f>IF(NOMENCLATURE_GEN!B19="","",NOMENCLATURE_GEN!B19)</f>
        <v/>
      </c>
      <c r="C19" s="4" t="str">
        <f>IF(NOMENCLATURE_GEN!C19="","",NOMENCLATURE_GEN!C19)</f>
        <v/>
      </c>
      <c r="D19" s="4">
        <f>IF(NOMENCLATURE_GEN!D19="","",NOMENCLATURE_GEN!D19)</f>
        <v>111</v>
      </c>
      <c r="E19" s="4" t="str">
        <f ca="1">IF(NOMENCLATURE_GEN!E19="","",NOMENCLATURE_GEN!E19)</f>
        <v>A</v>
      </c>
      <c r="F19" s="4" t="str">
        <f>IF(NOMENCLATURE_GEN!F19="","",NOMENCLATURE_GEN!F19)</f>
        <v>CBA</v>
      </c>
      <c r="G19" s="310" t="str">
        <f>IF(NOMENCLATURE_GEN!G19="","",NOMENCLATURE_GEN!G19)</f>
        <v>Convoyeur by-pass des refus (FMA 1 OU 2)</v>
      </c>
      <c r="H19" s="4">
        <f>IF(NOMENCLATURE_GEN!H19="","",NOMENCLATURE_GEN!H19)</f>
        <v>1400</v>
      </c>
      <c r="I19" s="4">
        <f>IF(NOMENCLATURE_GEN!I19="","",NOMENCLATURE_GEN!I19)</f>
        <v>4500</v>
      </c>
      <c r="J19" s="130">
        <f>IF(NOMENCLATURE_GEN!J19="","",NOMENCLATURE_GEN!J19)</f>
        <v>0</v>
      </c>
      <c r="K19" s="9" t="s">
        <v>503</v>
      </c>
      <c r="L19" s="10" t="s">
        <v>507</v>
      </c>
      <c r="M19" s="13" t="s">
        <v>534</v>
      </c>
      <c r="N19" s="10" t="s">
        <v>495</v>
      </c>
      <c r="O19" s="10" t="s">
        <v>495</v>
      </c>
      <c r="P19" s="14">
        <v>4</v>
      </c>
      <c r="Q19" s="16">
        <v>590</v>
      </c>
      <c r="R19" s="16">
        <v>65</v>
      </c>
      <c r="S19" s="16"/>
      <c r="T19" s="10" t="s">
        <v>596</v>
      </c>
      <c r="U19" s="10" t="s">
        <v>494</v>
      </c>
      <c r="V19" s="10" t="s">
        <v>594</v>
      </c>
      <c r="W19" s="16">
        <v>40</v>
      </c>
      <c r="X19" s="10" t="s">
        <v>595</v>
      </c>
      <c r="Y19" s="649">
        <v>45488</v>
      </c>
      <c r="Z19" s="11"/>
      <c r="AA19" s="7"/>
    </row>
    <row r="20" spans="2:27" s="3" customFormat="1" ht="39.950000000000003" customHeight="1">
      <c r="B20" s="129" t="str">
        <f>IF(NOMENCLATURE_GEN!B20="","",NOMENCLATURE_GEN!B20)</f>
        <v/>
      </c>
      <c r="C20" s="4" t="str">
        <f>IF(NOMENCLATURE_GEN!C20="","",NOMENCLATURE_GEN!C20)</f>
        <v/>
      </c>
      <c r="D20" s="4" t="str">
        <f>IF(NOMENCLATURE_GEN!D20="","",NOMENCLATURE_GEN!D20)</f>
        <v>112-1</v>
      </c>
      <c r="E20" s="4" t="str">
        <f ca="1">IF(NOMENCLATURE_GEN!E20="","",NOMENCLATURE_GEN!E20)</f>
        <v>A</v>
      </c>
      <c r="F20" s="4" t="str">
        <f>IF(NOMENCLATURE_GEN!F20="","",NOMENCLATURE_GEN!F20)</f>
        <v>CBA</v>
      </c>
      <c r="G20" s="310" t="str">
        <f>IF(NOMENCLATURE_GEN!G20="","",NOMENCLATURE_GEN!G20)</f>
        <v>Convoyeur navette double sens de remplissage des bennes ou FMA</v>
      </c>
      <c r="H20" s="4">
        <f>IF(NOMENCLATURE_GEN!H20="","",NOMENCLATURE_GEN!H20)</f>
        <v>1400</v>
      </c>
      <c r="I20" s="4">
        <f>IF(NOMENCLATURE_GEN!I20="","",NOMENCLATURE_GEN!I20)</f>
        <v>8250</v>
      </c>
      <c r="J20" s="130">
        <f>IF(NOMENCLATURE_GEN!J20="","",NOMENCLATURE_GEN!J20)</f>
        <v>0</v>
      </c>
      <c r="K20" s="9" t="s">
        <v>503</v>
      </c>
      <c r="L20" s="10" t="s">
        <v>507</v>
      </c>
      <c r="M20" s="13" t="s">
        <v>534</v>
      </c>
      <c r="N20" s="10" t="s">
        <v>495</v>
      </c>
      <c r="O20" s="10" t="s">
        <v>495</v>
      </c>
      <c r="P20" s="14">
        <v>4</v>
      </c>
      <c r="Q20" s="16">
        <v>590</v>
      </c>
      <c r="R20" s="16">
        <v>65</v>
      </c>
      <c r="S20" s="16"/>
      <c r="T20" s="10" t="s">
        <v>599</v>
      </c>
      <c r="U20" s="10" t="s">
        <v>494</v>
      </c>
      <c r="V20" s="10" t="s">
        <v>594</v>
      </c>
      <c r="W20" s="16">
        <v>40</v>
      </c>
      <c r="X20" s="10" t="s">
        <v>595</v>
      </c>
      <c r="Y20" s="649">
        <v>45488</v>
      </c>
      <c r="Z20" s="11"/>
      <c r="AA20" s="7"/>
    </row>
    <row r="21" spans="2:27" s="3" customFormat="1" ht="39.950000000000003" customHeight="1">
      <c r="B21" s="129" t="str">
        <f>IF(NOMENCLATURE_GEN!B21="","",NOMENCLATURE_GEN!B21)</f>
        <v/>
      </c>
      <c r="C21" s="4" t="str">
        <f>IF(NOMENCLATURE_GEN!C21="","",NOMENCLATURE_GEN!C21)</f>
        <v/>
      </c>
      <c r="D21" s="4" t="str">
        <f>IF(NOMENCLATURE_GEN!D21="","",NOMENCLATURE_GEN!D21)</f>
        <v>112-2</v>
      </c>
      <c r="E21" s="4" t="str">
        <f ca="1">IF(NOMENCLATURE_GEN!E21="","",NOMENCLATURE_GEN!E21)</f>
        <v>A</v>
      </c>
      <c r="F21" s="4" t="str">
        <f>IF(NOMENCLATURE_GEN!F21="","",NOMENCLATURE_GEN!F21)</f>
        <v>CBA</v>
      </c>
      <c r="G21" s="310" t="str">
        <f>IF(NOMENCLATURE_GEN!G21="","",NOMENCLATURE_GEN!G21)</f>
        <v>Convoyeur navette double sens de remplissage des bennes ou FMA</v>
      </c>
      <c r="H21" s="4">
        <f>IF(NOMENCLATURE_GEN!H21="","",NOMENCLATURE_GEN!H21)</f>
        <v>1400</v>
      </c>
      <c r="I21" s="4">
        <f>IF(NOMENCLATURE_GEN!I21="","",NOMENCLATURE_GEN!I21)</f>
        <v>8250</v>
      </c>
      <c r="J21" s="130">
        <f>IF(NOMENCLATURE_GEN!J21="","",NOMENCLATURE_GEN!J21)</f>
        <v>0</v>
      </c>
      <c r="K21" s="9" t="s">
        <v>512</v>
      </c>
      <c r="L21" s="10" t="s">
        <v>507</v>
      </c>
      <c r="M21" s="13" t="s">
        <v>534</v>
      </c>
      <c r="N21" s="10" t="s">
        <v>495</v>
      </c>
      <c r="O21" s="10" t="s">
        <v>495</v>
      </c>
      <c r="P21" s="14">
        <v>4</v>
      </c>
      <c r="Q21" s="16">
        <v>590</v>
      </c>
      <c r="R21" s="16">
        <v>65</v>
      </c>
      <c r="S21" s="16"/>
      <c r="T21" s="10" t="s">
        <v>599</v>
      </c>
      <c r="U21" s="10" t="s">
        <v>494</v>
      </c>
      <c r="V21" s="10" t="s">
        <v>594</v>
      </c>
      <c r="W21" s="16">
        <v>40</v>
      </c>
      <c r="X21" s="10" t="s">
        <v>595</v>
      </c>
      <c r="Y21" s="649">
        <v>45488</v>
      </c>
      <c r="Z21" s="11"/>
      <c r="AA21" s="7"/>
    </row>
    <row r="22" spans="2:27" s="3" customFormat="1" ht="39.950000000000003" customHeight="1">
      <c r="B22" s="129" t="str">
        <f>IF(NOMENCLATURE_GEN!B22="","",NOMENCLATURE_GEN!B22)</f>
        <v/>
      </c>
      <c r="C22" s="4" t="str">
        <f>IF(NOMENCLATURE_GEN!C22="","",NOMENCLATURE_GEN!C22)</f>
        <v/>
      </c>
      <c r="D22" s="4" t="str">
        <f>IF(NOMENCLATURE_GEN!D22="","",NOMENCLATURE_GEN!D22)</f>
        <v>113-1</v>
      </c>
      <c r="E22" s="4" t="str">
        <f ca="1">IF(NOMENCLATURE_GEN!E22="","",NOMENCLATURE_GEN!E22)</f>
        <v>A</v>
      </c>
      <c r="F22" s="4" t="str">
        <f>IF(NOMENCLATURE_GEN!F22="","",NOMENCLATURE_GEN!F22)</f>
        <v>NAV</v>
      </c>
      <c r="G22" s="310" t="str">
        <f>IF(NOMENCLATURE_GEN!G22="","",NOMENCLATURE_GEN!G22)</f>
        <v>Système navette pour convoyeur mobile remplissage FMA ou bennes</v>
      </c>
      <c r="H22" s="4" t="str">
        <f>IF(NOMENCLATURE_GEN!H22="","",NOMENCLATURE_GEN!H22)</f>
        <v/>
      </c>
      <c r="I22" s="4" t="str">
        <f>IF(NOMENCLATURE_GEN!I22="","",NOMENCLATURE_GEN!I22)</f>
        <v/>
      </c>
      <c r="J22" s="130" t="str">
        <f>IF(NOMENCLATURE_GEN!J22="","",NOMENCLATURE_GEN!J22)</f>
        <v/>
      </c>
      <c r="K22" s="9" t="s">
        <v>503</v>
      </c>
      <c r="L22" s="10" t="s">
        <v>513</v>
      </c>
      <c r="M22" s="13" t="s">
        <v>534</v>
      </c>
      <c r="N22" s="10" t="s">
        <v>495</v>
      </c>
      <c r="O22" s="10" t="s">
        <v>495</v>
      </c>
      <c r="P22" s="14">
        <v>1.1200000000000001</v>
      </c>
      <c r="Q22" s="16">
        <v>665</v>
      </c>
      <c r="R22" s="16">
        <v>52</v>
      </c>
      <c r="S22" s="16"/>
      <c r="T22" s="10" t="s">
        <v>634</v>
      </c>
      <c r="U22" s="10" t="s">
        <v>494</v>
      </c>
      <c r="V22" s="10" t="s">
        <v>635</v>
      </c>
      <c r="W22" s="16">
        <v>35</v>
      </c>
      <c r="X22" s="10" t="s">
        <v>636</v>
      </c>
      <c r="Y22" s="649">
        <v>45488</v>
      </c>
      <c r="Z22" s="17" t="s">
        <v>511</v>
      </c>
      <c r="AA22" s="7"/>
    </row>
    <row r="23" spans="2:27" s="3" customFormat="1" ht="39.950000000000003" customHeight="1">
      <c r="B23" s="129" t="str">
        <f>IF(NOMENCLATURE_GEN!B23="","",NOMENCLATURE_GEN!B23)</f>
        <v/>
      </c>
      <c r="C23" s="4" t="str">
        <f>IF(NOMENCLATURE_GEN!C23="","",NOMENCLATURE_GEN!C23)</f>
        <v/>
      </c>
      <c r="D23" s="4" t="str">
        <f>IF(NOMENCLATURE_GEN!D23="","",NOMENCLATURE_GEN!D23)</f>
        <v>113-2</v>
      </c>
      <c r="E23" s="4" t="str">
        <f ca="1">IF(NOMENCLATURE_GEN!E23="","",NOMENCLATURE_GEN!E23)</f>
        <v>A</v>
      </c>
      <c r="F23" s="4" t="str">
        <f>IF(NOMENCLATURE_GEN!F23="","",NOMENCLATURE_GEN!F23)</f>
        <v>NAV</v>
      </c>
      <c r="G23" s="310" t="str">
        <f>IF(NOMENCLATURE_GEN!G23="","",NOMENCLATURE_GEN!G23)</f>
        <v>Système navette pour convoyeur mobile remplissage FMA ou bennes</v>
      </c>
      <c r="H23" s="4" t="str">
        <f>IF(NOMENCLATURE_GEN!H23="","",NOMENCLATURE_GEN!H23)</f>
        <v/>
      </c>
      <c r="I23" s="4" t="str">
        <f>IF(NOMENCLATURE_GEN!I23="","",NOMENCLATURE_GEN!I23)</f>
        <v/>
      </c>
      <c r="J23" s="130" t="str">
        <f>IF(NOMENCLATURE_GEN!J23="","",NOMENCLATURE_GEN!J23)</f>
        <v/>
      </c>
      <c r="K23" s="9" t="s">
        <v>512</v>
      </c>
      <c r="L23" s="10" t="s">
        <v>513</v>
      </c>
      <c r="M23" s="13" t="s">
        <v>534</v>
      </c>
      <c r="N23" s="10" t="s">
        <v>495</v>
      </c>
      <c r="O23" s="10" t="s">
        <v>495</v>
      </c>
      <c r="P23" s="14">
        <v>1.1200000000000001</v>
      </c>
      <c r="Q23" s="16">
        <v>665</v>
      </c>
      <c r="R23" s="16">
        <v>52</v>
      </c>
      <c r="S23" s="16"/>
      <c r="T23" s="10" t="s">
        <v>634</v>
      </c>
      <c r="U23" s="10" t="s">
        <v>494</v>
      </c>
      <c r="V23" s="10" t="s">
        <v>635</v>
      </c>
      <c r="W23" s="16">
        <v>35</v>
      </c>
      <c r="X23" s="10" t="s">
        <v>636</v>
      </c>
      <c r="Y23" s="649">
        <v>45488</v>
      </c>
      <c r="Z23" s="17" t="s">
        <v>511</v>
      </c>
      <c r="AA23" s="7"/>
    </row>
    <row r="24" spans="2:27" s="3" customFormat="1" ht="40.5" hidden="1" customHeight="1">
      <c r="B24" s="129" t="str">
        <f>IF(NOMENCLATURE_GEN!B24="","",NOMENCLATURE_GEN!B24)</f>
        <v>SUP</v>
      </c>
      <c r="C24" s="4" t="str">
        <f>IF(NOMENCLATURE_GEN!C24="","",NOMENCLATURE_GEN!C24)</f>
        <v/>
      </c>
      <c r="D24" s="4">
        <f>IF(NOMENCLATURE_GEN!D24="","",NOMENCLATURE_GEN!D24)</f>
        <v>114</v>
      </c>
      <c r="E24" s="4" t="str">
        <f ca="1">IF(NOMENCLATURE_GEN!E24="","",NOMENCLATURE_GEN!E24)</f>
        <v>A</v>
      </c>
      <c r="F24" s="4" t="str">
        <f>IF(NOMENCLATURE_GEN!F24="","",NOMENCLATURE_GEN!F24)</f>
        <v>TRE</v>
      </c>
      <c r="G24" s="310" t="str">
        <f>IF(NOMENCLATURE_GEN!G24="","",NOMENCLATURE_GEN!G24)</f>
        <v>Trémie des passants 0-180mm sous trommel</v>
      </c>
      <c r="H24" s="4" t="str">
        <f>IF(NOMENCLATURE_GEN!H24="","",NOMENCLATURE_GEN!H24)</f>
        <v/>
      </c>
      <c r="I24" s="4" t="str">
        <f>IF(NOMENCLATURE_GEN!I24="","",NOMENCLATURE_GEN!I24)</f>
        <v/>
      </c>
      <c r="J24" s="130" t="str">
        <f>IF(NOMENCLATURE_GEN!J24="","",NOMENCLATURE_GEN!J24)</f>
        <v/>
      </c>
      <c r="K24" s="9" t="s">
        <v>494</v>
      </c>
      <c r="L24" s="10" t="s">
        <v>513</v>
      </c>
      <c r="M24" s="10"/>
      <c r="N24" s="10"/>
      <c r="O24" s="10"/>
      <c r="P24" s="14"/>
      <c r="Q24" s="16"/>
      <c r="R24" s="16"/>
      <c r="S24" s="16"/>
      <c r="T24" s="10"/>
      <c r="U24" s="10"/>
      <c r="V24" s="10"/>
      <c r="W24" s="16"/>
      <c r="X24" s="16"/>
      <c r="Y24" s="647"/>
      <c r="Z24" s="17"/>
      <c r="AA24" s="7"/>
    </row>
    <row r="25" spans="2:27" s="3" customFormat="1" ht="39.950000000000003" customHeight="1">
      <c r="B25" s="129" t="str">
        <f>IF(NOMENCLATURE_GEN!B25="","",NOMENCLATURE_GEN!B25)</f>
        <v/>
      </c>
      <c r="C25" s="4" t="str">
        <f>IF(NOMENCLATURE_GEN!C25="","",NOMENCLATURE_GEN!C25)</f>
        <v/>
      </c>
      <c r="D25" s="4">
        <f>IF(NOMENCLATURE_GEN!D25="","",NOMENCLATURE_GEN!D25)</f>
        <v>115</v>
      </c>
      <c r="E25" s="4" t="str">
        <f ca="1">IF(NOMENCLATURE_GEN!E25="","",NOMENCLATURE_GEN!E25)</f>
        <v>A</v>
      </c>
      <c r="F25" s="4" t="str">
        <f>IF(NOMENCLATURE_GEN!F25="","",NOMENCLATURE_GEN!F25)</f>
        <v>EAB</v>
      </c>
      <c r="G25" s="310" t="str">
        <f>IF(NOMENCLATURE_GEN!G25="","",NOMENCLATURE_GEN!G25)</f>
        <v>Convoyeur de reprise de la fraction 0-180mm et transfert vers trommel</v>
      </c>
      <c r="H25" s="4">
        <f>IF(NOMENCLATURE_GEN!H25="","",NOMENCLATURE_GEN!H25)</f>
        <v>1400</v>
      </c>
      <c r="I25" s="4">
        <f>IF(NOMENCLATURE_GEN!I25="","",NOMENCLATURE_GEN!I25)</f>
        <v>18400</v>
      </c>
      <c r="J25" s="130">
        <f>IF(NOMENCLATURE_GEN!J25="","",NOMENCLATURE_GEN!J25)</f>
        <v>35</v>
      </c>
      <c r="K25" s="9" t="s">
        <v>503</v>
      </c>
      <c r="L25" s="10" t="s">
        <v>509</v>
      </c>
      <c r="M25" s="13" t="s">
        <v>534</v>
      </c>
      <c r="N25" s="16" t="s">
        <v>495</v>
      </c>
      <c r="O25" s="16"/>
      <c r="P25" s="14">
        <v>5.8</v>
      </c>
      <c r="Q25" s="16">
        <v>4710</v>
      </c>
      <c r="R25" s="16">
        <v>17</v>
      </c>
      <c r="S25" s="16"/>
      <c r="T25" s="10" t="s">
        <v>616</v>
      </c>
      <c r="U25" s="16" t="s">
        <v>494</v>
      </c>
      <c r="V25" s="10" t="s">
        <v>635</v>
      </c>
      <c r="W25" s="16">
        <v>70</v>
      </c>
      <c r="X25" s="10" t="s">
        <v>639</v>
      </c>
      <c r="Y25" s="649">
        <v>45467</v>
      </c>
      <c r="Z25" s="17" t="s">
        <v>506</v>
      </c>
      <c r="AA25" s="7"/>
    </row>
    <row r="26" spans="2:27" s="3" customFormat="1" ht="39.950000000000003" hidden="1" customHeight="1">
      <c r="B26" s="129" t="str">
        <f>IF(NOMENCLATURE_GEN!B26="","",NOMENCLATURE_GEN!B26)</f>
        <v/>
      </c>
      <c r="C26" s="4" t="str">
        <f>IF(NOMENCLATURE_GEN!C26="","",NOMENCLATURE_GEN!C26)</f>
        <v/>
      </c>
      <c r="D26" s="4">
        <f>IF(NOMENCLATURE_GEN!D26="","",NOMENCLATURE_GEN!D26)</f>
        <v>115</v>
      </c>
      <c r="E26" s="4" t="str">
        <f ca="1">IF(NOMENCLATURE_GEN!E26="","",NOMENCLATURE_GEN!E26)</f>
        <v>B</v>
      </c>
      <c r="F26" s="4" t="str">
        <f>IF(NOMENCLATURE_GEN!F26="","",NOMENCLATURE_GEN!F26)</f>
        <v>GRA</v>
      </c>
      <c r="G26" s="310" t="str">
        <f>IF(NOMENCLATURE_GEN!G26="","",NOMENCLATURE_GEN!G26)</f>
        <v>Convoyeur à bande et chaines - Centrale de graissage</v>
      </c>
      <c r="H26" s="4" t="str">
        <f>IF(NOMENCLATURE_GEN!H26="","",NOMENCLATURE_GEN!H26)</f>
        <v/>
      </c>
      <c r="I26" s="4" t="str">
        <f>IF(NOMENCLATURE_GEN!I26="","",NOMENCLATURE_GEN!I26)</f>
        <v/>
      </c>
      <c r="J26" s="130" t="str">
        <f>IF(NOMENCLATURE_GEN!J26="","",NOMENCLATURE_GEN!J26)</f>
        <v/>
      </c>
      <c r="K26" s="9" t="s">
        <v>494</v>
      </c>
      <c r="L26" s="10"/>
      <c r="M26" s="16"/>
      <c r="N26" s="16"/>
      <c r="O26" s="16"/>
      <c r="P26" s="14"/>
      <c r="Q26" s="16"/>
      <c r="R26" s="16"/>
      <c r="S26" s="16"/>
      <c r="T26" s="16"/>
      <c r="U26" s="16"/>
      <c r="V26" s="16"/>
      <c r="W26" s="16"/>
      <c r="X26" s="16"/>
      <c r="Y26" s="647"/>
      <c r="Z26" s="17"/>
      <c r="AA26" s="7"/>
    </row>
    <row r="27" spans="2:27" s="3" customFormat="1" ht="39.950000000000003" customHeight="1">
      <c r="B27" s="129" t="str">
        <f>IF(NOMENCLATURE_GEN!B27="","",NOMENCLATURE_GEN!B27)</f>
        <v/>
      </c>
      <c r="C27" s="4" t="str">
        <f>IF(NOMENCLATURE_GEN!C27="","",NOMENCLATURE_GEN!C27)</f>
        <v/>
      </c>
      <c r="D27" s="4">
        <f>IF(NOMENCLATURE_GEN!D27="","",NOMENCLATURE_GEN!D27)</f>
        <v>116</v>
      </c>
      <c r="E27" s="4" t="str">
        <f ca="1">IF(NOMENCLATURE_GEN!E27="","",NOMENCLATURE_GEN!E27)</f>
        <v>A</v>
      </c>
      <c r="F27" s="4" t="str">
        <f>IF(NOMENCLATURE_GEN!F27="","",NOMENCLATURE_GEN!F27)</f>
        <v>TRO</v>
      </c>
      <c r="G27" s="310" t="str">
        <f>IF(NOMENCLATURE_GEN!G27="","",NOMENCLATURE_GEN!G27)</f>
        <v>Trommel secondaire, maille Ø30mm, avec pales de brassage</v>
      </c>
      <c r="H27" s="4">
        <f>IF(NOMENCLATURE_GEN!H27="","",NOMENCLATURE_GEN!H27)</f>
        <v>2500</v>
      </c>
      <c r="I27" s="4">
        <f>IF(NOMENCLATURE_GEN!I27="","",NOMENCLATURE_GEN!I27)</f>
        <v>6000</v>
      </c>
      <c r="J27" s="130">
        <f>IF(NOMENCLATURE_GEN!J27="","",NOMENCLATURE_GEN!J27)</f>
        <v>3</v>
      </c>
      <c r="K27" s="9" t="s">
        <v>503</v>
      </c>
      <c r="L27" s="10" t="s">
        <v>509</v>
      </c>
      <c r="M27" s="10" t="s">
        <v>505</v>
      </c>
      <c r="N27" s="16" t="s">
        <v>495</v>
      </c>
      <c r="O27" s="16"/>
      <c r="P27" s="14">
        <v>15</v>
      </c>
      <c r="Q27" s="16">
        <v>2700</v>
      </c>
      <c r="R27" s="16">
        <v>53</v>
      </c>
      <c r="S27" s="16">
        <v>1.6</v>
      </c>
      <c r="T27" s="10" t="s">
        <v>632</v>
      </c>
      <c r="U27" s="10" t="s">
        <v>494</v>
      </c>
      <c r="V27" s="10" t="s">
        <v>633</v>
      </c>
      <c r="W27" s="16">
        <v>70</v>
      </c>
      <c r="X27" s="10" t="s">
        <v>674</v>
      </c>
      <c r="Y27" s="649">
        <v>45467</v>
      </c>
      <c r="Z27" s="17"/>
      <c r="AA27" s="7"/>
    </row>
    <row r="28" spans="2:27" s="3" customFormat="1" ht="39.950000000000003" hidden="1" customHeight="1">
      <c r="B28" s="129" t="str">
        <f>IF(NOMENCLATURE_GEN!B28="","",NOMENCLATURE_GEN!B28)</f>
        <v/>
      </c>
      <c r="C28" s="4" t="str">
        <f>IF(NOMENCLATURE_GEN!C28="","",NOMENCLATURE_GEN!C28)</f>
        <v/>
      </c>
      <c r="D28" s="4">
        <f>IF(NOMENCLATURE_GEN!D28="","",NOMENCLATURE_GEN!D28)</f>
        <v>117</v>
      </c>
      <c r="E28" s="4" t="str">
        <f ca="1">IF(NOMENCLATURE_GEN!E28="","",NOMENCLATURE_GEN!E28)</f>
        <v>A</v>
      </c>
      <c r="F28" s="4" t="str">
        <f>IF(NOMENCLATURE_GEN!F28="","",NOMENCLATURE_GEN!F28)</f>
        <v>NET</v>
      </c>
      <c r="G28" s="310" t="str">
        <f>IF(NOMENCLATURE_GEN!G28="","",NOMENCLATURE_GEN!G28)</f>
        <v>Nettoyage pneumatique haute pression maille Ø30mm</v>
      </c>
      <c r="H28" s="4" t="str">
        <f>IF(NOMENCLATURE_GEN!H28="","",NOMENCLATURE_GEN!H28)</f>
        <v/>
      </c>
      <c r="I28" s="4" t="str">
        <f>IF(NOMENCLATURE_GEN!I28="","",NOMENCLATURE_GEN!I28)</f>
        <v/>
      </c>
      <c r="J28" s="130" t="str">
        <f>IF(NOMENCLATURE_GEN!J28="","",NOMENCLATURE_GEN!J28)</f>
        <v/>
      </c>
      <c r="K28" s="9" t="s">
        <v>494</v>
      </c>
      <c r="L28" s="10" t="s">
        <v>513</v>
      </c>
      <c r="M28" s="16"/>
      <c r="N28" s="16"/>
      <c r="O28" s="16"/>
      <c r="P28" s="14"/>
      <c r="Q28" s="16"/>
      <c r="R28" s="16"/>
      <c r="S28" s="16"/>
      <c r="T28" s="16"/>
      <c r="U28" s="16"/>
      <c r="V28" s="16"/>
      <c r="W28" s="16"/>
      <c r="X28" s="16"/>
      <c r="Y28" s="647"/>
      <c r="Z28" s="17"/>
      <c r="AA28" s="7"/>
    </row>
    <row r="29" spans="2:27" s="3" customFormat="1" ht="36.75" customHeight="1">
      <c r="B29" s="129" t="str">
        <f>IF(NOMENCLATURE_GEN!B29="","",NOMENCLATURE_GEN!B29)</f>
        <v/>
      </c>
      <c r="C29" s="4" t="str">
        <f>IF(NOMENCLATURE_GEN!C29="","",NOMENCLATURE_GEN!C29)</f>
        <v/>
      </c>
      <c r="D29" s="4">
        <f>IF(NOMENCLATURE_GEN!D29="","",NOMENCLATURE_GEN!D29)</f>
        <v>118</v>
      </c>
      <c r="E29" s="4" t="str">
        <f ca="1">IF(NOMENCLATURE_GEN!E29="","",NOMENCLATURE_GEN!E29)</f>
        <v>A</v>
      </c>
      <c r="F29" s="4" t="str">
        <f>IF(NOMENCLATURE_GEN!F29="","",NOMENCLATURE_GEN!F29)</f>
        <v>CBA</v>
      </c>
      <c r="G29" s="310" t="str">
        <f>IF(NOMENCLATURE_GEN!G29="","",NOMENCLATURE_GEN!G29)</f>
        <v xml:space="preserve">Convoyeur de reprise de la fraction 30-180mm avec tête inox + zone inox </v>
      </c>
      <c r="H29" s="4">
        <f>IF(NOMENCLATURE_GEN!H29="","",NOMENCLATURE_GEN!H29)</f>
        <v>1200</v>
      </c>
      <c r="I29" s="4">
        <f>IF(NOMENCLATURE_GEN!I29="","",NOMENCLATURE_GEN!I29)</f>
        <v>9000</v>
      </c>
      <c r="J29" s="130">
        <f>IF(NOMENCLATURE_GEN!J29="","",NOMENCLATURE_GEN!J29)</f>
        <v>5</v>
      </c>
      <c r="K29" s="9" t="s">
        <v>503</v>
      </c>
      <c r="L29" s="10" t="s">
        <v>507</v>
      </c>
      <c r="M29" s="13" t="s">
        <v>534</v>
      </c>
      <c r="N29" s="16" t="s">
        <v>495</v>
      </c>
      <c r="O29" s="16"/>
      <c r="P29" s="14">
        <v>4</v>
      </c>
      <c r="Q29" s="16">
        <v>590</v>
      </c>
      <c r="R29" s="16">
        <v>65</v>
      </c>
      <c r="S29" s="16"/>
      <c r="T29" s="10" t="s">
        <v>597</v>
      </c>
      <c r="U29" s="16" t="s">
        <v>494</v>
      </c>
      <c r="V29" s="10" t="s">
        <v>594</v>
      </c>
      <c r="W29" s="16">
        <v>40</v>
      </c>
      <c r="X29" s="10" t="s">
        <v>595</v>
      </c>
      <c r="Y29" s="649">
        <v>45467</v>
      </c>
      <c r="Z29" s="11"/>
      <c r="AA29" s="7"/>
    </row>
    <row r="30" spans="2:27" s="3" customFormat="1" ht="39" hidden="1" customHeight="1">
      <c r="B30" s="129" t="str">
        <f>IF(NOMENCLATURE_GEN!B30="","",NOMENCLATURE_GEN!B30)</f>
        <v/>
      </c>
      <c r="C30" s="4" t="str">
        <f>IF(NOMENCLATURE_GEN!C30="","",NOMENCLATURE_GEN!C30)</f>
        <v/>
      </c>
      <c r="D30" s="4">
        <f>IF(NOMENCLATURE_GEN!D30="","",NOMENCLATURE_GEN!D30)</f>
        <v>119</v>
      </c>
      <c r="E30" s="4" t="str">
        <f ca="1">IF(NOMENCLATURE_GEN!E30="","",NOMENCLATURE_GEN!E30)</f>
        <v>A</v>
      </c>
      <c r="F30" s="4" t="str">
        <f>IF(NOMENCLATURE_GEN!F30="","",NOMENCLATURE_GEN!F30)</f>
        <v>OVB</v>
      </c>
      <c r="G30" s="310" t="str">
        <f>IF(NOMENCLATURE_GEN!G30="","",NOMENCLATURE_GEN!G30)</f>
        <v>Séparateur magnétique à aimant permament</v>
      </c>
      <c r="H30" s="4">
        <f>IF(NOMENCLATURE_GEN!H30="","",NOMENCLATURE_GEN!H30)</f>
        <v>1200</v>
      </c>
      <c r="I30" s="4">
        <f>IF(NOMENCLATURE_GEN!I30="","",NOMENCLATURE_GEN!I30)</f>
        <v>1200</v>
      </c>
      <c r="J30" s="130" t="str">
        <f>IF(NOMENCLATURE_GEN!J30="","",NOMENCLATURE_GEN!J30)</f>
        <v/>
      </c>
      <c r="K30" s="9" t="s">
        <v>494</v>
      </c>
      <c r="L30" s="10" t="s">
        <v>513</v>
      </c>
      <c r="M30" s="16"/>
      <c r="N30" s="16"/>
      <c r="O30" s="16"/>
      <c r="P30" s="14"/>
      <c r="Q30" s="16"/>
      <c r="R30" s="16"/>
      <c r="S30" s="16"/>
      <c r="T30" s="16"/>
      <c r="U30" s="16"/>
      <c r="V30" s="16"/>
      <c r="W30" s="16"/>
      <c r="X30" s="16"/>
      <c r="Y30" s="647"/>
      <c r="Z30" s="17"/>
      <c r="AA30" s="7"/>
    </row>
    <row r="31" spans="2:27" s="3" customFormat="1" ht="39" hidden="1" customHeight="1">
      <c r="B31" s="129" t="str">
        <f>IF(NOMENCLATURE_GEN!B31="","",NOMENCLATURE_GEN!B31)</f>
        <v/>
      </c>
      <c r="C31" s="4" t="str">
        <f>IF(NOMENCLATURE_GEN!C31="","",NOMENCLATURE_GEN!C31)</f>
        <v/>
      </c>
      <c r="D31" s="4">
        <f>IF(NOMENCLATURE_GEN!D31="","",NOMENCLATURE_GEN!D31)</f>
        <v>120</v>
      </c>
      <c r="E31" s="4" t="str">
        <f ca="1">IF(NOMENCLATURE_GEN!E31="","",NOMENCLATURE_GEN!E31)</f>
        <v>A</v>
      </c>
      <c r="F31" s="4" t="str">
        <f>IF(NOMENCLATURE_GEN!F31="","",NOMENCLATURE_GEN!F31)</f>
        <v>PMP</v>
      </c>
      <c r="G31" s="310" t="str">
        <f>IF(NOMENCLATURE_GEN!G31="","",NOMENCLATURE_GEN!G31)</f>
        <v>Poulie magnétique</v>
      </c>
      <c r="H31" s="4">
        <f>IF(NOMENCLATURE_GEN!H31="","",NOMENCLATURE_GEN!H31)</f>
        <v>1200</v>
      </c>
      <c r="I31" s="4" t="str">
        <f>IF(NOMENCLATURE_GEN!I31="","",NOMENCLATURE_GEN!I31)</f>
        <v/>
      </c>
      <c r="J31" s="130" t="str">
        <f>IF(NOMENCLATURE_GEN!J31="","",NOMENCLATURE_GEN!J31)</f>
        <v/>
      </c>
      <c r="K31" s="9" t="s">
        <v>494</v>
      </c>
      <c r="L31" s="10" t="s">
        <v>513</v>
      </c>
      <c r="M31" s="10"/>
      <c r="N31" s="10"/>
      <c r="O31" s="10"/>
      <c r="P31" s="14"/>
      <c r="Q31" s="16"/>
      <c r="R31" s="16"/>
      <c r="S31" s="16"/>
      <c r="T31" s="10"/>
      <c r="U31" s="10"/>
      <c r="V31" s="10"/>
      <c r="W31" s="16"/>
      <c r="X31" s="16"/>
      <c r="Y31" s="647"/>
      <c r="Z31" s="17"/>
      <c r="AA31" s="7"/>
    </row>
    <row r="32" spans="2:27" s="3" customFormat="1" ht="39" hidden="1" customHeight="1">
      <c r="B32" s="129" t="str">
        <f>IF(NOMENCLATURE_GEN!B32="","",NOMENCLATURE_GEN!B32)</f>
        <v/>
      </c>
      <c r="C32" s="4" t="str">
        <f>IF(NOMENCLATURE_GEN!C32="","",NOMENCLATURE_GEN!C32)</f>
        <v/>
      </c>
      <c r="D32" s="4">
        <f>IF(NOMENCLATURE_GEN!D32="","",NOMENCLATURE_GEN!D32)</f>
        <v>121</v>
      </c>
      <c r="E32" s="4" t="str">
        <f ca="1">IF(NOMENCLATURE_GEN!E32="","",NOMENCLATURE_GEN!E32)</f>
        <v>A</v>
      </c>
      <c r="F32" s="4" t="str">
        <f>IF(NOMENCLATURE_GEN!F32="","",NOMENCLATURE_GEN!F32)</f>
        <v>SNF</v>
      </c>
      <c r="G32" s="310" t="str">
        <f>IF(NOMENCLATURE_GEN!G32="","",NOMENCLATURE_GEN!G32)</f>
        <v>Séparateur de non ferreux EDX - ROUE POLAIRE</v>
      </c>
      <c r="H32" s="4">
        <f>IF(NOMENCLATURE_GEN!H32="","",NOMENCLATURE_GEN!H32)</f>
        <v>1200</v>
      </c>
      <c r="I32" s="4">
        <f>IF(NOMENCLATURE_GEN!I32="","",NOMENCLATURE_GEN!I32)</f>
        <v>2500</v>
      </c>
      <c r="J32" s="130" t="str">
        <f>IF(NOMENCLATURE_GEN!J32="","",NOMENCLATURE_GEN!J32)</f>
        <v/>
      </c>
      <c r="K32" s="9" t="s">
        <v>494</v>
      </c>
      <c r="L32" s="10" t="s">
        <v>513</v>
      </c>
      <c r="M32" s="10"/>
      <c r="N32" s="10"/>
      <c r="O32" s="10"/>
      <c r="P32" s="14"/>
      <c r="Q32" s="16"/>
      <c r="R32" s="16"/>
      <c r="S32" s="16"/>
      <c r="T32" s="10"/>
      <c r="U32" s="10"/>
      <c r="V32" s="10"/>
      <c r="W32" s="16"/>
      <c r="X32" s="16"/>
      <c r="Y32" s="647"/>
      <c r="Z32" s="17"/>
      <c r="AA32" s="7"/>
    </row>
    <row r="33" spans="2:27" s="3" customFormat="1" ht="39" hidden="1" customHeight="1">
      <c r="B33" s="129" t="str">
        <f>IF(NOMENCLATURE_GEN!B33="","",NOMENCLATURE_GEN!B33)</f>
        <v/>
      </c>
      <c r="C33" s="4" t="str">
        <f>IF(NOMENCLATURE_GEN!C33="","",NOMENCLATURE_GEN!C33)</f>
        <v/>
      </c>
      <c r="D33" s="4">
        <f>IF(NOMENCLATURE_GEN!D33="","",NOMENCLATURE_GEN!D33)</f>
        <v>121</v>
      </c>
      <c r="E33" s="4" t="str">
        <f ca="1">IF(NOMENCLATURE_GEN!E33="","",NOMENCLATURE_GEN!E33)</f>
        <v>B</v>
      </c>
      <c r="F33" s="4" t="str">
        <f>IF(NOMENCLATURE_GEN!F33="","",NOMENCLATURE_GEN!F33)</f>
        <v>SNF</v>
      </c>
      <c r="G33" s="310" t="str">
        <f>IF(NOMENCLATURE_GEN!G33="","",NOMENCLATURE_GEN!G33)</f>
        <v>Séparateur de non ferreux EDX - CONVOYEUR</v>
      </c>
      <c r="H33" s="4" t="str">
        <f>IF(NOMENCLATURE_GEN!H33="","",NOMENCLATURE_GEN!H33)</f>
        <v/>
      </c>
      <c r="I33" s="4" t="str">
        <f>IF(NOMENCLATURE_GEN!I33="","",NOMENCLATURE_GEN!I33)</f>
        <v/>
      </c>
      <c r="J33" s="130" t="str">
        <f>IF(NOMENCLATURE_GEN!J33="","",NOMENCLATURE_GEN!J33)</f>
        <v/>
      </c>
      <c r="K33" s="9" t="s">
        <v>494</v>
      </c>
      <c r="L33" s="10"/>
      <c r="M33" s="16"/>
      <c r="N33" s="16"/>
      <c r="O33" s="16"/>
      <c r="P33" s="14"/>
      <c r="Q33" s="16"/>
      <c r="R33" s="16"/>
      <c r="S33" s="16"/>
      <c r="T33" s="16"/>
      <c r="U33" s="16"/>
      <c r="V33" s="16"/>
      <c r="W33" s="16"/>
      <c r="X33" s="16"/>
      <c r="Y33" s="647"/>
      <c r="Z33" s="17"/>
      <c r="AA33" s="7"/>
    </row>
    <row r="34" spans="2:27" s="3" customFormat="1" ht="39.950000000000003" customHeight="1">
      <c r="B34" s="129" t="str">
        <f>IF(NOMENCLATURE_GEN!B34="","",NOMENCLATURE_GEN!B34)</f>
        <v/>
      </c>
      <c r="C34" s="4" t="str">
        <f>IF(NOMENCLATURE_GEN!C34="","",NOMENCLATURE_GEN!C34)</f>
        <v/>
      </c>
      <c r="D34" s="4">
        <f>IF(NOMENCLATURE_GEN!D34="","",NOMENCLATURE_GEN!D34)</f>
        <v>122</v>
      </c>
      <c r="E34" s="4" t="str">
        <f ca="1">IF(NOMENCLATURE_GEN!E34="","",NOMENCLATURE_GEN!E34)</f>
        <v>A</v>
      </c>
      <c r="F34" s="4" t="str">
        <f>IF(NOMENCLATURE_GEN!F34="","",NOMENCLATURE_GEN!F34)</f>
        <v>TBE</v>
      </c>
      <c r="G34" s="310" t="str">
        <f>IF(NOMENCLATURE_GEN!G34="","",NOMENCLATURE_GEN!G34)</f>
        <v>Convoyeur de reprise des non ferreux</v>
      </c>
      <c r="H34" s="4">
        <f>IF(NOMENCLATURE_GEN!H34="","",NOMENCLATURE_GEN!H34)</f>
        <v>600</v>
      </c>
      <c r="I34" s="4">
        <f>IF(NOMENCLATURE_GEN!I34="","",NOMENCLATURE_GEN!I34)</f>
        <v>3000</v>
      </c>
      <c r="J34" s="130">
        <f>IF(NOMENCLATURE_GEN!J34="","",NOMENCLATURE_GEN!J34)</f>
        <v>0</v>
      </c>
      <c r="K34" s="9" t="s">
        <v>503</v>
      </c>
      <c r="L34" s="10" t="s">
        <v>620</v>
      </c>
      <c r="M34" s="13" t="s">
        <v>534</v>
      </c>
      <c r="N34" s="16" t="s">
        <v>495</v>
      </c>
      <c r="O34" s="16"/>
      <c r="P34" s="13" t="s">
        <v>617</v>
      </c>
      <c r="Q34" s="16">
        <v>257</v>
      </c>
      <c r="R34" s="16">
        <v>78</v>
      </c>
      <c r="S34" s="16"/>
      <c r="T34" s="10" t="s">
        <v>618</v>
      </c>
      <c r="U34" s="16" t="s">
        <v>495</v>
      </c>
      <c r="V34" s="16" t="s">
        <v>508</v>
      </c>
      <c r="W34" s="16">
        <v>40</v>
      </c>
      <c r="X34" s="10" t="s">
        <v>619</v>
      </c>
      <c r="Y34" s="649">
        <v>45488</v>
      </c>
      <c r="Z34" s="17"/>
      <c r="AA34" s="7"/>
    </row>
    <row r="35" spans="2:27" s="3" customFormat="1" ht="39.950000000000003" customHeight="1">
      <c r="B35" s="129" t="str">
        <f>IF(NOMENCLATURE_GEN!B35="","",NOMENCLATURE_GEN!B35)</f>
        <v/>
      </c>
      <c r="C35" s="4" t="str">
        <f>IF(NOMENCLATURE_GEN!C35="","",NOMENCLATURE_GEN!C35)</f>
        <v/>
      </c>
      <c r="D35" s="4">
        <f>IF(NOMENCLATURE_GEN!D35="","",NOMENCLATURE_GEN!D35)</f>
        <v>123</v>
      </c>
      <c r="E35" s="4" t="str">
        <f ca="1">IF(NOMENCLATURE_GEN!E35="","",NOMENCLATURE_GEN!E35)</f>
        <v>A</v>
      </c>
      <c r="F35" s="4" t="str">
        <f>IF(NOMENCLATURE_GEN!F35="","",NOMENCLATURE_GEN!F35)</f>
        <v>TBE</v>
      </c>
      <c r="G35" s="310" t="str">
        <f>IF(NOMENCLATURE_GEN!G35="","",NOMENCLATURE_GEN!G35)</f>
        <v>Convoyeur de centralisation des non ferreux et transfert vers benne</v>
      </c>
      <c r="H35" s="4">
        <f>IF(NOMENCLATURE_GEN!H35="","",NOMENCLATURE_GEN!H35)</f>
        <v>800</v>
      </c>
      <c r="I35" s="4">
        <f>IF(NOMENCLATURE_GEN!I35="","",NOMENCLATURE_GEN!I35)</f>
        <v>10000</v>
      </c>
      <c r="J35" s="130">
        <f>IF(NOMENCLATURE_GEN!J35="","",NOMENCLATURE_GEN!J35)</f>
        <v>20</v>
      </c>
      <c r="K35" s="9" t="s">
        <v>503</v>
      </c>
      <c r="L35" s="10" t="s">
        <v>620</v>
      </c>
      <c r="M35" s="13" t="s">
        <v>534</v>
      </c>
      <c r="N35" s="16" t="s">
        <v>495</v>
      </c>
      <c r="O35" s="16"/>
      <c r="P35" s="14" t="s">
        <v>617</v>
      </c>
      <c r="Q35" s="16">
        <v>257</v>
      </c>
      <c r="R35" s="16">
        <v>78</v>
      </c>
      <c r="S35" s="16"/>
      <c r="T35" s="16" t="s">
        <v>618</v>
      </c>
      <c r="U35" s="16" t="s">
        <v>495</v>
      </c>
      <c r="V35" s="16" t="s">
        <v>508</v>
      </c>
      <c r="W35" s="16">
        <v>40</v>
      </c>
      <c r="X35" s="10" t="s">
        <v>619</v>
      </c>
      <c r="Y35" s="649">
        <v>45488</v>
      </c>
      <c r="Z35" s="17"/>
      <c r="AA35" s="7"/>
    </row>
    <row r="36" spans="2:27" s="3" customFormat="1" ht="39.950000000000003" customHeight="1">
      <c r="B36" s="129" t="str">
        <f>IF(NOMENCLATURE_GEN!B36="","",NOMENCLATURE_GEN!B36)</f>
        <v/>
      </c>
      <c r="C36" s="4" t="str">
        <f>IF(NOMENCLATURE_GEN!C36="","",NOMENCLATURE_GEN!C36)</f>
        <v/>
      </c>
      <c r="D36" s="4">
        <f>IF(NOMENCLATURE_GEN!D36="","",NOMENCLATURE_GEN!D36)</f>
        <v>124</v>
      </c>
      <c r="E36" s="4" t="str">
        <f ca="1">IF(NOMENCLATURE_GEN!E36="","",NOMENCLATURE_GEN!E36)</f>
        <v>A</v>
      </c>
      <c r="F36" s="4" t="str">
        <f>IF(NOMENCLATURE_GEN!F36="","",NOMENCLATURE_GEN!F36)</f>
        <v>TBE</v>
      </c>
      <c r="G36" s="310" t="str">
        <f>IF(NOMENCLATURE_GEN!G36="","",NOMENCLATURE_GEN!G36)</f>
        <v>Convoyeur navette double sens de remplissage de la benne</v>
      </c>
      <c r="H36" s="4">
        <f>IF(NOMENCLATURE_GEN!H36="","",NOMENCLATURE_GEN!H36)</f>
        <v>800</v>
      </c>
      <c r="I36" s="4">
        <f>IF(NOMENCLATURE_GEN!I36="","",NOMENCLATURE_GEN!I36)</f>
        <v>3000</v>
      </c>
      <c r="J36" s="130">
        <f>IF(NOMENCLATURE_GEN!J36="","",NOMENCLATURE_GEN!J36)</f>
        <v>0</v>
      </c>
      <c r="K36" s="9" t="s">
        <v>503</v>
      </c>
      <c r="L36" s="10" t="s">
        <v>620</v>
      </c>
      <c r="M36" s="13" t="s">
        <v>534</v>
      </c>
      <c r="N36" s="10" t="s">
        <v>495</v>
      </c>
      <c r="O36" s="10" t="s">
        <v>495</v>
      </c>
      <c r="P36" s="14" t="s">
        <v>617</v>
      </c>
      <c r="Q36" s="16">
        <v>257</v>
      </c>
      <c r="R36" s="16">
        <v>78</v>
      </c>
      <c r="S36" s="16"/>
      <c r="T36" s="10" t="s">
        <v>618</v>
      </c>
      <c r="U36" s="10" t="s">
        <v>495</v>
      </c>
      <c r="V36" s="10" t="s">
        <v>508</v>
      </c>
      <c r="W36" s="16">
        <v>40</v>
      </c>
      <c r="X36" s="10" t="s">
        <v>619</v>
      </c>
      <c r="Y36" s="649">
        <v>45509</v>
      </c>
      <c r="Z36" s="17"/>
      <c r="AA36" s="7"/>
    </row>
    <row r="37" spans="2:27" s="3" customFormat="1" ht="39.950000000000003" customHeight="1">
      <c r="B37" s="129" t="str">
        <f>IF(NOMENCLATURE_GEN!B37="","",NOMENCLATURE_GEN!B37)</f>
        <v/>
      </c>
      <c r="C37" s="4" t="str">
        <f>IF(NOMENCLATURE_GEN!C37="","",NOMENCLATURE_GEN!C37)</f>
        <v/>
      </c>
      <c r="D37" s="4">
        <f>IF(NOMENCLATURE_GEN!D37="","",NOMENCLATURE_GEN!D37)</f>
        <v>125</v>
      </c>
      <c r="E37" s="4" t="str">
        <f ca="1">IF(NOMENCLATURE_GEN!E37="","",NOMENCLATURE_GEN!E37)</f>
        <v>A</v>
      </c>
      <c r="F37" s="4" t="str">
        <f>IF(NOMENCLATURE_GEN!F37="","",NOMENCLATURE_GEN!F37)</f>
        <v>CBA</v>
      </c>
      <c r="G37" s="310" t="str">
        <f>IF(NOMENCLATURE_GEN!G37="","",NOMENCLATURE_GEN!G37)</f>
        <v>Convoyeur de reprise des refus 30-180mm sous snf</v>
      </c>
      <c r="H37" s="4">
        <f>IF(NOMENCLATURE_GEN!H37="","",NOMENCLATURE_GEN!H37)</f>
        <v>1000</v>
      </c>
      <c r="I37" s="4">
        <f>IF(NOMENCLATURE_GEN!I37="","",NOMENCLATURE_GEN!I37)</f>
        <v>7500</v>
      </c>
      <c r="J37" s="130">
        <f>IF(NOMENCLATURE_GEN!J37="","",NOMENCLATURE_GEN!J37)</f>
        <v>14</v>
      </c>
      <c r="K37" s="9" t="s">
        <v>503</v>
      </c>
      <c r="L37" s="10" t="s">
        <v>507</v>
      </c>
      <c r="M37" s="13" t="s">
        <v>534</v>
      </c>
      <c r="N37" s="10" t="s">
        <v>495</v>
      </c>
      <c r="O37" s="10"/>
      <c r="P37" s="14">
        <v>4</v>
      </c>
      <c r="Q37" s="16">
        <v>590</v>
      </c>
      <c r="R37" s="16">
        <v>65</v>
      </c>
      <c r="S37" s="16"/>
      <c r="T37" s="10" t="s">
        <v>600</v>
      </c>
      <c r="U37" s="10" t="s">
        <v>494</v>
      </c>
      <c r="V37" s="10" t="s">
        <v>594</v>
      </c>
      <c r="W37" s="16">
        <v>40</v>
      </c>
      <c r="X37" s="10" t="s">
        <v>595</v>
      </c>
      <c r="Y37" s="649">
        <v>45488</v>
      </c>
      <c r="Z37" s="11"/>
      <c r="AA37" s="7"/>
    </row>
    <row r="38" spans="2:27" s="3" customFormat="1" ht="39.950000000000003" customHeight="1">
      <c r="B38" s="129" t="str">
        <f>IF(NOMENCLATURE_GEN!B38="","",NOMENCLATURE_GEN!B38)</f>
        <v/>
      </c>
      <c r="C38" s="4" t="str">
        <f>IF(NOMENCLATURE_GEN!C38="","",NOMENCLATURE_GEN!C38)</f>
        <v/>
      </c>
      <c r="D38" s="4">
        <f>IF(NOMENCLATURE_GEN!D38="","",NOMENCLATURE_GEN!D38)</f>
        <v>126</v>
      </c>
      <c r="E38" s="4" t="str">
        <f ca="1">IF(NOMENCLATURE_GEN!E38="","",NOMENCLATURE_GEN!E38)</f>
        <v>A</v>
      </c>
      <c r="F38" s="4" t="str">
        <f>IF(NOMENCLATURE_GEN!F38="","",NOMENCLATURE_GEN!F38)</f>
        <v>CBA</v>
      </c>
      <c r="G38" s="310" t="str">
        <f>IF(NOMENCLATURE_GEN!G38="","",NOMENCLATURE_GEN!G38)</f>
        <v>Convoyeur de transfert des refus 30-180mm</v>
      </c>
      <c r="H38" s="4">
        <f>IF(NOMENCLATURE_GEN!H38="","",NOMENCLATURE_GEN!H38)</f>
        <v>1000</v>
      </c>
      <c r="I38" s="4">
        <f>IF(NOMENCLATURE_GEN!I38="","",NOMENCLATURE_GEN!I38)</f>
        <v>14250</v>
      </c>
      <c r="J38" s="130">
        <f>IF(NOMENCLATURE_GEN!J38="","",NOMENCLATURE_GEN!J38)</f>
        <v>10</v>
      </c>
      <c r="K38" s="9" t="s">
        <v>503</v>
      </c>
      <c r="L38" s="10" t="s">
        <v>507</v>
      </c>
      <c r="M38" s="13" t="s">
        <v>534</v>
      </c>
      <c r="N38" s="10" t="s">
        <v>495</v>
      </c>
      <c r="O38" s="10"/>
      <c r="P38" s="14">
        <v>4</v>
      </c>
      <c r="Q38" s="16">
        <v>590</v>
      </c>
      <c r="R38" s="16">
        <v>65</v>
      </c>
      <c r="S38" s="16"/>
      <c r="T38" s="10" t="s">
        <v>601</v>
      </c>
      <c r="U38" s="10" t="s">
        <v>494</v>
      </c>
      <c r="V38" s="10" t="s">
        <v>594</v>
      </c>
      <c r="W38" s="16">
        <v>40</v>
      </c>
      <c r="X38" s="10" t="s">
        <v>595</v>
      </c>
      <c r="Y38" s="649">
        <v>45467</v>
      </c>
      <c r="Z38" s="11"/>
      <c r="AA38" s="7"/>
    </row>
    <row r="39" spans="2:27" s="3" customFormat="1" ht="39.950000000000003" customHeight="1">
      <c r="B39" s="129" t="str">
        <f>IF(NOMENCLATURE_GEN!B39="","",NOMENCLATURE_GEN!B39)</f>
        <v/>
      </c>
      <c r="C39" s="4" t="str">
        <f>IF(NOMENCLATURE_GEN!C39="","",NOMENCLATURE_GEN!C39)</f>
        <v/>
      </c>
      <c r="D39" s="4">
        <f>IF(NOMENCLATURE_GEN!D39="","",NOMENCLATURE_GEN!D39)</f>
        <v>127</v>
      </c>
      <c r="E39" s="4" t="str">
        <f ca="1">IF(NOMENCLATURE_GEN!E39="","",NOMENCLATURE_GEN!E39)</f>
        <v>A</v>
      </c>
      <c r="F39" s="4" t="str">
        <f>IF(NOMENCLATURE_GEN!F39="","",NOMENCLATURE_GEN!F39)</f>
        <v>TBE</v>
      </c>
      <c r="G39" s="310" t="str">
        <f>IF(NOMENCLATURE_GEN!G39="","",NOMENCLATURE_GEN!G39)</f>
        <v>Convoyeur de reprise des aciers 30-180mm</v>
      </c>
      <c r="H39" s="4">
        <f>IF(NOMENCLATURE_GEN!H39="","",NOMENCLATURE_GEN!H39)</f>
        <v>600</v>
      </c>
      <c r="I39" s="4">
        <f>IF(NOMENCLATURE_GEN!I39="","",NOMENCLATURE_GEN!I39)</f>
        <v>3750</v>
      </c>
      <c r="J39" s="130">
        <f>IF(NOMENCLATURE_GEN!J39="","",NOMENCLATURE_GEN!J39)</f>
        <v>10</v>
      </c>
      <c r="K39" s="9" t="s">
        <v>503</v>
      </c>
      <c r="L39" s="10" t="s">
        <v>620</v>
      </c>
      <c r="M39" s="13" t="s">
        <v>534</v>
      </c>
      <c r="N39" s="10" t="s">
        <v>495</v>
      </c>
      <c r="O39" s="10"/>
      <c r="P39" s="14" t="s">
        <v>617</v>
      </c>
      <c r="Q39" s="16">
        <v>257</v>
      </c>
      <c r="R39" s="16">
        <v>78</v>
      </c>
      <c r="S39" s="16"/>
      <c r="T39" s="10" t="s">
        <v>618</v>
      </c>
      <c r="U39" s="10" t="s">
        <v>495</v>
      </c>
      <c r="V39" s="10" t="s">
        <v>508</v>
      </c>
      <c r="W39" s="16">
        <v>40</v>
      </c>
      <c r="X39" s="10" t="s">
        <v>619</v>
      </c>
      <c r="Y39" s="649">
        <v>45467</v>
      </c>
      <c r="Z39" s="17"/>
      <c r="AA39" s="7"/>
    </row>
    <row r="40" spans="2:27" s="3" customFormat="1" ht="39.950000000000003" hidden="1" customHeight="1">
      <c r="B40" s="129" t="str">
        <f>IF(NOMENCLATURE_GEN!B40="","",NOMENCLATURE_GEN!B40)</f>
        <v/>
      </c>
      <c r="C40" s="4" t="str">
        <f>IF(NOMENCLATURE_GEN!C40="","",NOMENCLATURE_GEN!C40)</f>
        <v/>
      </c>
      <c r="D40" s="4">
        <f>IF(NOMENCLATURE_GEN!D40="","",NOMENCLATURE_GEN!D40)</f>
        <v>128</v>
      </c>
      <c r="E40" s="4" t="str">
        <f ca="1">IF(NOMENCLATURE_GEN!E40="","",NOMENCLATURE_GEN!E40)</f>
        <v>A</v>
      </c>
      <c r="F40" s="4" t="str">
        <f>IF(NOMENCLATURE_GEN!F40="","",NOMENCLATURE_GEN!F40)</f>
        <v>GLT</v>
      </c>
      <c r="G40" s="310" t="str">
        <f>IF(NOMENCLATURE_GEN!G40="","",NOMENCLATURE_GEN!G40)</f>
        <v>Goulotte by-pass (ligne de broyage des fe ou benne de stokage)</v>
      </c>
      <c r="H40" s="4" t="str">
        <f>IF(NOMENCLATURE_GEN!H40="","",NOMENCLATURE_GEN!H40)</f>
        <v/>
      </c>
      <c r="I40" s="4" t="str">
        <f>IF(NOMENCLATURE_GEN!I40="","",NOMENCLATURE_GEN!I40)</f>
        <v/>
      </c>
      <c r="J40" s="130" t="str">
        <f>IF(NOMENCLATURE_GEN!J40="","",NOMENCLATURE_GEN!J40)</f>
        <v/>
      </c>
      <c r="K40" s="9" t="s">
        <v>494</v>
      </c>
      <c r="L40" s="10" t="s">
        <v>513</v>
      </c>
      <c r="M40" s="16"/>
      <c r="N40" s="16"/>
      <c r="O40" s="16"/>
      <c r="P40" s="14"/>
      <c r="Q40" s="16"/>
      <c r="R40" s="16"/>
      <c r="S40" s="16"/>
      <c r="T40" s="16"/>
      <c r="U40" s="16"/>
      <c r="V40" s="16"/>
      <c r="W40" s="16"/>
      <c r="X40" s="16"/>
      <c r="Y40" s="647"/>
      <c r="Z40" s="17"/>
      <c r="AA40" s="7"/>
    </row>
    <row r="41" spans="2:27" s="3" customFormat="1" ht="39.950000000000003" hidden="1" customHeight="1">
      <c r="B41" s="129" t="str">
        <f>IF(NOMENCLATURE_GEN!B41="","",NOMENCLATURE_GEN!B41)</f>
        <v>SUP</v>
      </c>
      <c r="C41" s="4" t="str">
        <f>IF(NOMENCLATURE_GEN!C41="","",NOMENCLATURE_GEN!C41)</f>
        <v/>
      </c>
      <c r="D41" s="4">
        <f>IF(NOMENCLATURE_GEN!D41="","",NOMENCLATURE_GEN!D41)</f>
        <v>129</v>
      </c>
      <c r="E41" s="4" t="str">
        <f ca="1">IF(NOMENCLATURE_GEN!E41="","",NOMENCLATURE_GEN!E41)</f>
        <v>A</v>
      </c>
      <c r="F41" s="4" t="str">
        <f>IF(NOMENCLATURE_GEN!F41="","",NOMENCLATURE_GEN!F41)</f>
        <v>TRE</v>
      </c>
      <c r="G41" s="310" t="str">
        <f>IF(NOMENCLATURE_GEN!G41="","",NOMENCLATURE_GEN!G41)</f>
        <v>Trémie des passants sous trommel secondaire</v>
      </c>
      <c r="H41" s="4" t="str">
        <f>IF(NOMENCLATURE_GEN!H41="","",NOMENCLATURE_GEN!H41)</f>
        <v/>
      </c>
      <c r="I41" s="4" t="str">
        <f>IF(NOMENCLATURE_GEN!I41="","",NOMENCLATURE_GEN!I41)</f>
        <v/>
      </c>
      <c r="J41" s="130" t="str">
        <f>IF(NOMENCLATURE_GEN!J41="","",NOMENCLATURE_GEN!J41)</f>
        <v/>
      </c>
      <c r="K41" s="9" t="s">
        <v>494</v>
      </c>
      <c r="L41" s="10" t="s">
        <v>513</v>
      </c>
      <c r="M41" s="10"/>
      <c r="N41" s="10"/>
      <c r="O41" s="10"/>
      <c r="P41" s="14"/>
      <c r="Q41" s="16"/>
      <c r="R41" s="16"/>
      <c r="S41" s="16"/>
      <c r="T41" s="10"/>
      <c r="U41" s="10"/>
      <c r="V41" s="10"/>
      <c r="W41" s="16"/>
      <c r="X41" s="16"/>
      <c r="Y41" s="647"/>
      <c r="Z41" s="17"/>
      <c r="AA41" s="7"/>
    </row>
    <row r="42" spans="2:27" s="3" customFormat="1" ht="39.950000000000003" customHeight="1">
      <c r="B42" s="129" t="str">
        <f>IF(NOMENCLATURE_GEN!B42="","",NOMENCLATURE_GEN!B42)</f>
        <v/>
      </c>
      <c r="C42" s="4" t="str">
        <f>IF(NOMENCLATURE_GEN!C42="","",NOMENCLATURE_GEN!C42)</f>
        <v/>
      </c>
      <c r="D42" s="4">
        <f>IF(NOMENCLATURE_GEN!D42="","",NOMENCLATURE_GEN!D42)</f>
        <v>130</v>
      </c>
      <c r="E42" s="4" t="str">
        <f ca="1">IF(NOMENCLATURE_GEN!E42="","",NOMENCLATURE_GEN!E42)</f>
        <v>A</v>
      </c>
      <c r="F42" s="4" t="str">
        <f>IF(NOMENCLATURE_GEN!F42="","",NOMENCLATURE_GEN!F42)</f>
        <v>CBA</v>
      </c>
      <c r="G42" s="310" t="str">
        <f>IF(NOMENCLATURE_GEN!G42="","",NOMENCLATURE_GEN!G42)</f>
        <v>Convoyeur de reprise de la fraction 0-30mm</v>
      </c>
      <c r="H42" s="4">
        <f>IF(NOMENCLATURE_GEN!H42="","",NOMENCLATURE_GEN!H42)</f>
        <v>1400</v>
      </c>
      <c r="I42" s="4">
        <f>IF(NOMENCLATURE_GEN!I42="","",NOMENCLATURE_GEN!I42)</f>
        <v>7750</v>
      </c>
      <c r="J42" s="130">
        <f>IF(NOMENCLATURE_GEN!J42="","",NOMENCLATURE_GEN!J42)</f>
        <v>0</v>
      </c>
      <c r="K42" s="9" t="s">
        <v>503</v>
      </c>
      <c r="L42" s="10" t="s">
        <v>507</v>
      </c>
      <c r="M42" s="13" t="s">
        <v>534</v>
      </c>
      <c r="N42" s="10" t="s">
        <v>495</v>
      </c>
      <c r="O42" s="10"/>
      <c r="P42" s="14">
        <v>4</v>
      </c>
      <c r="Q42" s="16">
        <v>590</v>
      </c>
      <c r="R42" s="16">
        <v>65</v>
      </c>
      <c r="S42" s="16"/>
      <c r="T42" s="10" t="s">
        <v>599</v>
      </c>
      <c r="U42" s="10" t="s">
        <v>494</v>
      </c>
      <c r="V42" s="10" t="s">
        <v>594</v>
      </c>
      <c r="W42" s="16">
        <v>40</v>
      </c>
      <c r="X42" s="10" t="s">
        <v>595</v>
      </c>
      <c r="Y42" s="649">
        <v>45467</v>
      </c>
      <c r="Z42" s="11"/>
      <c r="AA42" s="7"/>
    </row>
    <row r="43" spans="2:27" s="3" customFormat="1" ht="39.950000000000003" customHeight="1">
      <c r="B43" s="129" t="str">
        <f>IF(NOMENCLATURE_GEN!B43="","",NOMENCLATURE_GEN!B43)</f>
        <v/>
      </c>
      <c r="C43" s="4" t="str">
        <f>IF(NOMENCLATURE_GEN!C43="","",NOMENCLATURE_GEN!C43)</f>
        <v/>
      </c>
      <c r="D43" s="4">
        <f>IF(NOMENCLATURE_GEN!D43="","",NOMENCLATURE_GEN!D43)</f>
        <v>131</v>
      </c>
      <c r="E43" s="4" t="str">
        <f ca="1">IF(NOMENCLATURE_GEN!E43="","",NOMENCLATURE_GEN!E43)</f>
        <v>A</v>
      </c>
      <c r="F43" s="4" t="str">
        <f>IF(NOMENCLATURE_GEN!F43="","",NOMENCLATURE_GEN!F43)</f>
        <v>CBA</v>
      </c>
      <c r="G43" s="310" t="str">
        <f>IF(NOMENCLATURE_GEN!G43="","",NOMENCLATURE_GEN!G43)</f>
        <v>Convoyeur de reprise de la fraction 0-30mm, tête inox + zone inox</v>
      </c>
      <c r="H43" s="4">
        <f>IF(NOMENCLATURE_GEN!H43="","",NOMENCLATURE_GEN!H43)</f>
        <v>1200</v>
      </c>
      <c r="I43" s="4">
        <f>IF(NOMENCLATURE_GEN!I43="","",NOMENCLATURE_GEN!I43)</f>
        <v>8250</v>
      </c>
      <c r="J43" s="130">
        <f>IF(NOMENCLATURE_GEN!J43="","",NOMENCLATURE_GEN!J43)</f>
        <v>19</v>
      </c>
      <c r="K43" s="9" t="s">
        <v>503</v>
      </c>
      <c r="L43" s="10" t="s">
        <v>507</v>
      </c>
      <c r="M43" s="13" t="s">
        <v>534</v>
      </c>
      <c r="N43" s="10" t="s">
        <v>495</v>
      </c>
      <c r="O43" s="10"/>
      <c r="P43" s="14">
        <v>4</v>
      </c>
      <c r="Q43" s="16">
        <v>590</v>
      </c>
      <c r="R43" s="16">
        <v>65</v>
      </c>
      <c r="S43" s="16"/>
      <c r="T43" s="10" t="s">
        <v>602</v>
      </c>
      <c r="U43" s="10" t="s">
        <v>494</v>
      </c>
      <c r="V43" s="10" t="s">
        <v>594</v>
      </c>
      <c r="W43" s="16">
        <v>40</v>
      </c>
      <c r="X43" s="10" t="s">
        <v>595</v>
      </c>
      <c r="Y43" s="649">
        <v>45467</v>
      </c>
      <c r="Z43" s="11"/>
      <c r="AA43" s="7"/>
    </row>
    <row r="44" spans="2:27" s="3" customFormat="1" ht="39.950000000000003" hidden="1" customHeight="1">
      <c r="B44" s="129" t="str">
        <f>IF(NOMENCLATURE_GEN!B44="","",NOMENCLATURE_GEN!B44)</f>
        <v/>
      </c>
      <c r="C44" s="4" t="str">
        <f>IF(NOMENCLATURE_GEN!C44="","",NOMENCLATURE_GEN!C44)</f>
        <v/>
      </c>
      <c r="D44" s="4">
        <f>IF(NOMENCLATURE_GEN!D44="","",NOMENCLATURE_GEN!D44)</f>
        <v>132</v>
      </c>
      <c r="E44" s="4" t="str">
        <f ca="1">IF(NOMENCLATURE_GEN!E44="","",NOMENCLATURE_GEN!E44)</f>
        <v>A</v>
      </c>
      <c r="F44" s="4" t="str">
        <f>IF(NOMENCLATURE_GEN!F44="","",NOMENCLATURE_GEN!F44)</f>
        <v>OVB</v>
      </c>
      <c r="G44" s="310" t="str">
        <f>IF(NOMENCLATURE_GEN!G44="","",NOMENCLATURE_GEN!G44)</f>
        <v>Séparateur magnétique à aimant permament</v>
      </c>
      <c r="H44" s="4">
        <f>IF(NOMENCLATURE_GEN!H44="","",NOMENCLATURE_GEN!H44)</f>
        <v>1200</v>
      </c>
      <c r="I44" s="4">
        <f>IF(NOMENCLATURE_GEN!I44="","",NOMENCLATURE_GEN!I44)</f>
        <v>1200</v>
      </c>
      <c r="J44" s="130" t="str">
        <f>IF(NOMENCLATURE_GEN!J44="","",NOMENCLATURE_GEN!J44)</f>
        <v/>
      </c>
      <c r="K44" s="9" t="s">
        <v>494</v>
      </c>
      <c r="L44" s="10" t="s">
        <v>513</v>
      </c>
      <c r="M44" s="10"/>
      <c r="N44" s="10"/>
      <c r="O44" s="10"/>
      <c r="P44" s="14"/>
      <c r="Q44" s="16"/>
      <c r="R44" s="16"/>
      <c r="S44" s="16"/>
      <c r="T44" s="10"/>
      <c r="U44" s="10"/>
      <c r="V44" s="10"/>
      <c r="W44" s="16"/>
      <c r="X44" s="16"/>
      <c r="Y44" s="647"/>
      <c r="Z44" s="17"/>
      <c r="AA44" s="7"/>
    </row>
    <row r="45" spans="2:27" s="3" customFormat="1" ht="39.950000000000003" hidden="1" customHeight="1">
      <c r="B45" s="129" t="str">
        <f>IF(NOMENCLATURE_GEN!B45="","",NOMENCLATURE_GEN!B45)</f>
        <v/>
      </c>
      <c r="C45" s="4" t="str">
        <f>IF(NOMENCLATURE_GEN!C45="","",NOMENCLATURE_GEN!C45)</f>
        <v/>
      </c>
      <c r="D45" s="4">
        <f>IF(NOMENCLATURE_GEN!D45="","",NOMENCLATURE_GEN!D45)</f>
        <v>133</v>
      </c>
      <c r="E45" s="4" t="str">
        <f ca="1">IF(NOMENCLATURE_GEN!E45="","",NOMENCLATURE_GEN!E45)</f>
        <v>A</v>
      </c>
      <c r="F45" s="4" t="str">
        <f>IF(NOMENCLATURE_GEN!F45="","",NOMENCLATURE_GEN!F45)</f>
        <v>PMP</v>
      </c>
      <c r="G45" s="310" t="str">
        <f>IF(NOMENCLATURE_GEN!G45="","",NOMENCLATURE_GEN!G45)</f>
        <v>Poulie magnétique</v>
      </c>
      <c r="H45" s="4">
        <f>IF(NOMENCLATURE_GEN!H45="","",NOMENCLATURE_GEN!H45)</f>
        <v>1200</v>
      </c>
      <c r="I45" s="4" t="str">
        <f>IF(NOMENCLATURE_GEN!I45="","",NOMENCLATURE_GEN!I45)</f>
        <v/>
      </c>
      <c r="J45" s="130" t="str">
        <f>IF(NOMENCLATURE_GEN!J45="","",NOMENCLATURE_GEN!J45)</f>
        <v/>
      </c>
      <c r="K45" s="9" t="s">
        <v>494</v>
      </c>
      <c r="L45" s="10" t="s">
        <v>513</v>
      </c>
      <c r="M45" s="16"/>
      <c r="N45" s="16"/>
      <c r="O45" s="16"/>
      <c r="P45" s="14"/>
      <c r="Q45" s="16"/>
      <c r="R45" s="16"/>
      <c r="S45" s="16"/>
      <c r="T45" s="16"/>
      <c r="U45" s="16"/>
      <c r="V45" s="16"/>
      <c r="W45" s="16"/>
      <c r="X45" s="16"/>
      <c r="Y45" s="647"/>
      <c r="Z45" s="17"/>
      <c r="AA45" s="7"/>
    </row>
    <row r="46" spans="2:27" s="3" customFormat="1" ht="39.950000000000003" hidden="1" customHeight="1">
      <c r="B46" s="129" t="str">
        <f>IF(NOMENCLATURE_GEN!B46="","",NOMENCLATURE_GEN!B46)</f>
        <v/>
      </c>
      <c r="C46" s="4" t="str">
        <f>IF(NOMENCLATURE_GEN!C46="","",NOMENCLATURE_GEN!C46)</f>
        <v/>
      </c>
      <c r="D46" s="4">
        <f>IF(NOMENCLATURE_GEN!D46="","",NOMENCLATURE_GEN!D46)</f>
        <v>134</v>
      </c>
      <c r="E46" s="4" t="str">
        <f ca="1">IF(NOMENCLATURE_GEN!E46="","",NOMENCLATURE_GEN!E46)</f>
        <v>A</v>
      </c>
      <c r="F46" s="4" t="str">
        <f>IF(NOMENCLATURE_GEN!F46="","",NOMENCLATURE_GEN!F46)</f>
        <v>SNF</v>
      </c>
      <c r="G46" s="310" t="str">
        <f>IF(NOMENCLATURE_GEN!G46="","",NOMENCLATURE_GEN!G46)</f>
        <v>Séparateur de non ferreux type SMAR - ROUE POLAIRE</v>
      </c>
      <c r="H46" s="4">
        <f>IF(NOMENCLATURE_GEN!H46="","",NOMENCLATURE_GEN!H46)</f>
        <v>1200</v>
      </c>
      <c r="I46" s="4">
        <f>IF(NOMENCLATURE_GEN!I46="","",NOMENCLATURE_GEN!I46)</f>
        <v>2500</v>
      </c>
      <c r="J46" s="130" t="str">
        <f>IF(NOMENCLATURE_GEN!J46="","",NOMENCLATURE_GEN!J46)</f>
        <v/>
      </c>
      <c r="K46" s="9" t="s">
        <v>494</v>
      </c>
      <c r="L46" s="10" t="s">
        <v>513</v>
      </c>
      <c r="M46" s="16"/>
      <c r="N46" s="16"/>
      <c r="O46" s="16"/>
      <c r="P46" s="14"/>
      <c r="Q46" s="16"/>
      <c r="R46" s="16"/>
      <c r="S46" s="16"/>
      <c r="T46" s="16"/>
      <c r="U46" s="16"/>
      <c r="V46" s="16"/>
      <c r="W46" s="16"/>
      <c r="X46" s="16"/>
      <c r="Y46" s="647"/>
      <c r="Z46" s="17"/>
      <c r="AA46" s="7"/>
    </row>
    <row r="47" spans="2:27" s="3" customFormat="1" ht="39.950000000000003" hidden="1" customHeight="1">
      <c r="B47" s="129" t="str">
        <f>IF(NOMENCLATURE_GEN!B47="","",NOMENCLATURE_GEN!B47)</f>
        <v/>
      </c>
      <c r="C47" s="4" t="str">
        <f>IF(NOMENCLATURE_GEN!C47="","",NOMENCLATURE_GEN!C47)</f>
        <v/>
      </c>
      <c r="D47" s="4">
        <f>IF(NOMENCLATURE_GEN!D47="","",NOMENCLATURE_GEN!D47)</f>
        <v>134</v>
      </c>
      <c r="E47" s="4" t="str">
        <f ca="1">IF(NOMENCLATURE_GEN!E47="","",NOMENCLATURE_GEN!E47)</f>
        <v>B</v>
      </c>
      <c r="F47" s="4" t="str">
        <f>IF(NOMENCLATURE_GEN!F47="","",NOMENCLATURE_GEN!F47)</f>
        <v>SNF</v>
      </c>
      <c r="G47" s="310" t="str">
        <f>IF(NOMENCLATURE_GEN!G47="","",NOMENCLATURE_GEN!G47)</f>
        <v>Séparateur de non ferreux type SMAR - CONVOYEUR</v>
      </c>
      <c r="H47" s="4" t="str">
        <f>IF(NOMENCLATURE_GEN!H47="","",NOMENCLATURE_GEN!H47)</f>
        <v/>
      </c>
      <c r="I47" s="4" t="str">
        <f>IF(NOMENCLATURE_GEN!I47="","",NOMENCLATURE_GEN!I47)</f>
        <v/>
      </c>
      <c r="J47" s="130" t="str">
        <f>IF(NOMENCLATURE_GEN!J47="","",NOMENCLATURE_GEN!J47)</f>
        <v/>
      </c>
      <c r="K47" s="9" t="s">
        <v>494</v>
      </c>
      <c r="L47" s="10"/>
      <c r="M47" s="16"/>
      <c r="N47" s="16"/>
      <c r="O47" s="16"/>
      <c r="P47" s="14"/>
      <c r="Q47" s="16"/>
      <c r="R47" s="16"/>
      <c r="S47" s="16"/>
      <c r="T47" s="16"/>
      <c r="U47" s="16"/>
      <c r="V47" s="16"/>
      <c r="W47" s="16"/>
      <c r="X47" s="16"/>
      <c r="Y47" s="647"/>
      <c r="Z47" s="17"/>
      <c r="AA47" s="7"/>
    </row>
    <row r="48" spans="2:27" s="3" customFormat="1" ht="39.950000000000003" customHeight="1">
      <c r="B48" s="129" t="str">
        <f>IF(NOMENCLATURE_GEN!B48="","",NOMENCLATURE_GEN!B48)</f>
        <v/>
      </c>
      <c r="C48" s="4" t="str">
        <f>IF(NOMENCLATURE_GEN!C48="","",NOMENCLATURE_GEN!C48)</f>
        <v/>
      </c>
      <c r="D48" s="4">
        <f>IF(NOMENCLATURE_GEN!D48="","",NOMENCLATURE_GEN!D48)</f>
        <v>135</v>
      </c>
      <c r="E48" s="4" t="str">
        <f ca="1">IF(NOMENCLATURE_GEN!E48="","",NOMENCLATURE_GEN!E48)</f>
        <v>A</v>
      </c>
      <c r="F48" s="4" t="str">
        <f>IF(NOMENCLATURE_GEN!F48="","",NOMENCLATURE_GEN!F48)</f>
        <v>TBE</v>
      </c>
      <c r="G48" s="310" t="str">
        <f>IF(NOMENCLATURE_GEN!G48="","",NOMENCLATURE_GEN!G48)</f>
        <v>Convoyeur de reprise des non ferreux</v>
      </c>
      <c r="H48" s="4">
        <f>IF(NOMENCLATURE_GEN!H48="","",NOMENCLATURE_GEN!H48)</f>
        <v>600</v>
      </c>
      <c r="I48" s="4">
        <f>IF(NOMENCLATURE_GEN!I48="","",NOMENCLATURE_GEN!I48)</f>
        <v>3750</v>
      </c>
      <c r="J48" s="130">
        <f>IF(NOMENCLATURE_GEN!J48="","",NOMENCLATURE_GEN!J48)</f>
        <v>0</v>
      </c>
      <c r="K48" s="9" t="s">
        <v>503</v>
      </c>
      <c r="L48" s="10" t="s">
        <v>620</v>
      </c>
      <c r="M48" s="13" t="s">
        <v>534</v>
      </c>
      <c r="N48" s="10" t="s">
        <v>495</v>
      </c>
      <c r="O48" s="10"/>
      <c r="P48" s="14" t="s">
        <v>617</v>
      </c>
      <c r="Q48" s="16">
        <v>257</v>
      </c>
      <c r="R48" s="16">
        <v>78</v>
      </c>
      <c r="S48" s="16"/>
      <c r="T48" s="10" t="s">
        <v>618</v>
      </c>
      <c r="U48" s="10" t="s">
        <v>495</v>
      </c>
      <c r="V48" s="10" t="s">
        <v>508</v>
      </c>
      <c r="W48" s="16">
        <v>40</v>
      </c>
      <c r="X48" s="10" t="s">
        <v>619</v>
      </c>
      <c r="Y48" s="649">
        <v>45488</v>
      </c>
      <c r="Z48" s="17"/>
      <c r="AA48" s="7"/>
    </row>
    <row r="49" spans="2:27" s="3" customFormat="1" ht="39.950000000000003" hidden="1" customHeight="1">
      <c r="B49" s="129" t="str">
        <f>IF(NOMENCLATURE_GEN!B49="","",NOMENCLATURE_GEN!B49)</f>
        <v>SUP</v>
      </c>
      <c r="C49" s="4" t="str">
        <f>IF(NOMENCLATURE_GEN!C49="","",NOMENCLATURE_GEN!C49)</f>
        <v/>
      </c>
      <c r="D49" s="4">
        <f>IF(NOMENCLATURE_GEN!D49="","",NOMENCLATURE_GEN!D49)</f>
        <v>136</v>
      </c>
      <c r="E49" s="4" t="str">
        <f ca="1">IF(NOMENCLATURE_GEN!E49="","",NOMENCLATURE_GEN!E49)</f>
        <v>A</v>
      </c>
      <c r="F49" s="4" t="str">
        <f>IF(NOMENCLATURE_GEN!F49="","",NOMENCLATURE_GEN!F49)</f>
        <v>CON</v>
      </c>
      <c r="G49" s="310" t="str">
        <f>IF(NOMENCLATURE_GEN!G49="","",NOMENCLATURE_GEN!G49)</f>
        <v>Cone de répartition du flux 0-30mm sous SNF</v>
      </c>
      <c r="H49" s="4" t="str">
        <f>IF(NOMENCLATURE_GEN!H49="","",NOMENCLATURE_GEN!H49)</f>
        <v/>
      </c>
      <c r="I49" s="4" t="str">
        <f>IF(NOMENCLATURE_GEN!I49="","",NOMENCLATURE_GEN!I49)</f>
        <v/>
      </c>
      <c r="J49" s="130" t="str">
        <f>IF(NOMENCLATURE_GEN!J49="","",NOMENCLATURE_GEN!J49)</f>
        <v/>
      </c>
      <c r="K49" s="9" t="s">
        <v>494</v>
      </c>
      <c r="L49" s="10" t="s">
        <v>513</v>
      </c>
      <c r="M49" s="10"/>
      <c r="N49" s="10"/>
      <c r="O49" s="10"/>
      <c r="P49" s="14"/>
      <c r="Q49" s="16"/>
      <c r="R49" s="16"/>
      <c r="S49" s="16"/>
      <c r="T49" s="10"/>
      <c r="U49" s="10"/>
      <c r="V49" s="10"/>
      <c r="W49" s="16"/>
      <c r="X49" s="16"/>
      <c r="Y49" s="647"/>
      <c r="Z49" s="17"/>
      <c r="AA49" s="7"/>
    </row>
    <row r="50" spans="2:27" s="3" customFormat="1" ht="39.950000000000003" customHeight="1">
      <c r="B50" s="129" t="str">
        <f>IF(NOMENCLATURE_GEN!B50="","",NOMENCLATURE_GEN!B50)</f>
        <v/>
      </c>
      <c r="C50" s="4" t="str">
        <f>IF(NOMENCLATURE_GEN!C50="","",NOMENCLATURE_GEN!C50)</f>
        <v/>
      </c>
      <c r="D50" s="4">
        <f>IF(NOMENCLATURE_GEN!D50="","",NOMENCLATURE_GEN!D50)</f>
        <v>137</v>
      </c>
      <c r="E50" s="4" t="str">
        <f ca="1">IF(NOMENCLATURE_GEN!E50="","",NOMENCLATURE_GEN!E50)</f>
        <v>A</v>
      </c>
      <c r="F50" s="4" t="str">
        <f>IF(NOMENCLATURE_GEN!F50="","",NOMENCLATURE_GEN!F50)</f>
        <v>CBA</v>
      </c>
      <c r="G50" s="310" t="str">
        <f>IF(NOMENCLATURE_GEN!G50="","",NOMENCLATURE_GEN!G50)</f>
        <v>Convoyeur de transfert de la fraction 0-30mm vers tapis balistique 1</v>
      </c>
      <c r="H50" s="4">
        <f>IF(NOMENCLATURE_GEN!H50="","",NOMENCLATURE_GEN!H50)</f>
        <v>1600</v>
      </c>
      <c r="I50" s="4">
        <f>IF(NOMENCLATURE_GEN!I50="","",NOMENCLATURE_GEN!I50)</f>
        <v>21250</v>
      </c>
      <c r="J50" s="130">
        <f>IF(NOMENCLATURE_GEN!J50="","",NOMENCLATURE_GEN!J50)</f>
        <v>20</v>
      </c>
      <c r="K50" s="9" t="s">
        <v>503</v>
      </c>
      <c r="L50" s="10" t="s">
        <v>510</v>
      </c>
      <c r="M50" s="13" t="s">
        <v>534</v>
      </c>
      <c r="N50" s="10" t="s">
        <v>495</v>
      </c>
      <c r="O50" s="10"/>
      <c r="P50" s="14">
        <v>7.3</v>
      </c>
      <c r="Q50" s="16">
        <v>1550</v>
      </c>
      <c r="R50" s="16">
        <v>33</v>
      </c>
      <c r="S50" s="16"/>
      <c r="T50" s="10" t="s">
        <v>610</v>
      </c>
      <c r="U50" s="10" t="s">
        <v>494</v>
      </c>
      <c r="V50" s="10" t="s">
        <v>594</v>
      </c>
      <c r="W50" s="16">
        <v>50</v>
      </c>
      <c r="X50" s="10" t="s">
        <v>606</v>
      </c>
      <c r="Y50" s="649">
        <v>45488</v>
      </c>
      <c r="Z50" s="17"/>
      <c r="AA50" s="7"/>
    </row>
    <row r="51" spans="2:27" s="3" customFormat="1" ht="39.950000000000003" customHeight="1">
      <c r="B51" s="129" t="str">
        <f>IF(NOMENCLATURE_GEN!B51="","",NOMENCLATURE_GEN!B51)</f>
        <v/>
      </c>
      <c r="C51" s="4" t="str">
        <f>IF(NOMENCLATURE_GEN!C51="","",NOMENCLATURE_GEN!C51)</f>
        <v/>
      </c>
      <c r="D51" s="4">
        <f>IF(NOMENCLATURE_GEN!D51="","",NOMENCLATURE_GEN!D51)</f>
        <v>138</v>
      </c>
      <c r="E51" s="4" t="str">
        <f ca="1">IF(NOMENCLATURE_GEN!E51="","",NOMENCLATURE_GEN!E51)</f>
        <v>A</v>
      </c>
      <c r="F51" s="4" t="str">
        <f>IF(NOMENCLATURE_GEN!F51="","",NOMENCLATURE_GEN!F51)</f>
        <v>BAL</v>
      </c>
      <c r="G51" s="310" t="str">
        <f>IF(NOMENCLATURE_GEN!G51="","",NOMENCLATURE_GEN!G51)</f>
        <v>Tapis balistique simple</v>
      </c>
      <c r="H51" s="4">
        <f>IF(NOMENCLATURE_GEN!H51="","",NOMENCLATURE_GEN!H51)</f>
        <v>1800</v>
      </c>
      <c r="I51" s="4">
        <f>IF(NOMENCLATURE_GEN!I51="","",NOMENCLATURE_GEN!I51)</f>
        <v>2500</v>
      </c>
      <c r="J51" s="130">
        <f>IF(NOMENCLATURE_GEN!J51="","",NOMENCLATURE_GEN!J51)</f>
        <v>0</v>
      </c>
      <c r="K51" s="9" t="s">
        <v>503</v>
      </c>
      <c r="L51" s="10" t="s">
        <v>510</v>
      </c>
      <c r="M51" s="13" t="s">
        <v>534</v>
      </c>
      <c r="N51" s="10" t="s">
        <v>495</v>
      </c>
      <c r="O51" s="10"/>
      <c r="P51" s="14">
        <v>7.3</v>
      </c>
      <c r="Q51" s="16">
        <v>1550</v>
      </c>
      <c r="R51" s="16">
        <v>65</v>
      </c>
      <c r="S51" s="16"/>
      <c r="T51" s="10" t="s">
        <v>593</v>
      </c>
      <c r="U51" s="10" t="s">
        <v>495</v>
      </c>
      <c r="V51" s="10" t="s">
        <v>594</v>
      </c>
      <c r="W51" s="16">
        <v>50</v>
      </c>
      <c r="X51" s="10" t="s">
        <v>592</v>
      </c>
      <c r="Y51" s="649">
        <v>45488</v>
      </c>
      <c r="Z51" s="17"/>
      <c r="AA51" s="7"/>
    </row>
    <row r="52" spans="2:27" s="3" customFormat="1" ht="39.950000000000003" customHeight="1">
      <c r="B52" s="129" t="str">
        <f>IF(NOMENCLATURE_GEN!B52="","",NOMENCLATURE_GEN!B52)</f>
        <v/>
      </c>
      <c r="C52" s="4" t="str">
        <f>IF(NOMENCLATURE_GEN!C52="","",NOMENCLATURE_GEN!C52)</f>
        <v/>
      </c>
      <c r="D52" s="4">
        <f>IF(NOMENCLATURE_GEN!D52="","",NOMENCLATURE_GEN!D52)</f>
        <v>139</v>
      </c>
      <c r="E52" s="4" t="str">
        <f ca="1">IF(NOMENCLATURE_GEN!E52="","",NOMENCLATURE_GEN!E52)</f>
        <v>A</v>
      </c>
      <c r="F52" s="4" t="str">
        <f>IF(NOMENCLATURE_GEN!F52="","",NOMENCLATURE_GEN!F52)</f>
        <v>CBA</v>
      </c>
      <c r="G52" s="310" t="str">
        <f>IF(NOMENCLATURE_GEN!G52="","",NOMENCLATURE_GEN!G52)</f>
        <v>Convoyeur de reprise des légers et transfert vers crible trampoline</v>
      </c>
      <c r="H52" s="4">
        <f>IF(NOMENCLATURE_GEN!H52="","",NOMENCLATURE_GEN!H52)</f>
        <v>1600</v>
      </c>
      <c r="I52" s="4">
        <f>IF(NOMENCLATURE_GEN!I52="","",NOMENCLATURE_GEN!I52)</f>
        <v>11500</v>
      </c>
      <c r="J52" s="130">
        <f>IF(NOMENCLATURE_GEN!J52="","",NOMENCLATURE_GEN!J52)</f>
        <v>23</v>
      </c>
      <c r="K52" s="9" t="s">
        <v>503</v>
      </c>
      <c r="L52" s="10" t="s">
        <v>510</v>
      </c>
      <c r="M52" s="13" t="s">
        <v>534</v>
      </c>
      <c r="N52" s="10" t="s">
        <v>495</v>
      </c>
      <c r="O52" s="10"/>
      <c r="P52" s="14">
        <v>7.3</v>
      </c>
      <c r="Q52" s="16">
        <v>1550</v>
      </c>
      <c r="R52" s="16">
        <v>38</v>
      </c>
      <c r="S52" s="16"/>
      <c r="T52" s="10" t="s">
        <v>611</v>
      </c>
      <c r="U52" s="10" t="s">
        <v>494</v>
      </c>
      <c r="V52" s="10" t="s">
        <v>594</v>
      </c>
      <c r="W52" s="16">
        <v>50</v>
      </c>
      <c r="X52" s="10" t="s">
        <v>606</v>
      </c>
      <c r="Y52" s="649">
        <v>45467</v>
      </c>
      <c r="Z52" s="17"/>
      <c r="AA52" s="7"/>
    </row>
    <row r="53" spans="2:27" s="3" customFormat="1" ht="39.950000000000003" hidden="1" customHeight="1">
      <c r="B53" s="129" t="str">
        <f>IF(NOMENCLATURE_GEN!B53="","",NOMENCLATURE_GEN!B53)</f>
        <v>SUP</v>
      </c>
      <c r="C53" s="4" t="str">
        <f>IF(NOMENCLATURE_GEN!C53="","",NOMENCLATURE_GEN!C53)</f>
        <v/>
      </c>
      <c r="D53" s="4">
        <f>IF(NOMENCLATURE_GEN!D53="","",NOMENCLATURE_GEN!D53)</f>
        <v>140</v>
      </c>
      <c r="E53" s="4" t="str">
        <f ca="1">IF(NOMENCLATURE_GEN!E53="","",NOMENCLATURE_GEN!E53)</f>
        <v>A</v>
      </c>
      <c r="F53" s="4" t="str">
        <f>IF(NOMENCLATURE_GEN!F53="","",NOMENCLATURE_GEN!F53)</f>
        <v>CON</v>
      </c>
      <c r="G53" s="310" t="str">
        <f>IF(NOMENCLATURE_GEN!G53="","",NOMENCLATURE_GEN!G53)</f>
        <v>Cone de répartition du flux 0-30mm en entrée du liwell</v>
      </c>
      <c r="H53" s="4" t="str">
        <f>IF(NOMENCLATURE_GEN!H53="","",NOMENCLATURE_GEN!H53)</f>
        <v/>
      </c>
      <c r="I53" s="4" t="str">
        <f>IF(NOMENCLATURE_GEN!I53="","",NOMENCLATURE_GEN!I53)</f>
        <v/>
      </c>
      <c r="J53" s="130" t="str">
        <f>IF(NOMENCLATURE_GEN!J53="","",NOMENCLATURE_GEN!J53)</f>
        <v/>
      </c>
      <c r="K53" s="9" t="s">
        <v>494</v>
      </c>
      <c r="L53" s="10" t="s">
        <v>513</v>
      </c>
      <c r="M53" s="10"/>
      <c r="N53" s="10"/>
      <c r="O53" s="10"/>
      <c r="P53" s="14"/>
      <c r="Q53" s="16"/>
      <c r="R53" s="16"/>
      <c r="S53" s="16"/>
      <c r="T53" s="10"/>
      <c r="U53" s="10"/>
      <c r="V53" s="10"/>
      <c r="W53" s="16"/>
      <c r="X53" s="10"/>
      <c r="Y53" s="442"/>
      <c r="Z53" s="17"/>
      <c r="AA53" s="7"/>
    </row>
    <row r="54" spans="2:27" s="3" customFormat="1" ht="39.950000000000003" hidden="1" customHeight="1">
      <c r="B54" s="129" t="str">
        <f>IF(NOMENCLATURE_GEN!B54="","",NOMENCLATURE_GEN!B54)</f>
        <v/>
      </c>
      <c r="C54" s="4" t="str">
        <f>IF(NOMENCLATURE_GEN!C54="","",NOMENCLATURE_GEN!C54)</f>
        <v/>
      </c>
      <c r="D54" s="4">
        <f>IF(NOMENCLATURE_GEN!D54="","",NOMENCLATURE_GEN!D54)</f>
        <v>141</v>
      </c>
      <c r="E54" s="4" t="str">
        <f ca="1">IF(NOMENCLATURE_GEN!E54="","",NOMENCLATURE_GEN!E54)</f>
        <v>A</v>
      </c>
      <c r="F54" s="4" t="str">
        <f>IF(NOMENCLATURE_GEN!F54="","",NOMENCLATURE_GEN!F54)</f>
        <v>CRI</v>
      </c>
      <c r="G54" s="310" t="str">
        <f>IF(NOMENCLATURE_GEN!G54="","",NOMENCLATURE_GEN!G54)</f>
        <v>Crible trampoline maille 10mm</v>
      </c>
      <c r="H54" s="4">
        <f>IF(NOMENCLATURE_GEN!H54="","",NOMENCLATURE_GEN!H54)</f>
        <v>2000</v>
      </c>
      <c r="I54" s="4">
        <f>IF(NOMENCLATURE_GEN!I54="","",NOMENCLATURE_GEN!I54)</f>
        <v>8850</v>
      </c>
      <c r="J54" s="130" t="str">
        <f>IF(NOMENCLATURE_GEN!J54="","",NOMENCLATURE_GEN!J54)</f>
        <v/>
      </c>
      <c r="K54" s="9" t="s">
        <v>494</v>
      </c>
      <c r="L54" s="10" t="s">
        <v>513</v>
      </c>
      <c r="M54" s="10"/>
      <c r="N54" s="10"/>
      <c r="O54" s="10"/>
      <c r="P54" s="14"/>
      <c r="Q54" s="16"/>
      <c r="R54" s="16"/>
      <c r="S54" s="16"/>
      <c r="T54" s="10"/>
      <c r="U54" s="10"/>
      <c r="V54" s="10"/>
      <c r="W54" s="16"/>
      <c r="X54" s="10"/>
      <c r="Y54" s="442"/>
      <c r="Z54" s="17"/>
      <c r="AA54" s="7"/>
    </row>
    <row r="55" spans="2:27" s="3" customFormat="1" ht="39.950000000000003" hidden="1" customHeight="1">
      <c r="B55" s="129" t="str">
        <f>IF(NOMENCLATURE_GEN!B55="","",NOMENCLATURE_GEN!B55)</f>
        <v>SUP</v>
      </c>
      <c r="C55" s="4" t="str">
        <f>IF(NOMENCLATURE_GEN!C55="","",NOMENCLATURE_GEN!C55)</f>
        <v/>
      </c>
      <c r="D55" s="4">
        <f>IF(NOMENCLATURE_GEN!D55="","",NOMENCLATURE_GEN!D55)</f>
        <v>142</v>
      </c>
      <c r="E55" s="4" t="str">
        <f ca="1">IF(NOMENCLATURE_GEN!E55="","",NOMENCLATURE_GEN!E55)</f>
        <v>A</v>
      </c>
      <c r="F55" s="4" t="str">
        <f>IF(NOMENCLATURE_GEN!F55="","",NOMENCLATURE_GEN!F55)</f>
        <v>TRE</v>
      </c>
      <c r="G55" s="310" t="str">
        <f>IF(NOMENCLATURE_GEN!G55="","",NOMENCLATURE_GEN!G55)</f>
        <v>Trémie des passants sous crible trampoline</v>
      </c>
      <c r="H55" s="4">
        <f>IF(NOMENCLATURE_GEN!H55="","",NOMENCLATURE_GEN!H55)</f>
        <v>2000</v>
      </c>
      <c r="I55" s="4">
        <f>IF(NOMENCLATURE_GEN!I55="","",NOMENCLATURE_GEN!I55)</f>
        <v>8850</v>
      </c>
      <c r="J55" s="130" t="str">
        <f>IF(NOMENCLATURE_GEN!J55="","",NOMENCLATURE_GEN!J55)</f>
        <v/>
      </c>
      <c r="K55" s="9" t="s">
        <v>494</v>
      </c>
      <c r="L55" s="10" t="s">
        <v>513</v>
      </c>
      <c r="M55" s="10"/>
      <c r="N55" s="10"/>
      <c r="O55" s="10"/>
      <c r="P55" s="14"/>
      <c r="Q55" s="16"/>
      <c r="R55" s="16"/>
      <c r="S55" s="16"/>
      <c r="T55" s="10"/>
      <c r="U55" s="10"/>
      <c r="V55" s="10"/>
      <c r="W55" s="16"/>
      <c r="X55" s="10"/>
      <c r="Y55" s="442"/>
      <c r="Z55" s="17"/>
      <c r="AA55" s="7"/>
    </row>
    <row r="56" spans="2:27" s="3" customFormat="1" ht="39.950000000000003" customHeight="1">
      <c r="B56" s="129" t="str">
        <f>IF(NOMENCLATURE_GEN!B56="","",NOMENCLATURE_GEN!B56)</f>
        <v/>
      </c>
      <c r="C56" s="4" t="str">
        <f>IF(NOMENCLATURE_GEN!C56="","",NOMENCLATURE_GEN!C56)</f>
        <v/>
      </c>
      <c r="D56" s="4">
        <f>IF(NOMENCLATURE_GEN!D56="","",NOMENCLATURE_GEN!D56)</f>
        <v>143</v>
      </c>
      <c r="E56" s="4" t="str">
        <f ca="1">IF(NOMENCLATURE_GEN!E56="","",NOMENCLATURE_GEN!E56)</f>
        <v>A</v>
      </c>
      <c r="F56" s="4" t="str">
        <f>IF(NOMENCLATURE_GEN!F56="","",NOMENCLATURE_GEN!F56)</f>
        <v>CBA</v>
      </c>
      <c r="G56" s="310" t="str">
        <f>IF(NOMENCLATURE_GEN!G56="","",NOMENCLATURE_GEN!G56)</f>
        <v>Convoyeur de reprise du 0-8mm et alimentation du tapis balistique double</v>
      </c>
      <c r="H56" s="4">
        <f>IF(NOMENCLATURE_GEN!H56="","",NOMENCLATURE_GEN!H56)</f>
        <v>1800</v>
      </c>
      <c r="I56" s="4">
        <f>IF(NOMENCLATURE_GEN!I56="","",NOMENCLATURE_GEN!I56)</f>
        <v>11500</v>
      </c>
      <c r="J56" s="130">
        <f>IF(NOMENCLATURE_GEN!J56="","",NOMENCLATURE_GEN!J56)</f>
        <v>23</v>
      </c>
      <c r="K56" s="9" t="s">
        <v>503</v>
      </c>
      <c r="L56" s="10" t="s">
        <v>510</v>
      </c>
      <c r="M56" s="13" t="s">
        <v>534</v>
      </c>
      <c r="N56" s="10" t="s">
        <v>495</v>
      </c>
      <c r="O56" s="10"/>
      <c r="P56" s="14">
        <v>7.3</v>
      </c>
      <c r="Q56" s="16">
        <v>1550</v>
      </c>
      <c r="R56" s="16">
        <v>33</v>
      </c>
      <c r="S56" s="16"/>
      <c r="T56" s="10" t="s">
        <v>611</v>
      </c>
      <c r="U56" s="10" t="s">
        <v>494</v>
      </c>
      <c r="V56" s="10" t="s">
        <v>594</v>
      </c>
      <c r="W56" s="16">
        <v>50</v>
      </c>
      <c r="X56" s="10" t="s">
        <v>606</v>
      </c>
      <c r="Y56" s="649">
        <v>45467</v>
      </c>
      <c r="Z56" s="17"/>
      <c r="AA56" s="7"/>
    </row>
    <row r="57" spans="2:27" s="3" customFormat="1" ht="39.950000000000003" customHeight="1">
      <c r="B57" s="129" t="str">
        <f>IF(NOMENCLATURE_GEN!B57="","",NOMENCLATURE_GEN!B57)</f>
        <v/>
      </c>
      <c r="C57" s="4" t="str">
        <f>IF(NOMENCLATURE_GEN!C57="","",NOMENCLATURE_GEN!C57)</f>
        <v/>
      </c>
      <c r="D57" s="4">
        <f>IF(NOMENCLATURE_GEN!D57="","",NOMENCLATURE_GEN!D57)</f>
        <v>144</v>
      </c>
      <c r="E57" s="4" t="str">
        <f ca="1">IF(NOMENCLATURE_GEN!E57="","",NOMENCLATURE_GEN!E57)</f>
        <v>A</v>
      </c>
      <c r="F57" s="4" t="str">
        <f>IF(NOMENCLATURE_GEN!F57="","",NOMENCLATURE_GEN!F57)</f>
        <v>BAL</v>
      </c>
      <c r="G57" s="310" t="str">
        <f>IF(NOMENCLATURE_GEN!G57="","",NOMENCLATURE_GEN!G57)</f>
        <v>Tapis balistique double MOTEUR N°1</v>
      </c>
      <c r="H57" s="4">
        <f>IF(NOMENCLATURE_GEN!H57="","",NOMENCLATURE_GEN!H57)</f>
        <v>1800</v>
      </c>
      <c r="I57" s="4">
        <f>IF(NOMENCLATURE_GEN!I57="","",NOMENCLATURE_GEN!I57)</f>
        <v>2500</v>
      </c>
      <c r="J57" s="130">
        <f>IF(NOMENCLATURE_GEN!J57="","",NOMENCLATURE_GEN!J57)</f>
        <v>0</v>
      </c>
      <c r="K57" s="9" t="s">
        <v>503</v>
      </c>
      <c r="L57" s="10" t="s">
        <v>510</v>
      </c>
      <c r="M57" s="13" t="s">
        <v>534</v>
      </c>
      <c r="N57" s="16" t="s">
        <v>495</v>
      </c>
      <c r="O57" s="16"/>
      <c r="P57" s="14">
        <v>7.3</v>
      </c>
      <c r="Q57" s="16">
        <v>1550</v>
      </c>
      <c r="R57" s="16">
        <v>65</v>
      </c>
      <c r="S57" s="16"/>
      <c r="T57" s="10" t="s">
        <v>593</v>
      </c>
      <c r="U57" s="16" t="s">
        <v>495</v>
      </c>
      <c r="V57" s="10" t="s">
        <v>594</v>
      </c>
      <c r="W57" s="16">
        <v>50</v>
      </c>
      <c r="X57" s="10" t="s">
        <v>592</v>
      </c>
      <c r="Y57" s="649">
        <v>45467</v>
      </c>
      <c r="Z57" s="17"/>
      <c r="AA57" s="7"/>
    </row>
    <row r="58" spans="2:27" s="3" customFormat="1" ht="39.950000000000003" customHeight="1">
      <c r="B58" s="129" t="str">
        <f>IF(NOMENCLATURE_GEN!B58="","",NOMENCLATURE_GEN!B58)</f>
        <v/>
      </c>
      <c r="C58" s="4" t="str">
        <f>IF(NOMENCLATURE_GEN!C58="","",NOMENCLATURE_GEN!C58)</f>
        <v/>
      </c>
      <c r="D58" s="4">
        <f>IF(NOMENCLATURE_GEN!D58="","",NOMENCLATURE_GEN!D58)</f>
        <v>144</v>
      </c>
      <c r="E58" s="4" t="str">
        <f ca="1">IF(NOMENCLATURE_GEN!E58="","",NOMENCLATURE_GEN!E58)</f>
        <v>B</v>
      </c>
      <c r="F58" s="4" t="str">
        <f>IF(NOMENCLATURE_GEN!F58="","",NOMENCLATURE_GEN!F58)</f>
        <v>BAL</v>
      </c>
      <c r="G58" s="310" t="str">
        <f>IF(NOMENCLATURE_GEN!G58="","",NOMENCLATURE_GEN!G58)</f>
        <v>Tapis balistique double MOTEUR N°2</v>
      </c>
      <c r="H58" s="4">
        <f>IF(NOMENCLATURE_GEN!H58="","",NOMENCLATURE_GEN!H58)</f>
        <v>1800</v>
      </c>
      <c r="I58" s="4">
        <f>IF(NOMENCLATURE_GEN!I58="","",NOMENCLATURE_GEN!I58)</f>
        <v>2500</v>
      </c>
      <c r="J58" s="130">
        <f>IF(NOMENCLATURE_GEN!J58="","",NOMENCLATURE_GEN!J58)</f>
        <v>0</v>
      </c>
      <c r="K58" s="9" t="s">
        <v>512</v>
      </c>
      <c r="L58" s="10" t="s">
        <v>510</v>
      </c>
      <c r="M58" s="13" t="s">
        <v>534</v>
      </c>
      <c r="N58" s="16" t="s">
        <v>495</v>
      </c>
      <c r="O58" s="16"/>
      <c r="P58" s="14">
        <v>7.3</v>
      </c>
      <c r="Q58" s="16">
        <v>1550</v>
      </c>
      <c r="R58" s="16">
        <v>65</v>
      </c>
      <c r="S58" s="16"/>
      <c r="T58" s="10" t="s">
        <v>593</v>
      </c>
      <c r="U58" s="16" t="s">
        <v>495</v>
      </c>
      <c r="V58" s="10" t="s">
        <v>594</v>
      </c>
      <c r="W58" s="16">
        <v>50</v>
      </c>
      <c r="X58" s="10" t="s">
        <v>592</v>
      </c>
      <c r="Y58" s="649">
        <v>45467</v>
      </c>
      <c r="Z58" s="17"/>
      <c r="AA58" s="7"/>
    </row>
    <row r="59" spans="2:27" s="3" customFormat="1" ht="39.950000000000003" customHeight="1">
      <c r="B59" s="129" t="str">
        <f>IF(NOMENCLATURE_GEN!B59="","",NOMENCLATURE_GEN!B59)</f>
        <v/>
      </c>
      <c r="C59" s="4" t="str">
        <f>IF(NOMENCLATURE_GEN!C59="","",NOMENCLATURE_GEN!C59)</f>
        <v/>
      </c>
      <c r="D59" s="4">
        <f>IF(NOMENCLATURE_GEN!D59="","",NOMENCLATURE_GEN!D59)</f>
        <v>145</v>
      </c>
      <c r="E59" s="4" t="str">
        <f ca="1">IF(NOMENCLATURE_GEN!E59="","",NOMENCLATURE_GEN!E59)</f>
        <v>A</v>
      </c>
      <c r="F59" s="4" t="str">
        <f>IF(NOMENCLATURE_GEN!F59="","",NOMENCLATURE_GEN!F59)</f>
        <v>TBE</v>
      </c>
      <c r="G59" s="310" t="str">
        <f>IF(NOMENCLATURE_GEN!G59="","",NOMENCLATURE_GEN!G59)</f>
        <v>Convoyeur de reprise BY-PASS des lourds 0-8mm</v>
      </c>
      <c r="H59" s="4">
        <f>IF(NOMENCLATURE_GEN!H59="","",NOMENCLATURE_GEN!H59)</f>
        <v>800</v>
      </c>
      <c r="I59" s="4">
        <f>IF(NOMENCLATURE_GEN!I59="","",NOMENCLATURE_GEN!I59)</f>
        <v>3500</v>
      </c>
      <c r="J59" s="130">
        <f>IF(NOMENCLATURE_GEN!J59="","",NOMENCLATURE_GEN!J59)</f>
        <v>0</v>
      </c>
      <c r="K59" s="9" t="s">
        <v>503</v>
      </c>
      <c r="L59" s="10" t="s">
        <v>620</v>
      </c>
      <c r="M59" s="13" t="s">
        <v>534</v>
      </c>
      <c r="N59" s="16" t="s">
        <v>495</v>
      </c>
      <c r="O59" s="10" t="s">
        <v>495</v>
      </c>
      <c r="P59" s="14" t="s">
        <v>617</v>
      </c>
      <c r="Q59" s="16">
        <v>257</v>
      </c>
      <c r="R59" s="16">
        <v>78</v>
      </c>
      <c r="S59" s="16"/>
      <c r="T59" s="16" t="s">
        <v>618</v>
      </c>
      <c r="U59" s="16" t="s">
        <v>495</v>
      </c>
      <c r="V59" s="16" t="s">
        <v>508</v>
      </c>
      <c r="W59" s="16">
        <v>40</v>
      </c>
      <c r="X59" s="10" t="s">
        <v>619</v>
      </c>
      <c r="Y59" s="649">
        <v>45467</v>
      </c>
      <c r="Z59" s="17"/>
      <c r="AA59" s="7"/>
    </row>
    <row r="60" spans="2:27" s="3" customFormat="1" ht="39.950000000000003" customHeight="1">
      <c r="B60" s="129" t="str">
        <f>IF(NOMENCLATURE_GEN!B60="","",NOMENCLATURE_GEN!B60)</f>
        <v/>
      </c>
      <c r="C60" s="4" t="str">
        <f>IF(NOMENCLATURE_GEN!C60="","",NOMENCLATURE_GEN!C60)</f>
        <v/>
      </c>
      <c r="D60" s="4">
        <f>IF(NOMENCLATURE_GEN!D60="","",NOMENCLATURE_GEN!D60)</f>
        <v>146</v>
      </c>
      <c r="E60" s="4" t="str">
        <f ca="1">IF(NOMENCLATURE_GEN!E60="","",NOMENCLATURE_GEN!E60)</f>
        <v>A</v>
      </c>
      <c r="F60" s="4" t="str">
        <f>IF(NOMENCLATURE_GEN!F60="","",NOMENCLATURE_GEN!F60)</f>
        <v>TBE</v>
      </c>
      <c r="G60" s="310" t="str">
        <f>IF(NOMENCLATURE_GEN!G60="","",NOMENCLATURE_GEN!G60)</f>
        <v>Convoyeur de transfert des lourds 0-8mm</v>
      </c>
      <c r="H60" s="4">
        <f>IF(NOMENCLATURE_GEN!H60="","",NOMENCLATURE_GEN!H60)</f>
        <v>800</v>
      </c>
      <c r="I60" s="4">
        <f>IF(NOMENCLATURE_GEN!I60="","",NOMENCLATURE_GEN!I60)</f>
        <v>16750</v>
      </c>
      <c r="J60" s="130">
        <f>IF(NOMENCLATURE_GEN!J60="","",NOMENCLATURE_GEN!J60)</f>
        <v>6</v>
      </c>
      <c r="K60" s="9" t="s">
        <v>503</v>
      </c>
      <c r="L60" s="10" t="s">
        <v>514</v>
      </c>
      <c r="M60" s="13" t="s">
        <v>534</v>
      </c>
      <c r="N60" s="10" t="s">
        <v>495</v>
      </c>
      <c r="O60" s="10"/>
      <c r="P60" s="14">
        <v>2.9</v>
      </c>
      <c r="Q60" s="16">
        <v>665</v>
      </c>
      <c r="R60" s="16">
        <v>31</v>
      </c>
      <c r="S60" s="16"/>
      <c r="T60" s="10" t="s">
        <v>607</v>
      </c>
      <c r="U60" s="10" t="s">
        <v>495</v>
      </c>
      <c r="V60" s="10" t="s">
        <v>594</v>
      </c>
      <c r="W60" s="10">
        <v>40</v>
      </c>
      <c r="X60" s="10" t="s">
        <v>621</v>
      </c>
      <c r="Y60" s="649">
        <v>45467</v>
      </c>
      <c r="Z60" s="17"/>
      <c r="AA60" s="7"/>
    </row>
    <row r="61" spans="2:27" s="3" customFormat="1" ht="39.950000000000003" customHeight="1">
      <c r="B61" s="129" t="str">
        <f>IF(NOMENCLATURE_GEN!B61="","",NOMENCLATURE_GEN!B61)</f>
        <v/>
      </c>
      <c r="C61" s="4" t="str">
        <f>IF(NOMENCLATURE_GEN!C61="","",NOMENCLATURE_GEN!C61)</f>
        <v/>
      </c>
      <c r="D61" s="4">
        <f>IF(NOMENCLATURE_GEN!D61="","",NOMENCLATURE_GEN!D61)</f>
        <v>147</v>
      </c>
      <c r="E61" s="4" t="str">
        <f ca="1">IF(NOMENCLATURE_GEN!E61="","",NOMENCLATURE_GEN!E61)</f>
        <v>A</v>
      </c>
      <c r="F61" s="4" t="str">
        <f>IF(NOMENCLATURE_GEN!F61="","",NOMENCLATURE_GEN!F61)</f>
        <v>TBE</v>
      </c>
      <c r="G61" s="310" t="str">
        <f>IF(NOMENCLATURE_GEN!G61="","",NOMENCLATURE_GEN!G61)</f>
        <v>Convoyeur de transfert des lourds 0-8mm</v>
      </c>
      <c r="H61" s="4">
        <f>IF(NOMENCLATURE_GEN!H61="","",NOMENCLATURE_GEN!H61)</f>
        <v>800</v>
      </c>
      <c r="I61" s="4">
        <f>IF(NOMENCLATURE_GEN!I61="","",NOMENCLATURE_GEN!I61)</f>
        <v>12000</v>
      </c>
      <c r="J61" s="130">
        <f>IF(NOMENCLATURE_GEN!J61="","",NOMENCLATURE_GEN!J61)</f>
        <v>20</v>
      </c>
      <c r="K61" s="9" t="s">
        <v>503</v>
      </c>
      <c r="L61" s="10" t="s">
        <v>514</v>
      </c>
      <c r="M61" s="13" t="s">
        <v>534</v>
      </c>
      <c r="N61" s="10" t="s">
        <v>495</v>
      </c>
      <c r="O61" s="10"/>
      <c r="P61" s="14">
        <v>2.9</v>
      </c>
      <c r="Q61" s="16">
        <v>665</v>
      </c>
      <c r="R61" s="16">
        <v>31</v>
      </c>
      <c r="S61" s="16"/>
      <c r="T61" s="10" t="s">
        <v>610</v>
      </c>
      <c r="U61" s="10" t="s">
        <v>495</v>
      </c>
      <c r="V61" s="10" t="s">
        <v>594</v>
      </c>
      <c r="W61" s="10">
        <v>40</v>
      </c>
      <c r="X61" s="10" t="s">
        <v>621</v>
      </c>
      <c r="Y61" s="649">
        <v>45488</v>
      </c>
      <c r="Z61" s="17"/>
      <c r="AA61" s="7"/>
    </row>
    <row r="62" spans="2:27" s="3" customFormat="1" ht="39.950000000000003" customHeight="1">
      <c r="B62" s="129" t="str">
        <f>IF(NOMENCLATURE_GEN!B62="","",NOMENCLATURE_GEN!B62)</f>
        <v/>
      </c>
      <c r="C62" s="4" t="str">
        <f>IF(NOMENCLATURE_GEN!C62="","",NOMENCLATURE_GEN!C62)</f>
        <v/>
      </c>
      <c r="D62" s="4">
        <f>IF(NOMENCLATURE_GEN!D62="","",NOMENCLATURE_GEN!D62)</f>
        <v>148</v>
      </c>
      <c r="E62" s="4" t="str">
        <f ca="1">IF(NOMENCLATURE_GEN!E62="","",NOMENCLATURE_GEN!E62)</f>
        <v>A</v>
      </c>
      <c r="F62" s="4" t="str">
        <f>IF(NOMENCLATURE_GEN!F62="","",NOMENCLATURE_GEN!F62)</f>
        <v>TBE</v>
      </c>
      <c r="G62" s="310" t="str">
        <f>IF(NOMENCLATURE_GEN!G62="","",NOMENCLATURE_GEN!G62)</f>
        <v>Convoyeur rotatif double sens de mise en benne des refus lourds</v>
      </c>
      <c r="H62" s="4">
        <f>IF(NOMENCLATURE_GEN!H62="","",NOMENCLATURE_GEN!H62)</f>
        <v>800</v>
      </c>
      <c r="I62" s="4">
        <f>IF(NOMENCLATURE_GEN!I62="","",NOMENCLATURE_GEN!I62)</f>
        <v>5000</v>
      </c>
      <c r="J62" s="130">
        <f>IF(NOMENCLATURE_GEN!J62="","",NOMENCLATURE_GEN!J62)</f>
        <v>0</v>
      </c>
      <c r="K62" s="9" t="s">
        <v>503</v>
      </c>
      <c r="L62" s="10" t="s">
        <v>620</v>
      </c>
      <c r="M62" s="13" t="s">
        <v>534</v>
      </c>
      <c r="N62" s="10" t="s">
        <v>495</v>
      </c>
      <c r="O62" s="10" t="s">
        <v>495</v>
      </c>
      <c r="P62" s="14" t="s">
        <v>617</v>
      </c>
      <c r="Q62" s="16">
        <v>257</v>
      </c>
      <c r="R62" s="16">
        <v>78</v>
      </c>
      <c r="S62" s="16"/>
      <c r="T62" s="10" t="s">
        <v>618</v>
      </c>
      <c r="U62" s="10" t="s">
        <v>495</v>
      </c>
      <c r="V62" s="10" t="s">
        <v>508</v>
      </c>
      <c r="W62" s="16">
        <v>40</v>
      </c>
      <c r="X62" s="10" t="s">
        <v>619</v>
      </c>
      <c r="Y62" s="649">
        <v>45509</v>
      </c>
      <c r="Z62" s="17"/>
      <c r="AA62" s="7"/>
    </row>
    <row r="63" spans="2:27" s="3" customFormat="1" ht="39.950000000000003" hidden="1" customHeight="1">
      <c r="B63" s="129" t="str">
        <f>IF(NOMENCLATURE_GEN!B63="","",NOMENCLATURE_GEN!B63)</f>
        <v/>
      </c>
      <c r="C63" s="4" t="str">
        <f>IF(NOMENCLATURE_GEN!C63="","",NOMENCLATURE_GEN!C63)</f>
        <v/>
      </c>
      <c r="D63" s="4">
        <f>IF(NOMENCLATURE_GEN!D63="","",NOMENCLATURE_GEN!D63)</f>
        <v>149</v>
      </c>
      <c r="E63" s="4" t="str">
        <f ca="1">IF(NOMENCLATURE_GEN!E63="","",NOMENCLATURE_GEN!E63)</f>
        <v>A</v>
      </c>
      <c r="F63" s="4" t="str">
        <f>IF(NOMENCLATURE_GEN!F63="","",NOMENCLATURE_GEN!F63)</f>
        <v>COU</v>
      </c>
      <c r="G63" s="310" t="str">
        <f>IF(NOMENCLATURE_GEN!G63="","",NOMENCLATURE_GEN!G63)</f>
        <v>Couronne rotatif pour convoyeur de mise en tas</v>
      </c>
      <c r="H63" s="4">
        <f>IF(NOMENCLATURE_GEN!H63="","",NOMENCLATURE_GEN!H63)</f>
        <v>800</v>
      </c>
      <c r="I63" s="4">
        <f>IF(NOMENCLATURE_GEN!I63="","",NOMENCLATURE_GEN!I63)</f>
        <v>800</v>
      </c>
      <c r="J63" s="130" t="str">
        <f>IF(NOMENCLATURE_GEN!J63="","",NOMENCLATURE_GEN!J63)</f>
        <v/>
      </c>
      <c r="K63" s="9" t="s">
        <v>494</v>
      </c>
      <c r="L63" s="10" t="s">
        <v>513</v>
      </c>
      <c r="M63" s="10"/>
      <c r="N63" s="10"/>
      <c r="O63" s="10"/>
      <c r="P63" s="14"/>
      <c r="Q63" s="16"/>
      <c r="R63" s="16"/>
      <c r="S63" s="16"/>
      <c r="T63" s="10"/>
      <c r="U63" s="10"/>
      <c r="V63" s="10"/>
      <c r="W63" s="16"/>
      <c r="X63" s="16"/>
      <c r="Y63" s="647"/>
      <c r="Z63" s="17"/>
      <c r="AA63" s="7"/>
    </row>
    <row r="64" spans="2:27" s="3" customFormat="1" ht="39.950000000000003" customHeight="1">
      <c r="B64" s="129" t="str">
        <f>IF(NOMENCLATURE_GEN!B64="","",NOMENCLATURE_GEN!B64)</f>
        <v/>
      </c>
      <c r="C64" s="4" t="str">
        <f>IF(NOMENCLATURE_GEN!C64="","",NOMENCLATURE_GEN!C64)</f>
        <v/>
      </c>
      <c r="D64" s="4">
        <f>IF(NOMENCLATURE_GEN!D64="","",NOMENCLATURE_GEN!D64)</f>
        <v>150</v>
      </c>
      <c r="E64" s="4" t="str">
        <f ca="1">IF(NOMENCLATURE_GEN!E64="","",NOMENCLATURE_GEN!E64)</f>
        <v>A</v>
      </c>
      <c r="F64" s="4" t="str">
        <f>IF(NOMENCLATURE_GEN!F64="","",NOMENCLATURE_GEN!F64)</f>
        <v>TBE</v>
      </c>
      <c r="G64" s="310" t="str">
        <f>IF(NOMENCLATURE_GEN!G64="","",NOMENCLATURE_GEN!G64)</f>
        <v>Convoyeur de reprise By-pass des refus du liwell</v>
      </c>
      <c r="H64" s="4">
        <f>IF(NOMENCLATURE_GEN!H64="","",NOMENCLATURE_GEN!H64)</f>
        <v>1000</v>
      </c>
      <c r="I64" s="4">
        <f>IF(NOMENCLATURE_GEN!I64="","",NOMENCLATURE_GEN!I64)</f>
        <v>5250</v>
      </c>
      <c r="J64" s="130">
        <f>IF(NOMENCLATURE_GEN!J64="","",NOMENCLATURE_GEN!J64)</f>
        <v>0</v>
      </c>
      <c r="K64" s="9" t="s">
        <v>503</v>
      </c>
      <c r="L64" s="10" t="s">
        <v>514</v>
      </c>
      <c r="M64" s="13" t="s">
        <v>534</v>
      </c>
      <c r="N64" s="16" t="s">
        <v>495</v>
      </c>
      <c r="O64" s="10" t="s">
        <v>495</v>
      </c>
      <c r="P64" s="14">
        <v>2.9</v>
      </c>
      <c r="Q64" s="16">
        <v>665</v>
      </c>
      <c r="R64" s="16">
        <v>31</v>
      </c>
      <c r="S64" s="16"/>
      <c r="T64" s="10" t="s">
        <v>596</v>
      </c>
      <c r="U64" s="16" t="s">
        <v>495</v>
      </c>
      <c r="V64" s="10" t="s">
        <v>594</v>
      </c>
      <c r="W64" s="16">
        <v>40</v>
      </c>
      <c r="X64" s="10" t="s">
        <v>621</v>
      </c>
      <c r="Y64" s="649">
        <v>45467</v>
      </c>
      <c r="Z64" s="17"/>
      <c r="AA64" s="7"/>
    </row>
    <row r="65" spans="2:27" s="3" customFormat="1" ht="39.950000000000003" customHeight="1">
      <c r="B65" s="129" t="str">
        <f>IF(NOMENCLATURE_GEN!B65="","",NOMENCLATURE_GEN!B65)</f>
        <v/>
      </c>
      <c r="C65" s="4" t="str">
        <f>IF(NOMENCLATURE_GEN!C65="","",NOMENCLATURE_GEN!C65)</f>
        <v/>
      </c>
      <c r="D65" s="4">
        <f>IF(NOMENCLATURE_GEN!D65="","",NOMENCLATURE_GEN!D65)</f>
        <v>151</v>
      </c>
      <c r="E65" s="4" t="str">
        <f ca="1">IF(NOMENCLATURE_GEN!E65="","",NOMENCLATURE_GEN!E65)</f>
        <v>A</v>
      </c>
      <c r="F65" s="4" t="str">
        <f>IF(NOMENCLATURE_GEN!F65="","",NOMENCLATURE_GEN!F65)</f>
        <v>TBE</v>
      </c>
      <c r="G65" s="310" t="str">
        <f>IF(NOMENCLATURE_GEN!G65="","",NOMENCLATURE_GEN!G65)</f>
        <v>Convoyeur de reprise By-pass des refus du balistique 1</v>
      </c>
      <c r="H65" s="4">
        <f>IF(NOMENCLATURE_GEN!H65="","",NOMENCLATURE_GEN!H65)</f>
        <v>1000</v>
      </c>
      <c r="I65" s="4">
        <f>IF(NOMENCLATURE_GEN!I65="","",NOMENCLATURE_GEN!I65)</f>
        <v>5250</v>
      </c>
      <c r="J65" s="130">
        <f>IF(NOMENCLATURE_GEN!J65="","",NOMENCLATURE_GEN!J65)</f>
        <v>0</v>
      </c>
      <c r="K65" s="9" t="s">
        <v>503</v>
      </c>
      <c r="L65" s="10" t="s">
        <v>514</v>
      </c>
      <c r="M65" s="13" t="s">
        <v>534</v>
      </c>
      <c r="N65" s="16" t="s">
        <v>495</v>
      </c>
      <c r="O65" s="10" t="s">
        <v>495</v>
      </c>
      <c r="P65" s="14">
        <v>2.9</v>
      </c>
      <c r="Q65" s="16">
        <v>665</v>
      </c>
      <c r="R65" s="16">
        <v>31</v>
      </c>
      <c r="S65" s="16"/>
      <c r="T65" s="10" t="s">
        <v>596</v>
      </c>
      <c r="U65" s="16" t="s">
        <v>495</v>
      </c>
      <c r="V65" s="10" t="s">
        <v>594</v>
      </c>
      <c r="W65" s="16">
        <v>40</v>
      </c>
      <c r="X65" s="10" t="s">
        <v>621</v>
      </c>
      <c r="Y65" s="649">
        <v>45488</v>
      </c>
      <c r="Z65" s="17"/>
      <c r="AA65" s="7"/>
    </row>
    <row r="66" spans="2:27" s="3" customFormat="1" ht="39.950000000000003" customHeight="1">
      <c r="B66" s="129" t="str">
        <f>IF(NOMENCLATURE_GEN!B66="","",NOMENCLATURE_GEN!B66)</f>
        <v/>
      </c>
      <c r="C66" s="4" t="str">
        <f>IF(NOMENCLATURE_GEN!C66="","",NOMENCLATURE_GEN!C66)</f>
        <v/>
      </c>
      <c r="D66" s="4">
        <f>IF(NOMENCLATURE_GEN!D66="","",NOMENCLATURE_GEN!D66)</f>
        <v>152</v>
      </c>
      <c r="E66" s="4" t="str">
        <f ca="1">IF(NOMENCLATURE_GEN!E66="","",NOMENCLATURE_GEN!E66)</f>
        <v>A</v>
      </c>
      <c r="F66" s="4" t="str">
        <f>IF(NOMENCLATURE_GEN!F66="","",NOMENCLATURE_GEN!F66)</f>
        <v>TBE</v>
      </c>
      <c r="G66" s="310" t="str">
        <f>IF(NOMENCLATURE_GEN!G66="","",NOMENCLATURE_GEN!G66)</f>
        <v>Convoyeur de transfert des refus vers module de sur-tri</v>
      </c>
      <c r="H66" s="4">
        <f>IF(NOMENCLATURE_GEN!H66="","",NOMENCLATURE_GEN!H66)</f>
        <v>1000</v>
      </c>
      <c r="I66" s="4">
        <f>IF(NOMENCLATURE_GEN!I66="","",NOMENCLATURE_GEN!I66)</f>
        <v>15000</v>
      </c>
      <c r="J66" s="130">
        <f>IF(NOMENCLATURE_GEN!J66="","",NOMENCLATURE_GEN!J66)</f>
        <v>8</v>
      </c>
      <c r="K66" s="9" t="s">
        <v>503</v>
      </c>
      <c r="L66" s="10" t="s">
        <v>514</v>
      </c>
      <c r="M66" s="13" t="s">
        <v>534</v>
      </c>
      <c r="N66" s="16" t="s">
        <v>495</v>
      </c>
      <c r="O66" s="16"/>
      <c r="P66" s="14">
        <v>2.9</v>
      </c>
      <c r="Q66" s="16">
        <v>665</v>
      </c>
      <c r="R66" s="16">
        <v>31</v>
      </c>
      <c r="S66" s="16"/>
      <c r="T66" s="10" t="s">
        <v>622</v>
      </c>
      <c r="U66" s="16" t="s">
        <v>495</v>
      </c>
      <c r="V66" s="10" t="s">
        <v>594</v>
      </c>
      <c r="W66" s="16">
        <v>40</v>
      </c>
      <c r="X66" s="10" t="s">
        <v>621</v>
      </c>
      <c r="Y66" s="649">
        <v>45488</v>
      </c>
      <c r="Z66" s="17"/>
      <c r="AA66" s="7"/>
    </row>
    <row r="67" spans="2:27" s="3" customFormat="1" ht="39.950000000000003" customHeight="1">
      <c r="B67" s="129" t="str">
        <f>IF(NOMENCLATURE_GEN!B67="","",NOMENCLATURE_GEN!B67)</f>
        <v/>
      </c>
      <c r="C67" s="4" t="str">
        <f>IF(NOMENCLATURE_GEN!C67="","",NOMENCLATURE_GEN!C67)</f>
        <v/>
      </c>
      <c r="D67" s="4">
        <f>IF(NOMENCLATURE_GEN!D67="","",NOMENCLATURE_GEN!D67)</f>
        <v>153</v>
      </c>
      <c r="E67" s="4" t="str">
        <f ca="1">IF(NOMENCLATURE_GEN!E67="","",NOMENCLATURE_GEN!E67)</f>
        <v>A</v>
      </c>
      <c r="F67" s="4" t="str">
        <f>IF(NOMENCLATURE_GEN!F67="","",NOMENCLATURE_GEN!F67)</f>
        <v>TBE</v>
      </c>
      <c r="G67" s="310" t="str">
        <f>IF(NOMENCLATURE_GEN!G67="","",NOMENCLATURE_GEN!G67)</f>
        <v>Convoyeur de transfert des refus vers module de sur-tri</v>
      </c>
      <c r="H67" s="4">
        <f>IF(NOMENCLATURE_GEN!H67="","",NOMENCLATURE_GEN!H67)</f>
        <v>1000</v>
      </c>
      <c r="I67" s="4">
        <f>IF(NOMENCLATURE_GEN!I67="","",NOMENCLATURE_GEN!I67)</f>
        <v>5000</v>
      </c>
      <c r="J67" s="130">
        <f>IF(NOMENCLATURE_GEN!J67="","",NOMENCLATURE_GEN!J67)</f>
        <v>18</v>
      </c>
      <c r="K67" s="9" t="s">
        <v>503</v>
      </c>
      <c r="L67" s="10" t="s">
        <v>514</v>
      </c>
      <c r="M67" s="13" t="s">
        <v>534</v>
      </c>
      <c r="N67" s="10" t="s">
        <v>495</v>
      </c>
      <c r="O67" s="10"/>
      <c r="P67" s="14">
        <v>2.9</v>
      </c>
      <c r="Q67" s="16">
        <v>665</v>
      </c>
      <c r="R67" s="16">
        <v>31</v>
      </c>
      <c r="S67" s="16"/>
      <c r="T67" s="10" t="s">
        <v>605</v>
      </c>
      <c r="U67" s="10" t="s">
        <v>495</v>
      </c>
      <c r="V67" s="10" t="s">
        <v>594</v>
      </c>
      <c r="W67" s="16">
        <v>40</v>
      </c>
      <c r="X67" s="10" t="s">
        <v>621</v>
      </c>
      <c r="Y67" s="649">
        <v>45488</v>
      </c>
      <c r="Z67" s="17"/>
      <c r="AA67" s="7"/>
    </row>
    <row r="68" spans="2:27" s="3" customFormat="1" ht="39.950000000000003" customHeight="1">
      <c r="B68" s="129" t="str">
        <f>IF(NOMENCLATURE_GEN!B68="","",NOMENCLATURE_GEN!B68)</f>
        <v/>
      </c>
      <c r="C68" s="4" t="str">
        <f>IF(NOMENCLATURE_GEN!C68="","",NOMENCLATURE_GEN!C68)</f>
        <v/>
      </c>
      <c r="D68" s="4">
        <f>IF(NOMENCLATURE_GEN!D68="","",NOMENCLATURE_GEN!D68)</f>
        <v>154</v>
      </c>
      <c r="E68" s="4" t="str">
        <f ca="1">IF(NOMENCLATURE_GEN!E68="","",NOMENCLATURE_GEN!E68)</f>
        <v>A</v>
      </c>
      <c r="F68" s="4" t="str">
        <f>IF(NOMENCLATURE_GEN!F68="","",NOMENCLATURE_GEN!F68)</f>
        <v>TBE</v>
      </c>
      <c r="G68" s="310" t="str">
        <f>IF(NOMENCLATURE_GEN!G68="","",NOMENCLATURE_GEN!G68)</f>
        <v>Convoyeur de transfert des refus vers module de sur-tri</v>
      </c>
      <c r="H68" s="4">
        <f>IF(NOMENCLATURE_GEN!H68="","",NOMENCLATURE_GEN!H68)</f>
        <v>1000</v>
      </c>
      <c r="I68" s="4">
        <f>IF(NOMENCLATURE_GEN!I68="","",NOMENCLATURE_GEN!I68)</f>
        <v>26250</v>
      </c>
      <c r="J68" s="130">
        <f>IF(NOMENCLATURE_GEN!J68="","",NOMENCLATURE_GEN!J68)</f>
        <v>18</v>
      </c>
      <c r="K68" s="9" t="s">
        <v>503</v>
      </c>
      <c r="L68" s="10" t="s">
        <v>507</v>
      </c>
      <c r="M68" s="13" t="s">
        <v>534</v>
      </c>
      <c r="N68" s="10" t="s">
        <v>495</v>
      </c>
      <c r="O68" s="10"/>
      <c r="P68" s="14">
        <v>7.3</v>
      </c>
      <c r="Q68" s="16">
        <v>920</v>
      </c>
      <c r="R68" s="16">
        <v>50</v>
      </c>
      <c r="S68" s="16"/>
      <c r="T68" s="10" t="s">
        <v>605</v>
      </c>
      <c r="U68" s="10" t="s">
        <v>495</v>
      </c>
      <c r="V68" s="10" t="s">
        <v>594</v>
      </c>
      <c r="W68" s="16">
        <v>40</v>
      </c>
      <c r="X68" s="10" t="s">
        <v>628</v>
      </c>
      <c r="Y68" s="649">
        <v>45488</v>
      </c>
      <c r="Z68" s="17"/>
      <c r="AA68" s="7"/>
    </row>
    <row r="69" spans="2:27" s="3" customFormat="1" ht="39.950000000000003" customHeight="1">
      <c r="B69" s="129" t="str">
        <f>IF(NOMENCLATURE_GEN!B69="","",NOMENCLATURE_GEN!B69)</f>
        <v/>
      </c>
      <c r="C69" s="4" t="str">
        <f>IF(NOMENCLATURE_GEN!C69="","",NOMENCLATURE_GEN!C69)</f>
        <v/>
      </c>
      <c r="D69" s="4">
        <f>IF(NOMENCLATURE_GEN!D69="","",NOMENCLATURE_GEN!D69)</f>
        <v>155</v>
      </c>
      <c r="E69" s="4" t="str">
        <f ca="1">IF(NOMENCLATURE_GEN!E69="","",NOMENCLATURE_GEN!E69)</f>
        <v>A</v>
      </c>
      <c r="F69" s="4" t="str">
        <f>IF(NOMENCLATURE_GEN!F69="","",NOMENCLATURE_GEN!F69)</f>
        <v>TFM</v>
      </c>
      <c r="G69" s="310" t="str">
        <f>IF(NOMENCLATURE_GEN!G69="","",NOMENCLATURE_GEN!G69)</f>
        <v>Table densimétrique FM150 - Moteur balourd</v>
      </c>
      <c r="H69" s="4" t="str">
        <f>IF(NOMENCLATURE_GEN!H69="","",NOMENCLATURE_GEN!H69)</f>
        <v/>
      </c>
      <c r="I69" s="4" t="str">
        <f>IF(NOMENCLATURE_GEN!I69="","",NOMENCLATURE_GEN!I69)</f>
        <v/>
      </c>
      <c r="J69" s="130" t="str">
        <f>IF(NOMENCLATURE_GEN!J69="","",NOMENCLATURE_GEN!J69)</f>
        <v/>
      </c>
      <c r="K69" s="9" t="s">
        <v>503</v>
      </c>
      <c r="L69" s="10"/>
      <c r="M69" s="13" t="s">
        <v>534</v>
      </c>
      <c r="N69" s="16" t="s">
        <v>495</v>
      </c>
      <c r="O69" s="16"/>
      <c r="P69" s="14">
        <v>2.9</v>
      </c>
      <c r="Q69" s="16">
        <v>43</v>
      </c>
      <c r="R69" s="10" t="s">
        <v>631</v>
      </c>
      <c r="S69" s="16" t="s">
        <v>26</v>
      </c>
      <c r="T69" s="10" t="s">
        <v>630</v>
      </c>
      <c r="U69" s="16"/>
      <c r="V69" s="10" t="s">
        <v>614</v>
      </c>
      <c r="W69" s="16">
        <v>24</v>
      </c>
      <c r="X69" s="10" t="s">
        <v>629</v>
      </c>
      <c r="Y69" s="649">
        <v>45488</v>
      </c>
      <c r="Z69" s="17"/>
      <c r="AA69" s="7"/>
    </row>
    <row r="70" spans="2:27" s="3" customFormat="1" ht="39.950000000000003" hidden="1" customHeight="1">
      <c r="B70" s="129" t="str">
        <f>IF(NOMENCLATURE_GEN!B70="","",NOMENCLATURE_GEN!B70)</f>
        <v/>
      </c>
      <c r="C70" s="4" t="str">
        <f>IF(NOMENCLATURE_GEN!C70="","",NOMENCLATURE_GEN!C70)</f>
        <v/>
      </c>
      <c r="D70" s="4">
        <f>IF(NOMENCLATURE_GEN!D70="","",NOMENCLATURE_GEN!D70)</f>
        <v>155</v>
      </c>
      <c r="E70" s="4" t="str">
        <f ca="1">IF(NOMENCLATURE_GEN!E70="","",NOMENCLATURE_GEN!E70)</f>
        <v>B</v>
      </c>
      <c r="F70" s="4" t="str">
        <f>IF(NOMENCLATURE_GEN!F70="","",NOMENCLATURE_GEN!F70)</f>
        <v>TFM</v>
      </c>
      <c r="G70" s="310" t="str">
        <f>IF(NOMENCLATURE_GEN!G70="","",NOMENCLATURE_GEN!G70)</f>
        <v>Table densimétrique FM150 - Ventilateur de fluidisation</v>
      </c>
      <c r="H70" s="4" t="str">
        <f>IF(NOMENCLATURE_GEN!H70="","",NOMENCLATURE_GEN!H70)</f>
        <v/>
      </c>
      <c r="I70" s="4" t="str">
        <f>IF(NOMENCLATURE_GEN!I70="","",NOMENCLATURE_GEN!I70)</f>
        <v/>
      </c>
      <c r="J70" s="130" t="str">
        <f>IF(NOMENCLATURE_GEN!J70="","",NOMENCLATURE_GEN!J70)</f>
        <v/>
      </c>
      <c r="K70" s="9" t="s">
        <v>494</v>
      </c>
      <c r="L70" s="10" t="s">
        <v>513</v>
      </c>
      <c r="M70" s="16"/>
      <c r="N70" s="16"/>
      <c r="O70" s="16"/>
      <c r="P70" s="14"/>
      <c r="Q70" s="16"/>
      <c r="R70" s="16"/>
      <c r="S70" s="16"/>
      <c r="T70" s="16"/>
      <c r="U70" s="16"/>
      <c r="V70" s="16"/>
      <c r="W70" s="16"/>
      <c r="X70" s="16"/>
      <c r="Y70" s="647"/>
      <c r="Z70" s="17"/>
      <c r="AA70" s="7"/>
    </row>
    <row r="71" spans="2:27" s="3" customFormat="1" ht="39.950000000000003" hidden="1" customHeight="1">
      <c r="B71" s="129" t="str">
        <f>IF(NOMENCLATURE_GEN!B71="","",NOMENCLATURE_GEN!B71)</f>
        <v/>
      </c>
      <c r="C71" s="4" t="str">
        <f>IF(NOMENCLATURE_GEN!C71="","",NOMENCLATURE_GEN!C71)</f>
        <v/>
      </c>
      <c r="D71" s="4">
        <f>IF(NOMENCLATURE_GEN!D71="","",NOMENCLATURE_GEN!D71)</f>
        <v>155</v>
      </c>
      <c r="E71" s="4" t="str">
        <f ca="1">IF(NOMENCLATURE_GEN!E71="","",NOMENCLATURE_GEN!E71)</f>
        <v>C</v>
      </c>
      <c r="F71" s="4" t="str">
        <f>IF(NOMENCLATURE_GEN!F71="","",NOMENCLATURE_GEN!F71)</f>
        <v>TFM</v>
      </c>
      <c r="G71" s="310" t="str">
        <f>IF(NOMENCLATURE_GEN!G71="","",NOMENCLATURE_GEN!G71)</f>
        <v>Table densimétrique FM150 - Ecluse utra lourds</v>
      </c>
      <c r="H71" s="4" t="str">
        <f>IF(NOMENCLATURE_GEN!H71="","",NOMENCLATURE_GEN!H71)</f>
        <v/>
      </c>
      <c r="I71" s="4" t="str">
        <f>IF(NOMENCLATURE_GEN!I71="","",NOMENCLATURE_GEN!I71)</f>
        <v/>
      </c>
      <c r="J71" s="130" t="str">
        <f>IF(NOMENCLATURE_GEN!J71="","",NOMENCLATURE_GEN!J71)</f>
        <v/>
      </c>
      <c r="K71" s="9" t="s">
        <v>494</v>
      </c>
      <c r="L71" s="10" t="s">
        <v>513</v>
      </c>
      <c r="M71" s="16"/>
      <c r="N71" s="16"/>
      <c r="O71" s="16"/>
      <c r="P71" s="14"/>
      <c r="Q71" s="16"/>
      <c r="R71" s="16"/>
      <c r="S71" s="16"/>
      <c r="T71" s="16"/>
      <c r="U71" s="16"/>
      <c r="V71" s="16"/>
      <c r="W71" s="16"/>
      <c r="X71" s="16"/>
      <c r="Y71" s="647"/>
      <c r="Z71" s="17"/>
      <c r="AA71" s="7"/>
    </row>
    <row r="72" spans="2:27" s="3" customFormat="1" ht="39.950000000000003" hidden="1" customHeight="1">
      <c r="B72" s="129" t="str">
        <f>IF(NOMENCLATURE_GEN!B72="","",NOMENCLATURE_GEN!B72)</f>
        <v/>
      </c>
      <c r="C72" s="4" t="str">
        <f>IF(NOMENCLATURE_GEN!C72="","",NOMENCLATURE_GEN!C72)</f>
        <v/>
      </c>
      <c r="D72" s="4">
        <f>IF(NOMENCLATURE_GEN!D72="","",NOMENCLATURE_GEN!D72)</f>
        <v>155</v>
      </c>
      <c r="E72" s="4" t="str">
        <f ca="1">IF(NOMENCLATURE_GEN!E72="","",NOMENCLATURE_GEN!E72)</f>
        <v>D</v>
      </c>
      <c r="F72" s="4" t="str">
        <f>IF(NOMENCLATURE_GEN!F72="","",NOMENCLATURE_GEN!F72)</f>
        <v>TFM</v>
      </c>
      <c r="G72" s="310" t="str">
        <f>IF(NOMENCLATURE_GEN!G72="","",NOMENCLATURE_GEN!G72)</f>
        <v>Table densimétrique FM150 - Clapet motorisé</v>
      </c>
      <c r="H72" s="4" t="str">
        <f>IF(NOMENCLATURE_GEN!H72="","",NOMENCLATURE_GEN!H72)</f>
        <v/>
      </c>
      <c r="I72" s="4" t="str">
        <f>IF(NOMENCLATURE_GEN!I72="","",NOMENCLATURE_GEN!I72)</f>
        <v/>
      </c>
      <c r="J72" s="130" t="str">
        <f>IF(NOMENCLATURE_GEN!J72="","",NOMENCLATURE_GEN!J72)</f>
        <v/>
      </c>
      <c r="K72" s="9" t="s">
        <v>494</v>
      </c>
      <c r="L72" s="10" t="s">
        <v>513</v>
      </c>
      <c r="M72" s="16"/>
      <c r="N72" s="16"/>
      <c r="O72" s="16"/>
      <c r="P72" s="14"/>
      <c r="Q72" s="16"/>
      <c r="R72" s="16"/>
      <c r="S72" s="16"/>
      <c r="T72" s="16"/>
      <c r="U72" s="16"/>
      <c r="V72" s="16"/>
      <c r="W72" s="16"/>
      <c r="X72" s="16"/>
      <c r="Y72" s="647"/>
      <c r="Z72" s="17"/>
      <c r="AA72" s="7"/>
    </row>
    <row r="73" spans="2:27" s="3" customFormat="1" ht="39.950000000000003" customHeight="1">
      <c r="B73" s="129" t="str">
        <f>IF(NOMENCLATURE_GEN!B73="","",NOMENCLATURE_GEN!B73)</f>
        <v/>
      </c>
      <c r="C73" s="4" t="str">
        <f>IF(NOMENCLATURE_GEN!C73="","",NOMENCLATURE_GEN!C73)</f>
        <v/>
      </c>
      <c r="D73" s="4">
        <f>IF(NOMENCLATURE_GEN!D73="","",NOMENCLATURE_GEN!D73)</f>
        <v>156</v>
      </c>
      <c r="E73" s="4" t="str">
        <f ca="1">IF(NOMENCLATURE_GEN!E73="","",NOMENCLATURE_GEN!E73)</f>
        <v>A</v>
      </c>
      <c r="F73" s="4" t="str">
        <f>IF(NOMENCLATURE_GEN!F73="","",NOMENCLATURE_GEN!F73)</f>
        <v>TBE</v>
      </c>
      <c r="G73" s="310" t="str">
        <f>IF(NOMENCLATURE_GEN!G73="","",NOMENCLATURE_GEN!G73)</f>
        <v>Convoyeur de reprise des refus lourds et transfert vers centralisation</v>
      </c>
      <c r="H73" s="4">
        <f>IF(NOMENCLATURE_GEN!H73="","",NOMENCLATURE_GEN!H73)</f>
        <v>800</v>
      </c>
      <c r="I73" s="4">
        <f>IF(NOMENCLATURE_GEN!I73="","",NOMENCLATURE_GEN!I73)</f>
        <v>3000</v>
      </c>
      <c r="J73" s="130">
        <f>IF(NOMENCLATURE_GEN!J73="","",NOMENCLATURE_GEN!J73)</f>
        <v>0</v>
      </c>
      <c r="K73" s="9" t="s">
        <v>503</v>
      </c>
      <c r="L73" s="10" t="s">
        <v>620</v>
      </c>
      <c r="M73" s="13" t="s">
        <v>534</v>
      </c>
      <c r="N73" s="16" t="s">
        <v>495</v>
      </c>
      <c r="O73" s="16"/>
      <c r="P73" s="14" t="s">
        <v>617</v>
      </c>
      <c r="Q73" s="16">
        <v>257</v>
      </c>
      <c r="R73" s="16">
        <v>78</v>
      </c>
      <c r="S73" s="16"/>
      <c r="T73" s="16" t="s">
        <v>618</v>
      </c>
      <c r="U73" s="16" t="s">
        <v>495</v>
      </c>
      <c r="V73" s="16" t="s">
        <v>508</v>
      </c>
      <c r="W73" s="16">
        <v>40</v>
      </c>
      <c r="X73" s="10" t="s">
        <v>619</v>
      </c>
      <c r="Y73" s="649">
        <v>45488</v>
      </c>
      <c r="Z73" s="17"/>
      <c r="AA73" s="7"/>
    </row>
    <row r="74" spans="2:27" s="3" customFormat="1" ht="39.950000000000003" customHeight="1">
      <c r="B74" s="129" t="str">
        <f>IF(NOMENCLATURE_GEN!B74="","",NOMENCLATURE_GEN!B74)</f>
        <v/>
      </c>
      <c r="C74" s="4" t="str">
        <f>IF(NOMENCLATURE_GEN!C74="","",NOMENCLATURE_GEN!C74)</f>
        <v/>
      </c>
      <c r="D74" s="4">
        <f>IF(NOMENCLATURE_GEN!D74="","",NOMENCLATURE_GEN!D74)</f>
        <v>157</v>
      </c>
      <c r="E74" s="4" t="str">
        <f ca="1">IF(NOMENCLATURE_GEN!E74="","",NOMENCLATURE_GEN!E74)</f>
        <v>A</v>
      </c>
      <c r="F74" s="4" t="str">
        <f>IF(NOMENCLATURE_GEN!F74="","",NOMENCLATURE_GEN!F74)</f>
        <v>TBE</v>
      </c>
      <c r="G74" s="310" t="str">
        <f>IF(NOMENCLATURE_GEN!G74="","",NOMENCLATURE_GEN!G74)</f>
        <v>Convoyeur de reprise des refus lourds et transfert vers centralisation</v>
      </c>
      <c r="H74" s="4">
        <f>IF(NOMENCLATURE_GEN!H74="","",NOMENCLATURE_GEN!H74)</f>
        <v>800</v>
      </c>
      <c r="I74" s="4">
        <f>IF(NOMENCLATURE_GEN!I74="","",NOMENCLATURE_GEN!I74)</f>
        <v>10000</v>
      </c>
      <c r="J74" s="130">
        <f>IF(NOMENCLATURE_GEN!J74="","",NOMENCLATURE_GEN!J74)</f>
        <v>6</v>
      </c>
      <c r="K74" s="9" t="s">
        <v>503</v>
      </c>
      <c r="L74" s="10" t="s">
        <v>514</v>
      </c>
      <c r="M74" s="13" t="s">
        <v>534</v>
      </c>
      <c r="N74" s="16" t="s">
        <v>495</v>
      </c>
      <c r="O74" s="16"/>
      <c r="P74" s="14">
        <v>2.9</v>
      </c>
      <c r="Q74" s="16">
        <v>665</v>
      </c>
      <c r="R74" s="16">
        <v>31</v>
      </c>
      <c r="S74" s="16"/>
      <c r="T74" s="10" t="s">
        <v>623</v>
      </c>
      <c r="U74" s="16" t="s">
        <v>495</v>
      </c>
      <c r="V74" s="10" t="s">
        <v>594</v>
      </c>
      <c r="W74" s="16">
        <v>40</v>
      </c>
      <c r="X74" s="10" t="s">
        <v>621</v>
      </c>
      <c r="Y74" s="649">
        <v>45488</v>
      </c>
      <c r="Z74" s="17"/>
      <c r="AA74" s="7"/>
    </row>
    <row r="75" spans="2:27" s="3" customFormat="1" ht="39.950000000000003" customHeight="1">
      <c r="B75" s="129" t="str">
        <f>IF(NOMENCLATURE_GEN!B75="","",NOMENCLATURE_GEN!B75)</f>
        <v/>
      </c>
      <c r="C75" s="4" t="str">
        <f>IF(NOMENCLATURE_GEN!C75="","",NOMENCLATURE_GEN!C75)</f>
        <v/>
      </c>
      <c r="D75" s="4">
        <f>IF(NOMENCLATURE_GEN!D75="","",NOMENCLATURE_GEN!D75)</f>
        <v>158</v>
      </c>
      <c r="E75" s="4" t="str">
        <f ca="1">IF(NOMENCLATURE_GEN!E75="","",NOMENCLATURE_GEN!E75)</f>
        <v>A</v>
      </c>
      <c r="F75" s="4" t="str">
        <f>IF(NOMENCLATURE_GEN!F75="","",NOMENCLATURE_GEN!F75)</f>
        <v>TBE</v>
      </c>
      <c r="G75" s="310" t="str">
        <f>IF(NOMENCLATURE_GEN!G75="","",NOMENCLATURE_GEN!G75)</f>
        <v>Convoyeur de reprise des lourds 0-8mm</v>
      </c>
      <c r="H75" s="4">
        <f>IF(NOMENCLATURE_GEN!H75="","",NOMENCLATURE_GEN!H75)</f>
        <v>1800</v>
      </c>
      <c r="I75" s="4">
        <f>IF(NOMENCLATURE_GEN!I75="","",NOMENCLATURE_GEN!I75)</f>
        <v>4000</v>
      </c>
      <c r="J75" s="130">
        <f>IF(NOMENCLATURE_GEN!J75="","",NOMENCLATURE_GEN!J75)</f>
        <v>12</v>
      </c>
      <c r="K75" s="9" t="s">
        <v>503</v>
      </c>
      <c r="L75" s="10" t="s">
        <v>514</v>
      </c>
      <c r="M75" s="13" t="s">
        <v>534</v>
      </c>
      <c r="N75" s="16" t="s">
        <v>495</v>
      </c>
      <c r="O75" s="16"/>
      <c r="P75" s="14">
        <v>2.9</v>
      </c>
      <c r="Q75" s="16">
        <v>665</v>
      </c>
      <c r="R75" s="16">
        <v>31</v>
      </c>
      <c r="S75" s="16"/>
      <c r="T75" s="10" t="s">
        <v>612</v>
      </c>
      <c r="U75" s="16" t="s">
        <v>495</v>
      </c>
      <c r="V75" s="10" t="s">
        <v>594</v>
      </c>
      <c r="W75" s="16">
        <v>40</v>
      </c>
      <c r="X75" s="10" t="s">
        <v>621</v>
      </c>
      <c r="Y75" s="649">
        <v>45488</v>
      </c>
      <c r="Z75" s="17"/>
      <c r="AA75" s="7"/>
    </row>
    <row r="76" spans="2:27" s="3" customFormat="1" ht="39.950000000000003" hidden="1" customHeight="1">
      <c r="B76" s="129" t="str">
        <f>IF(NOMENCLATURE_GEN!B76="","",NOMENCLATURE_GEN!B76)</f>
        <v>SUP</v>
      </c>
      <c r="C76" s="4" t="str">
        <f>IF(NOMENCLATURE_GEN!C76="","",NOMENCLATURE_GEN!C76)</f>
        <v/>
      </c>
      <c r="D76" s="4">
        <f>IF(NOMENCLATURE_GEN!D76="","",NOMENCLATURE_GEN!D76)</f>
        <v>159</v>
      </c>
      <c r="E76" s="4" t="str">
        <f ca="1">IF(NOMENCLATURE_GEN!E76="","",NOMENCLATURE_GEN!E76)</f>
        <v>A</v>
      </c>
      <c r="F76" s="4" t="str">
        <f>IF(NOMENCLATURE_GEN!F76="","",NOMENCLATURE_GEN!F76)</f>
        <v>GLT</v>
      </c>
      <c r="G76" s="310" t="str">
        <f>IF(NOMENCLATURE_GEN!G76="","",NOMENCLATURE_GEN!G76)</f>
        <v>Goulotte de reprise des légers de la table FM150</v>
      </c>
      <c r="H76" s="4" t="str">
        <f>IF(NOMENCLATURE_GEN!H76="","",NOMENCLATURE_GEN!H76)</f>
        <v/>
      </c>
      <c r="I76" s="4" t="str">
        <f>IF(NOMENCLATURE_GEN!I76="","",NOMENCLATURE_GEN!I76)</f>
        <v/>
      </c>
      <c r="J76" s="130" t="str">
        <f>IF(NOMENCLATURE_GEN!J76="","",NOMENCLATURE_GEN!J76)</f>
        <v/>
      </c>
      <c r="K76" s="9" t="s">
        <v>494</v>
      </c>
      <c r="L76" s="10" t="s">
        <v>513</v>
      </c>
      <c r="M76" s="16"/>
      <c r="N76" s="16"/>
      <c r="O76" s="16"/>
      <c r="P76" s="14"/>
      <c r="Q76" s="16"/>
      <c r="R76" s="16"/>
      <c r="S76" s="16"/>
      <c r="T76" s="16"/>
      <c r="U76" s="16"/>
      <c r="V76" s="16"/>
      <c r="W76" s="16"/>
      <c r="X76" s="16"/>
      <c r="Y76" s="647"/>
      <c r="Z76" s="17"/>
      <c r="AA76" s="7"/>
    </row>
    <row r="77" spans="2:27" s="3" customFormat="1" ht="39.950000000000003" customHeight="1">
      <c r="B77" s="129" t="str">
        <f>IF(NOMENCLATURE_GEN!B77="","",NOMENCLATURE_GEN!B77)</f>
        <v/>
      </c>
      <c r="C77" s="4" t="str">
        <f>IF(NOMENCLATURE_GEN!C77="","",NOMENCLATURE_GEN!C77)</f>
        <v/>
      </c>
      <c r="D77" s="4">
        <f>IF(NOMENCLATURE_GEN!D77="","",NOMENCLATURE_GEN!D77)</f>
        <v>160</v>
      </c>
      <c r="E77" s="4" t="str">
        <f ca="1">IF(NOMENCLATURE_GEN!E77="","",NOMENCLATURE_GEN!E77)</f>
        <v>A</v>
      </c>
      <c r="F77" s="4" t="str">
        <f>IF(NOMENCLATURE_GEN!F77="","",NOMENCLATURE_GEN!F77)</f>
        <v>TBE</v>
      </c>
      <c r="G77" s="310" t="str">
        <f>IF(NOMENCLATURE_GEN!G77="","",NOMENCLATURE_GEN!G77)</f>
        <v>Convoyeur double sens de remplissage de la benne FFOM</v>
      </c>
      <c r="H77" s="4">
        <f>IF(NOMENCLATURE_GEN!H77="","",NOMENCLATURE_GEN!H77)</f>
        <v>800</v>
      </c>
      <c r="I77" s="4">
        <f>IF(NOMENCLATURE_GEN!I77="","",NOMENCLATURE_GEN!I77)</f>
        <v>5000</v>
      </c>
      <c r="J77" s="130">
        <f>IF(NOMENCLATURE_GEN!J77="","",NOMENCLATURE_GEN!J77)</f>
        <v>0</v>
      </c>
      <c r="K77" s="9" t="s">
        <v>503</v>
      </c>
      <c r="L77" s="10" t="s">
        <v>620</v>
      </c>
      <c r="M77" s="13" t="s">
        <v>534</v>
      </c>
      <c r="N77" s="16" t="s">
        <v>495</v>
      </c>
      <c r="O77" s="10" t="s">
        <v>495</v>
      </c>
      <c r="P77" s="14" t="s">
        <v>617</v>
      </c>
      <c r="Q77" s="16">
        <v>257</v>
      </c>
      <c r="R77" s="16">
        <v>78</v>
      </c>
      <c r="S77" s="16"/>
      <c r="T77" s="16" t="s">
        <v>618</v>
      </c>
      <c r="U77" s="16" t="s">
        <v>495</v>
      </c>
      <c r="V77" s="16" t="s">
        <v>508</v>
      </c>
      <c r="W77" s="16">
        <v>40</v>
      </c>
      <c r="X77" s="10" t="s">
        <v>619</v>
      </c>
      <c r="Y77" s="649">
        <v>45509</v>
      </c>
      <c r="Z77" s="17"/>
      <c r="AA77" s="7"/>
    </row>
    <row r="78" spans="2:27" s="3" customFormat="1" ht="39.950000000000003" customHeight="1">
      <c r="B78" s="129" t="str">
        <f>IF(NOMENCLATURE_GEN!B78="","",NOMENCLATURE_GEN!B78)</f>
        <v/>
      </c>
      <c r="C78" s="4" t="str">
        <f>IF(NOMENCLATURE_GEN!C78="","",NOMENCLATURE_GEN!C78)</f>
        <v/>
      </c>
      <c r="D78" s="4">
        <f>IF(NOMENCLATURE_GEN!D78="","",NOMENCLATURE_GEN!D78)</f>
        <v>161</v>
      </c>
      <c r="E78" s="4" t="str">
        <f ca="1">IF(NOMENCLATURE_GEN!E78="","",NOMENCLATURE_GEN!E78)</f>
        <v>A</v>
      </c>
      <c r="F78" s="4" t="str">
        <f>IF(NOMENCLATURE_GEN!F78="","",NOMENCLATURE_GEN!F78)</f>
        <v>NAV</v>
      </c>
      <c r="G78" s="310" t="str">
        <f>IF(NOMENCLATURE_GEN!G78="","",NOMENCLATURE_GEN!G78)</f>
        <v>Système navette pour convoyeur double sens</v>
      </c>
      <c r="H78" s="4" t="str">
        <f>IF(NOMENCLATURE_GEN!H78="","",NOMENCLATURE_GEN!H78)</f>
        <v/>
      </c>
      <c r="I78" s="4" t="str">
        <f>IF(NOMENCLATURE_GEN!I78="","",NOMENCLATURE_GEN!I78)</f>
        <v/>
      </c>
      <c r="J78" s="130" t="str">
        <f>IF(NOMENCLATURE_GEN!J78="","",NOMENCLATURE_GEN!J78)</f>
        <v/>
      </c>
      <c r="K78" s="9" t="s">
        <v>503</v>
      </c>
      <c r="L78" s="10" t="s">
        <v>513</v>
      </c>
      <c r="M78" s="13" t="s">
        <v>534</v>
      </c>
      <c r="N78" s="16" t="s">
        <v>495</v>
      </c>
      <c r="O78" s="10" t="s">
        <v>495</v>
      </c>
      <c r="P78" s="14">
        <v>1.1200000000000001</v>
      </c>
      <c r="Q78" s="16">
        <v>665</v>
      </c>
      <c r="R78" s="16">
        <v>52</v>
      </c>
      <c r="S78" s="16"/>
      <c r="T78" s="16" t="s">
        <v>634</v>
      </c>
      <c r="U78" s="16" t="s">
        <v>494</v>
      </c>
      <c r="V78" s="10" t="s">
        <v>635</v>
      </c>
      <c r="W78" s="16">
        <v>35</v>
      </c>
      <c r="X78" s="10" t="s">
        <v>636</v>
      </c>
      <c r="Y78" s="649">
        <v>45509</v>
      </c>
      <c r="Z78" s="17" t="s">
        <v>511</v>
      </c>
      <c r="AA78" s="7"/>
    </row>
    <row r="79" spans="2:27" s="3" customFormat="1" ht="39.950000000000003" customHeight="1">
      <c r="B79" s="129" t="str">
        <f>IF(NOMENCLATURE_GEN!B79="","",NOMENCLATURE_GEN!B79)</f>
        <v/>
      </c>
      <c r="C79" s="4" t="str">
        <f>IF(NOMENCLATURE_GEN!C79="","",NOMENCLATURE_GEN!C79)</f>
        <v/>
      </c>
      <c r="D79" s="4">
        <f>IF(NOMENCLATURE_GEN!D79="","",NOMENCLATURE_GEN!D79)</f>
        <v>162</v>
      </c>
      <c r="E79" s="4" t="str">
        <f ca="1">IF(NOMENCLATURE_GEN!E79="","",NOMENCLATURE_GEN!E79)</f>
        <v>A</v>
      </c>
      <c r="F79" s="4" t="str">
        <f>IF(NOMENCLATURE_GEN!F79="","",NOMENCLATURE_GEN!F79)</f>
        <v>TBE</v>
      </c>
      <c r="G79" s="310" t="str">
        <f>IF(NOMENCLATURE_GEN!G79="","",NOMENCLATURE_GEN!G79)</f>
        <v>Convoyeur de reprise des aciers 0-30 et &gt; 180mm</v>
      </c>
      <c r="H79" s="4">
        <f>IF(NOMENCLATURE_GEN!H79="","",NOMENCLATURE_GEN!H79)</f>
        <v>1000</v>
      </c>
      <c r="I79" s="4">
        <f>IF(NOMENCLATURE_GEN!I79="","",NOMENCLATURE_GEN!I79)</f>
        <v>15500</v>
      </c>
      <c r="J79" s="130">
        <f>IF(NOMENCLATURE_GEN!J79="","",NOMENCLATURE_GEN!J79)</f>
        <v>0</v>
      </c>
      <c r="K79" s="9" t="s">
        <v>503</v>
      </c>
      <c r="L79" s="10" t="s">
        <v>514</v>
      </c>
      <c r="M79" s="13" t="s">
        <v>534</v>
      </c>
      <c r="N79" s="16" t="s">
        <v>495</v>
      </c>
      <c r="O79" s="10" t="s">
        <v>495</v>
      </c>
      <c r="P79" s="14">
        <v>2.9</v>
      </c>
      <c r="Q79" s="16">
        <v>665</v>
      </c>
      <c r="R79" s="16">
        <v>31</v>
      </c>
      <c r="S79" s="16"/>
      <c r="T79" s="10" t="s">
        <v>596</v>
      </c>
      <c r="U79" s="16" t="s">
        <v>495</v>
      </c>
      <c r="V79" s="10" t="s">
        <v>594</v>
      </c>
      <c r="W79" s="16">
        <v>40</v>
      </c>
      <c r="X79" s="10" t="s">
        <v>621</v>
      </c>
      <c r="Y79" s="649">
        <v>45488</v>
      </c>
      <c r="Z79" s="17"/>
      <c r="AA79" s="7"/>
    </row>
    <row r="80" spans="2:27" s="3" customFormat="1" ht="39.950000000000003" customHeight="1">
      <c r="B80" s="129" t="str">
        <f>IF(NOMENCLATURE_GEN!B80="","",NOMENCLATURE_GEN!B80)</f>
        <v/>
      </c>
      <c r="C80" s="4" t="str">
        <f>IF(NOMENCLATURE_GEN!C80="","",NOMENCLATURE_GEN!C80)</f>
        <v/>
      </c>
      <c r="D80" s="4">
        <f>IF(NOMENCLATURE_GEN!D80="","",NOMENCLATURE_GEN!D80)</f>
        <v>163</v>
      </c>
      <c r="E80" s="4" t="str">
        <f ca="1">IF(NOMENCLATURE_GEN!E80="","",NOMENCLATURE_GEN!E80)</f>
        <v>A</v>
      </c>
      <c r="F80" s="4" t="str">
        <f>IF(NOMENCLATURE_GEN!F80="","",NOMENCLATURE_GEN!F80)</f>
        <v>TBE</v>
      </c>
      <c r="G80" s="310" t="str">
        <f>IF(NOMENCLATURE_GEN!G80="","",NOMENCLATURE_GEN!G80)</f>
        <v>Convoyeur de centralisation des aciers</v>
      </c>
      <c r="H80" s="4">
        <f>IF(NOMENCLATURE_GEN!H80="","",NOMENCLATURE_GEN!H80)</f>
        <v>1000</v>
      </c>
      <c r="I80" s="4">
        <f>IF(NOMENCLATURE_GEN!I80="","",NOMENCLATURE_GEN!I80)</f>
        <v>4000</v>
      </c>
      <c r="J80" s="130">
        <f>IF(NOMENCLATURE_GEN!J80="","",NOMENCLATURE_GEN!J80)</f>
        <v>15</v>
      </c>
      <c r="K80" s="9" t="s">
        <v>503</v>
      </c>
      <c r="L80" s="10" t="s">
        <v>514</v>
      </c>
      <c r="M80" s="13" t="s">
        <v>534</v>
      </c>
      <c r="N80" s="16" t="s">
        <v>495</v>
      </c>
      <c r="O80" s="16"/>
      <c r="P80" s="14">
        <v>2.9</v>
      </c>
      <c r="Q80" s="16">
        <v>665</v>
      </c>
      <c r="R80" s="16">
        <v>31</v>
      </c>
      <c r="S80" s="16"/>
      <c r="T80" s="10" t="s">
        <v>624</v>
      </c>
      <c r="U80" s="16" t="s">
        <v>495</v>
      </c>
      <c r="V80" s="10" t="s">
        <v>594</v>
      </c>
      <c r="W80" s="16">
        <v>40</v>
      </c>
      <c r="X80" s="10" t="s">
        <v>621</v>
      </c>
      <c r="Y80" s="649">
        <v>45467</v>
      </c>
      <c r="Z80" s="17"/>
      <c r="AA80" s="7"/>
    </row>
    <row r="81" spans="2:27" s="3" customFormat="1" ht="39.950000000000003" customHeight="1">
      <c r="B81" s="129" t="str">
        <f>IF(NOMENCLATURE_GEN!B81="","",NOMENCLATURE_GEN!B81)</f>
        <v/>
      </c>
      <c r="C81" s="4" t="str">
        <f>IF(NOMENCLATURE_GEN!C81="","",NOMENCLATURE_GEN!C81)</f>
        <v/>
      </c>
      <c r="D81" s="4">
        <f>IF(NOMENCLATURE_GEN!D81="","",NOMENCLATURE_GEN!D81)</f>
        <v>164</v>
      </c>
      <c r="E81" s="4" t="str">
        <f ca="1">IF(NOMENCLATURE_GEN!E81="","",NOMENCLATURE_GEN!E81)</f>
        <v>A</v>
      </c>
      <c r="F81" s="4" t="str">
        <f>IF(NOMENCLATURE_GEN!F81="","",NOMENCLATURE_GEN!F81)</f>
        <v>TBE</v>
      </c>
      <c r="G81" s="310" t="str">
        <f>IF(NOMENCLATURE_GEN!G81="","",NOMENCLATURE_GEN!G81)</f>
        <v>Convoyeur de transfert des aciers vers benne</v>
      </c>
      <c r="H81" s="4">
        <f>IF(NOMENCLATURE_GEN!H81="","",NOMENCLATURE_GEN!H81)</f>
        <v>1000</v>
      </c>
      <c r="I81" s="4">
        <f>IF(NOMENCLATURE_GEN!I81="","",NOMENCLATURE_GEN!I81)</f>
        <v>11500</v>
      </c>
      <c r="J81" s="130">
        <f>IF(NOMENCLATURE_GEN!J81="","",NOMENCLATURE_GEN!J81)</f>
        <v>25</v>
      </c>
      <c r="K81" s="9" t="s">
        <v>503</v>
      </c>
      <c r="L81" s="10" t="s">
        <v>514</v>
      </c>
      <c r="M81" s="13" t="s">
        <v>534</v>
      </c>
      <c r="N81" s="16" t="s">
        <v>495</v>
      </c>
      <c r="O81" s="16"/>
      <c r="P81" s="14">
        <v>2.9</v>
      </c>
      <c r="Q81" s="16">
        <v>665</v>
      </c>
      <c r="R81" s="16">
        <v>31</v>
      </c>
      <c r="S81" s="16"/>
      <c r="T81" s="10" t="s">
        <v>625</v>
      </c>
      <c r="U81" s="16" t="s">
        <v>495</v>
      </c>
      <c r="V81" s="10" t="s">
        <v>594</v>
      </c>
      <c r="W81" s="16">
        <v>40</v>
      </c>
      <c r="X81" s="10" t="s">
        <v>621</v>
      </c>
      <c r="Y81" s="649">
        <v>45488</v>
      </c>
      <c r="Z81" s="17"/>
      <c r="AA81" s="7"/>
    </row>
    <row r="82" spans="2:27" s="3" customFormat="1" ht="39.950000000000003" customHeight="1">
      <c r="B82" s="129" t="str">
        <f>IF(NOMENCLATURE_GEN!B82="","",NOMENCLATURE_GEN!B82)</f>
        <v/>
      </c>
      <c r="C82" s="4" t="str">
        <f>IF(NOMENCLATURE_GEN!C82="","",NOMENCLATURE_GEN!C82)</f>
        <v/>
      </c>
      <c r="D82" s="4">
        <f>IF(NOMENCLATURE_GEN!D82="","",NOMENCLATURE_GEN!D82)</f>
        <v>165</v>
      </c>
      <c r="E82" s="4" t="str">
        <f ca="1">IF(NOMENCLATURE_GEN!E82="","",NOMENCLATURE_GEN!E82)</f>
        <v>A</v>
      </c>
      <c r="F82" s="4" t="str">
        <f>IF(NOMENCLATURE_GEN!F82="","",NOMENCLATURE_GEN!F82)</f>
        <v>TBE</v>
      </c>
      <c r="G82" s="310" t="str">
        <f>IF(NOMENCLATURE_GEN!G82="","",NOMENCLATURE_GEN!G82)</f>
        <v>Convoyeur navette double sens de remplissage de la benne acier</v>
      </c>
      <c r="H82" s="4">
        <f>IF(NOMENCLATURE_GEN!H82="","",NOMENCLATURE_GEN!H82)</f>
        <v>1000</v>
      </c>
      <c r="I82" s="4">
        <f>IF(NOMENCLATURE_GEN!I82="","",NOMENCLATURE_GEN!I82)</f>
        <v>3000</v>
      </c>
      <c r="J82" s="130">
        <f>IF(NOMENCLATURE_GEN!J82="","",NOMENCLATURE_GEN!J82)</f>
        <v>0</v>
      </c>
      <c r="K82" s="9" t="s">
        <v>503</v>
      </c>
      <c r="L82" s="10" t="s">
        <v>514</v>
      </c>
      <c r="M82" s="13" t="s">
        <v>534</v>
      </c>
      <c r="N82" s="16" t="s">
        <v>495</v>
      </c>
      <c r="O82" s="16"/>
      <c r="P82" s="14">
        <v>2.9</v>
      </c>
      <c r="Q82" s="16">
        <v>665</v>
      </c>
      <c r="R82" s="16">
        <v>31</v>
      </c>
      <c r="S82" s="16"/>
      <c r="T82" s="10" t="s">
        <v>599</v>
      </c>
      <c r="U82" s="16" t="s">
        <v>495</v>
      </c>
      <c r="V82" s="10" t="s">
        <v>594</v>
      </c>
      <c r="W82" s="16">
        <v>40</v>
      </c>
      <c r="X82" s="10" t="s">
        <v>621</v>
      </c>
      <c r="Y82" s="649">
        <v>45509</v>
      </c>
      <c r="Z82" s="17"/>
      <c r="AA82" s="7"/>
    </row>
    <row r="83" spans="2:27" s="3" customFormat="1" ht="39.950000000000003" hidden="1" customHeight="1">
      <c r="B83" s="129" t="str">
        <f>IF(NOMENCLATURE_GEN!B83="","",NOMENCLATURE_GEN!B83)</f>
        <v/>
      </c>
      <c r="C83" s="4" t="str">
        <f>IF(NOMENCLATURE_GEN!C83="","",NOMENCLATURE_GEN!C83)</f>
        <v/>
      </c>
      <c r="D83" s="4">
        <f>IF(NOMENCLATURE_GEN!D83="","",NOMENCLATURE_GEN!D83)</f>
        <v>166</v>
      </c>
      <c r="E83" s="4" t="str">
        <f ca="1">IF(NOMENCLATURE_GEN!E83="","",NOMENCLATURE_GEN!E83)</f>
        <v>A</v>
      </c>
      <c r="F83" s="4" t="str">
        <f>IF(NOMENCLATURE_GEN!F83="","",NOMENCLATURE_GEN!F83)</f>
        <v>CYC</v>
      </c>
      <c r="G83" s="310" t="str">
        <f>IF(NOMENCLATURE_GEN!G83="","",NOMENCLATURE_GEN!G83)</f>
        <v>Cyclone &amp; écluse pour table densimétrique  - Ventilateur</v>
      </c>
      <c r="H83" s="4" t="str">
        <f>IF(NOMENCLATURE_GEN!H83="","",NOMENCLATURE_GEN!H83)</f>
        <v/>
      </c>
      <c r="I83" s="4" t="str">
        <f>IF(NOMENCLATURE_GEN!I83="","",NOMENCLATURE_GEN!I83)</f>
        <v/>
      </c>
      <c r="J83" s="130" t="str">
        <f>IF(NOMENCLATURE_GEN!J83="","",NOMENCLATURE_GEN!J83)</f>
        <v/>
      </c>
      <c r="K83" s="9" t="s">
        <v>494</v>
      </c>
      <c r="L83" s="10" t="s">
        <v>513</v>
      </c>
      <c r="M83" s="16"/>
      <c r="N83" s="16"/>
      <c r="O83" s="16"/>
      <c r="P83" s="14"/>
      <c r="Q83" s="16"/>
      <c r="R83" s="16"/>
      <c r="S83" s="16"/>
      <c r="T83" s="16"/>
      <c r="U83" s="16"/>
      <c r="V83" s="16"/>
      <c r="W83" s="16"/>
      <c r="X83" s="16"/>
      <c r="Y83" s="647"/>
      <c r="Z83" s="17"/>
      <c r="AA83" s="7"/>
    </row>
    <row r="84" spans="2:27" s="3" customFormat="1" ht="39.950000000000003" hidden="1" customHeight="1">
      <c r="B84" s="129" t="str">
        <f>IF(NOMENCLATURE_GEN!B84="","",NOMENCLATURE_GEN!B84)</f>
        <v/>
      </c>
      <c r="C84" s="4" t="str">
        <f>IF(NOMENCLATURE_GEN!C84="","",NOMENCLATURE_GEN!C84)</f>
        <v/>
      </c>
      <c r="D84" s="4">
        <f>IF(NOMENCLATURE_GEN!D84="","",NOMENCLATURE_GEN!D84)</f>
        <v>166</v>
      </c>
      <c r="E84" s="4" t="str">
        <f ca="1">IF(NOMENCLATURE_GEN!E84="","",NOMENCLATURE_GEN!E84)</f>
        <v>B</v>
      </c>
      <c r="F84" s="4" t="str">
        <f>IF(NOMENCLATURE_GEN!F84="","",NOMENCLATURE_GEN!F84)</f>
        <v>CYC</v>
      </c>
      <c r="G84" s="310" t="str">
        <f>IF(NOMENCLATURE_GEN!G84="","",NOMENCLATURE_GEN!G84)</f>
        <v>Cyclone &amp; écluse pour table densimétrique - Ecluse</v>
      </c>
      <c r="H84" s="4" t="str">
        <f>IF(NOMENCLATURE_GEN!H84="","",NOMENCLATURE_GEN!H84)</f>
        <v/>
      </c>
      <c r="I84" s="4" t="str">
        <f>IF(NOMENCLATURE_GEN!I84="","",NOMENCLATURE_GEN!I84)</f>
        <v/>
      </c>
      <c r="J84" s="130" t="str">
        <f>IF(NOMENCLATURE_GEN!J84="","",NOMENCLATURE_GEN!J84)</f>
        <v/>
      </c>
      <c r="K84" s="9" t="s">
        <v>494</v>
      </c>
      <c r="L84" s="10" t="s">
        <v>513</v>
      </c>
      <c r="M84" s="16"/>
      <c r="N84" s="16"/>
      <c r="O84" s="16"/>
      <c r="P84" s="14"/>
      <c r="Q84" s="16"/>
      <c r="R84" s="16"/>
      <c r="S84" s="16"/>
      <c r="T84" s="16"/>
      <c r="U84" s="16"/>
      <c r="V84" s="16"/>
      <c r="W84" s="16"/>
      <c r="X84" s="16"/>
      <c r="Y84" s="647"/>
      <c r="Z84" s="17"/>
      <c r="AA84" s="7"/>
    </row>
    <row r="85" spans="2:27" s="3" customFormat="1" ht="39.950000000000003" hidden="1" customHeight="1">
      <c r="B85" s="129" t="str">
        <f>IF(NOMENCLATURE_GEN!B85="","",NOMENCLATURE_GEN!B85)</f>
        <v/>
      </c>
      <c r="C85" s="4" t="str">
        <f>IF(NOMENCLATURE_GEN!C85="","",NOMENCLATURE_GEN!C85)</f>
        <v/>
      </c>
      <c r="D85" s="4">
        <f>IF(NOMENCLATURE_GEN!D85="","",NOMENCLATURE_GEN!D85)</f>
        <v>166</v>
      </c>
      <c r="E85" s="4" t="str">
        <f ca="1">IF(NOMENCLATURE_GEN!E85="","",NOMENCLATURE_GEN!E85)</f>
        <v>C</v>
      </c>
      <c r="F85" s="4" t="str">
        <f>IF(NOMENCLATURE_GEN!F85="","",NOMENCLATURE_GEN!F85)</f>
        <v>CYC</v>
      </c>
      <c r="G85" s="310" t="str">
        <f>IF(NOMENCLATURE_GEN!G85="","",NOMENCLATURE_GEN!G85)</f>
        <v>Cyclone &amp; écluse pour table densimétrique - Clapet motorisé</v>
      </c>
      <c r="H85" s="4" t="str">
        <f>IF(NOMENCLATURE_GEN!H85="","",NOMENCLATURE_GEN!H85)</f>
        <v/>
      </c>
      <c r="I85" s="4" t="str">
        <f>IF(NOMENCLATURE_GEN!I85="","",NOMENCLATURE_GEN!I85)</f>
        <v/>
      </c>
      <c r="J85" s="130" t="str">
        <f>IF(NOMENCLATURE_GEN!J85="","",NOMENCLATURE_GEN!J85)</f>
        <v/>
      </c>
      <c r="K85" s="9" t="s">
        <v>494</v>
      </c>
      <c r="L85" s="10" t="s">
        <v>513</v>
      </c>
      <c r="M85" s="16"/>
      <c r="N85" s="16"/>
      <c r="O85" s="16"/>
      <c r="P85" s="14"/>
      <c r="Q85" s="16"/>
      <c r="R85" s="16"/>
      <c r="S85" s="16"/>
      <c r="T85" s="16"/>
      <c r="U85" s="16"/>
      <c r="V85" s="16"/>
      <c r="W85" s="16"/>
      <c r="X85" s="16"/>
      <c r="Y85" s="647"/>
      <c r="Z85" s="17"/>
      <c r="AA85" s="7"/>
    </row>
    <row r="86" spans="2:27" s="3" customFormat="1" ht="39.950000000000003" hidden="1" customHeight="1">
      <c r="B86" s="129" t="str">
        <f>IF(NOMENCLATURE_GEN!B86="","",NOMENCLATURE_GEN!B86)</f>
        <v/>
      </c>
      <c r="C86" s="4" t="str">
        <f>IF(NOMENCLATURE_GEN!C86="","",NOMENCLATURE_GEN!C86)</f>
        <v/>
      </c>
      <c r="D86" s="4">
        <f>IF(NOMENCLATURE_GEN!D86="","",NOMENCLATURE_GEN!D86)</f>
        <v>167</v>
      </c>
      <c r="E86" s="4" t="str">
        <f ca="1">IF(NOMENCLATURE_GEN!E86="","",NOMENCLATURE_GEN!E86)</f>
        <v>A</v>
      </c>
      <c r="F86" s="4" t="str">
        <f>IF(NOMENCLATURE_GEN!F86="","",NOMENCLATURE_GEN!F86)</f>
        <v>HYD</v>
      </c>
      <c r="G86" s="310" t="str">
        <f>IF(NOMENCLATURE_GEN!G86="","",NOMENCLATURE_GEN!G86)</f>
        <v>Centrale hydraulique de pilotage des FMA</v>
      </c>
      <c r="H86" s="4" t="str">
        <f>IF(NOMENCLATURE_GEN!H86="","",NOMENCLATURE_GEN!H86)</f>
        <v/>
      </c>
      <c r="I86" s="4" t="str">
        <f>IF(NOMENCLATURE_GEN!I86="","",NOMENCLATURE_GEN!I86)</f>
        <v/>
      </c>
      <c r="J86" s="130" t="str">
        <f>IF(NOMENCLATURE_GEN!J86="","",NOMENCLATURE_GEN!J86)</f>
        <v/>
      </c>
      <c r="K86" s="9" t="s">
        <v>494</v>
      </c>
      <c r="L86" s="10" t="s">
        <v>513</v>
      </c>
      <c r="M86" s="16"/>
      <c r="N86" s="16"/>
      <c r="O86" s="16"/>
      <c r="P86" s="14"/>
      <c r="Q86" s="16"/>
      <c r="R86" s="16"/>
      <c r="S86" s="16"/>
      <c r="T86" s="16"/>
      <c r="U86" s="16"/>
      <c r="V86" s="16"/>
      <c r="W86" s="16"/>
      <c r="X86" s="16"/>
      <c r="Y86" s="647"/>
      <c r="Z86" s="17"/>
      <c r="AA86" s="7"/>
    </row>
    <row r="87" spans="2:27" s="3" customFormat="1" ht="39.950000000000003" hidden="1" customHeight="1">
      <c r="B87" s="129" t="str">
        <f>IF(NOMENCLATURE_GEN!B87="","",NOMENCLATURE_GEN!B87)</f>
        <v>SUP</v>
      </c>
      <c r="C87" s="4" t="str">
        <f>IF(NOMENCLATURE_GEN!C87="","",NOMENCLATURE_GEN!C87)</f>
        <v/>
      </c>
      <c r="D87" s="4">
        <f>IF(NOMENCLATURE_GEN!D87="","",NOMENCLATURE_GEN!D87)</f>
        <v>168</v>
      </c>
      <c r="E87" s="4" t="str">
        <f ca="1">IF(NOMENCLATURE_GEN!E87="","",NOMENCLATURE_GEN!E87)</f>
        <v>A</v>
      </c>
      <c r="F87" s="4" t="str">
        <f>IF(NOMENCLATURE_GEN!F87="","",NOMENCLATURE_GEN!F87)</f>
        <v>FMA</v>
      </c>
      <c r="G87" s="310" t="str">
        <f>IF(NOMENCLATURE_GEN!G87="","",NOMENCLATURE_GEN!G87)</f>
        <v>Guide roue des FMA</v>
      </c>
      <c r="H87" s="4" t="str">
        <f>IF(NOMENCLATURE_GEN!H87="","",NOMENCLATURE_GEN!H87)</f>
        <v/>
      </c>
      <c r="I87" s="4" t="str">
        <f>IF(NOMENCLATURE_GEN!I87="","",NOMENCLATURE_GEN!I87)</f>
        <v/>
      </c>
      <c r="J87" s="130" t="str">
        <f>IF(NOMENCLATURE_GEN!J87="","",NOMENCLATURE_GEN!J87)</f>
        <v/>
      </c>
      <c r="K87" s="9" t="s">
        <v>494</v>
      </c>
      <c r="L87" s="10" t="s">
        <v>513</v>
      </c>
      <c r="M87" s="16"/>
      <c r="N87" s="16"/>
      <c r="O87" s="16"/>
      <c r="P87" s="14"/>
      <c r="Q87" s="16"/>
      <c r="R87" s="16"/>
      <c r="S87" s="16"/>
      <c r="T87" s="16"/>
      <c r="U87" s="16"/>
      <c r="V87" s="16"/>
      <c r="W87" s="16"/>
      <c r="X87" s="16"/>
      <c r="Y87" s="647"/>
      <c r="Z87" s="17"/>
      <c r="AA87" s="7"/>
    </row>
    <row r="88" spans="2:27" s="3" customFormat="1" ht="39.950000000000003" hidden="1" customHeight="1">
      <c r="B88" s="129" t="str">
        <f>IF(NOMENCLATURE_GEN!B88="","",NOMENCLATURE_GEN!B88)</f>
        <v>SUP</v>
      </c>
      <c r="C88" s="4" t="str">
        <f>IF(NOMENCLATURE_GEN!C88="","",NOMENCLATURE_GEN!C88)</f>
        <v/>
      </c>
      <c r="D88" s="4">
        <f>IF(NOMENCLATURE_GEN!D88="","",NOMENCLATURE_GEN!D88)</f>
        <v>169</v>
      </c>
      <c r="E88" s="4" t="str">
        <f ca="1">IF(NOMENCLATURE_GEN!E88="","",NOMENCLATURE_GEN!E88)</f>
        <v>A</v>
      </c>
      <c r="F88" s="4" t="str">
        <f>IF(NOMENCLATURE_GEN!F88="","",NOMENCLATURE_GEN!F88)</f>
        <v>FMA</v>
      </c>
      <c r="G88" s="310" t="str">
        <f>IF(NOMENCLATURE_GEN!G88="","",NOMENCLATURE_GEN!G88)</f>
        <v>Bloc roue des FMA</v>
      </c>
      <c r="H88" s="4" t="str">
        <f>IF(NOMENCLATURE_GEN!H88="","",NOMENCLATURE_GEN!H88)</f>
        <v/>
      </c>
      <c r="I88" s="4" t="str">
        <f>IF(NOMENCLATURE_GEN!I88="","",NOMENCLATURE_GEN!I88)</f>
        <v/>
      </c>
      <c r="J88" s="130" t="str">
        <f>IF(NOMENCLATURE_GEN!J88="","",NOMENCLATURE_GEN!J88)</f>
        <v/>
      </c>
      <c r="K88" s="9" t="s">
        <v>494</v>
      </c>
      <c r="L88" s="10" t="s">
        <v>513</v>
      </c>
      <c r="M88" s="16"/>
      <c r="N88" s="16"/>
      <c r="O88" s="16"/>
      <c r="P88" s="14"/>
      <c r="Q88" s="16"/>
      <c r="R88" s="16"/>
      <c r="S88" s="16"/>
      <c r="T88" s="16"/>
      <c r="U88" s="16"/>
      <c r="V88" s="16"/>
      <c r="W88" s="16"/>
      <c r="X88" s="16"/>
      <c r="Y88" s="647"/>
      <c r="Z88" s="17"/>
      <c r="AA88" s="7"/>
    </row>
    <row r="89" spans="2:27" s="3" customFormat="1" ht="39.950000000000003" hidden="1" customHeight="1">
      <c r="B89" s="129" t="str">
        <f>IF(NOMENCLATURE_GEN!B89="","",NOMENCLATURE_GEN!B89)</f>
        <v/>
      </c>
      <c r="C89" s="4" t="str">
        <f>IF(NOMENCLATURE_GEN!C89="","",NOMENCLATURE_GEN!C89)</f>
        <v/>
      </c>
      <c r="D89" s="4">
        <f>IF(NOMENCLATURE_GEN!D89="","",NOMENCLATURE_GEN!D89)</f>
        <v>170</v>
      </c>
      <c r="E89" s="4" t="str">
        <f ca="1">IF(NOMENCLATURE_GEN!E89="","",NOMENCLATURE_GEN!E89)</f>
        <v>A</v>
      </c>
      <c r="F89" s="4" t="str">
        <f>IF(NOMENCLATURE_GEN!F89="","",NOMENCLATURE_GEN!F89)</f>
        <v>COM</v>
      </c>
      <c r="G89" s="310" t="str">
        <f>IF(NOMENCLATURE_GEN!G89="","",NOMENCLATURE_GEN!G89)</f>
        <v>Compresseur + sécheur pour nettoyage trommel</v>
      </c>
      <c r="H89" s="4" t="str">
        <f>IF(NOMENCLATURE_GEN!H89="","",NOMENCLATURE_GEN!H89)</f>
        <v/>
      </c>
      <c r="I89" s="4" t="str">
        <f>IF(NOMENCLATURE_GEN!I89="","",NOMENCLATURE_GEN!I89)</f>
        <v/>
      </c>
      <c r="J89" s="130" t="str">
        <f>IF(NOMENCLATURE_GEN!J89="","",NOMENCLATURE_GEN!J89)</f>
        <v/>
      </c>
      <c r="K89" s="9" t="s">
        <v>494</v>
      </c>
      <c r="L89" s="10" t="s">
        <v>513</v>
      </c>
      <c r="M89" s="16"/>
      <c r="N89" s="16"/>
      <c r="O89" s="16"/>
      <c r="P89" s="14"/>
      <c r="Q89" s="16"/>
      <c r="R89" s="16"/>
      <c r="S89" s="16"/>
      <c r="T89" s="16"/>
      <c r="U89" s="16"/>
      <c r="V89" s="16"/>
      <c r="W89" s="16"/>
      <c r="X89" s="16"/>
      <c r="Y89" s="647"/>
      <c r="Z89" s="17"/>
      <c r="AA89" s="7"/>
    </row>
    <row r="90" spans="2:27" s="3" customFormat="1" ht="39.950000000000003" customHeight="1">
      <c r="B90" s="129" t="str">
        <f>IF(NOMENCLATURE_GEN!B90="","",NOMENCLATURE_GEN!B90)</f>
        <v/>
      </c>
      <c r="C90" s="4" t="str">
        <f>IF(NOMENCLATURE_GEN!C90="","",NOMENCLATURE_GEN!C90)</f>
        <v/>
      </c>
      <c r="D90" s="4">
        <f>IF(NOMENCLATURE_GEN!D90="","",NOMENCLATURE_GEN!D90)</f>
        <v>172</v>
      </c>
      <c r="E90" s="4" t="str">
        <f ca="1">IF(NOMENCLATURE_GEN!E90="","",NOMENCLATURE_GEN!E90)</f>
        <v>A</v>
      </c>
      <c r="F90" s="4" t="str">
        <f>IF(NOMENCLATURE_GEN!F90="","",NOMENCLATURE_GEN!F90)</f>
        <v>CBA</v>
      </c>
      <c r="G90" s="310" t="str">
        <f>IF(NOMENCLATURE_GEN!G90="","",NOMENCLATURE_GEN!G90)</f>
        <v>Convoyeur de reprise des légers 0-8mm by-pass (tampon ou métha)</v>
      </c>
      <c r="H90" s="4">
        <f>IF(NOMENCLATURE_GEN!H90="","",NOMENCLATURE_GEN!H90)</f>
        <v>1000</v>
      </c>
      <c r="I90" s="4">
        <f>IF(NOMENCLATURE_GEN!I90="","",NOMENCLATURE_GEN!I90)</f>
        <v>18250</v>
      </c>
      <c r="J90" s="130">
        <f>IF(NOMENCLATURE_GEN!J90="","",NOMENCLATURE_GEN!J90)</f>
        <v>12</v>
      </c>
      <c r="K90" s="9" t="s">
        <v>503</v>
      </c>
      <c r="L90" s="10" t="s">
        <v>510</v>
      </c>
      <c r="M90" s="13" t="s">
        <v>534</v>
      </c>
      <c r="N90" s="16" t="s">
        <v>495</v>
      </c>
      <c r="O90" s="10" t="s">
        <v>495</v>
      </c>
      <c r="P90" s="14">
        <v>7.3</v>
      </c>
      <c r="Q90" s="16">
        <v>1550</v>
      </c>
      <c r="R90" s="16">
        <v>38</v>
      </c>
      <c r="S90" s="16"/>
      <c r="T90" s="10" t="s">
        <v>612</v>
      </c>
      <c r="U90" s="16" t="s">
        <v>494</v>
      </c>
      <c r="V90" s="10" t="s">
        <v>594</v>
      </c>
      <c r="W90" s="16">
        <v>50</v>
      </c>
      <c r="X90" s="10" t="s">
        <v>606</v>
      </c>
      <c r="Y90" s="649">
        <v>45467</v>
      </c>
      <c r="Z90" s="17"/>
      <c r="AA90" s="7"/>
    </row>
    <row r="91" spans="2:27" s="3" customFormat="1" ht="39.950000000000003" customHeight="1">
      <c r="B91" s="129" t="str">
        <f>IF(NOMENCLATURE_GEN!B91="","",NOMENCLATURE_GEN!B91)</f>
        <v/>
      </c>
      <c r="C91" s="4" t="str">
        <f>IF(NOMENCLATURE_GEN!C91="","",NOMENCLATURE_GEN!C91)</f>
        <v/>
      </c>
      <c r="D91" s="4">
        <f>IF(NOMENCLATURE_GEN!D91="","",NOMENCLATURE_GEN!D91)</f>
        <v>173</v>
      </c>
      <c r="E91" s="4" t="str">
        <f ca="1">IF(NOMENCLATURE_GEN!E91="","",NOMENCLATURE_GEN!E91)</f>
        <v>A</v>
      </c>
      <c r="F91" s="4" t="str">
        <f>IF(NOMENCLATURE_GEN!F91="","",NOMENCLATURE_GEN!F91)</f>
        <v>CBA</v>
      </c>
      <c r="G91" s="310" t="str">
        <f>IF(NOMENCLATURE_GEN!G91="","",NOMENCLATURE_GEN!G91)</f>
        <v>Convoyeur de transfert des légers 0-8mm vers métha</v>
      </c>
      <c r="H91" s="4">
        <f>IF(NOMENCLATURE_GEN!H91="","",NOMENCLATURE_GEN!H91)</f>
        <v>1000</v>
      </c>
      <c r="I91" s="4">
        <f>IF(NOMENCLATURE_GEN!I91="","",NOMENCLATURE_GEN!I91)</f>
        <v>12750</v>
      </c>
      <c r="J91" s="130">
        <f>IF(NOMENCLATURE_GEN!J91="","",NOMENCLATURE_GEN!J91)</f>
        <v>18</v>
      </c>
      <c r="K91" s="9" t="s">
        <v>503</v>
      </c>
      <c r="L91" s="10" t="s">
        <v>507</v>
      </c>
      <c r="M91" s="13" t="s">
        <v>534</v>
      </c>
      <c r="N91" s="16" t="s">
        <v>495</v>
      </c>
      <c r="O91" s="16"/>
      <c r="P91" s="14">
        <v>4</v>
      </c>
      <c r="Q91" s="16">
        <v>590</v>
      </c>
      <c r="R91" s="16">
        <v>65</v>
      </c>
      <c r="S91" s="16"/>
      <c r="T91" s="10" t="s">
        <v>603</v>
      </c>
      <c r="U91" s="16" t="s">
        <v>494</v>
      </c>
      <c r="V91" s="10" t="s">
        <v>594</v>
      </c>
      <c r="W91" s="16">
        <v>40</v>
      </c>
      <c r="X91" s="10" t="s">
        <v>595</v>
      </c>
      <c r="Y91" s="649">
        <v>45467</v>
      </c>
      <c r="Z91" s="11"/>
      <c r="AA91" s="7"/>
    </row>
    <row r="92" spans="2:27" s="3" customFormat="1" ht="39.950000000000003" customHeight="1">
      <c r="B92" s="129" t="str">
        <f>IF(NOMENCLATURE_GEN!B92="","",NOMENCLATURE_GEN!B92)</f>
        <v/>
      </c>
      <c r="C92" s="4" t="str">
        <f>IF(NOMENCLATURE_GEN!C92="","",NOMENCLATURE_GEN!C92)</f>
        <v/>
      </c>
      <c r="D92" s="4">
        <f>IF(NOMENCLATURE_GEN!D92="","",NOMENCLATURE_GEN!D92)</f>
        <v>174</v>
      </c>
      <c r="E92" s="4" t="str">
        <f ca="1">IF(NOMENCLATURE_GEN!E92="","",NOMENCLATURE_GEN!E92)</f>
        <v>A</v>
      </c>
      <c r="F92" s="4" t="str">
        <f>IF(NOMENCLATURE_GEN!F92="","",NOMENCLATURE_GEN!F92)</f>
        <v>CBA</v>
      </c>
      <c r="G92" s="310" t="str">
        <f>IF(NOMENCLATURE_GEN!G92="","",NOMENCLATURE_GEN!G92)</f>
        <v>Convoyeur de transfert vers tampon (casier de stockage ou trémie tampon)</v>
      </c>
      <c r="H92" s="4">
        <f>IF(NOMENCLATURE_GEN!H92="","",NOMENCLATURE_GEN!H92)</f>
        <v>1000</v>
      </c>
      <c r="I92" s="4">
        <f>IF(NOMENCLATURE_GEN!I92="","",NOMENCLATURE_GEN!I92)</f>
        <v>7250</v>
      </c>
      <c r="J92" s="130">
        <f>IF(NOMENCLATURE_GEN!J92="","",NOMENCLATURE_GEN!J92)</f>
        <v>15</v>
      </c>
      <c r="K92" s="9" t="s">
        <v>503</v>
      </c>
      <c r="L92" s="10" t="s">
        <v>507</v>
      </c>
      <c r="M92" s="13" t="s">
        <v>534</v>
      </c>
      <c r="N92" s="16" t="s">
        <v>495</v>
      </c>
      <c r="O92" s="16"/>
      <c r="P92" s="14">
        <v>4</v>
      </c>
      <c r="Q92" s="16">
        <v>590</v>
      </c>
      <c r="R92" s="16">
        <v>65</v>
      </c>
      <c r="S92" s="16"/>
      <c r="T92" s="10" t="s">
        <v>604</v>
      </c>
      <c r="U92" s="16" t="s">
        <v>494</v>
      </c>
      <c r="V92" s="10" t="s">
        <v>594</v>
      </c>
      <c r="W92" s="16">
        <v>40</v>
      </c>
      <c r="X92" s="10" t="s">
        <v>595</v>
      </c>
      <c r="Y92" s="649">
        <v>45509</v>
      </c>
      <c r="Z92" s="11"/>
      <c r="AA92" s="7"/>
    </row>
    <row r="93" spans="2:27" s="3" customFormat="1" ht="39.950000000000003" hidden="1" customHeight="1">
      <c r="B93" s="129" t="str">
        <f>IF(NOMENCLATURE_GEN!B93="","",NOMENCLATURE_GEN!B93)</f>
        <v/>
      </c>
      <c r="C93" s="4" t="str">
        <f>IF(NOMENCLATURE_GEN!C93="","",NOMENCLATURE_GEN!C93)</f>
        <v/>
      </c>
      <c r="D93" s="4">
        <f>IF(NOMENCLATURE_GEN!D93="","",NOMENCLATURE_GEN!D93)</f>
        <v>175</v>
      </c>
      <c r="E93" s="4" t="str">
        <f ca="1">IF(NOMENCLATURE_GEN!E93="","",NOMENCLATURE_GEN!E93)</f>
        <v>A</v>
      </c>
      <c r="F93" s="4" t="str">
        <f>IF(NOMENCLATURE_GEN!F93="","",NOMENCLATURE_GEN!F93)</f>
        <v>GLT</v>
      </c>
      <c r="G93" s="310" t="str">
        <f>IF(NOMENCLATURE_GEN!G93="","",NOMENCLATURE_GEN!G93)</f>
        <v>Goulotte by-pass (casier ou trémie tampon)</v>
      </c>
      <c r="H93" s="4" t="str">
        <f>IF(NOMENCLATURE_GEN!H93="","",NOMENCLATURE_GEN!H93)</f>
        <v/>
      </c>
      <c r="I93" s="4" t="str">
        <f>IF(NOMENCLATURE_GEN!I93="","",NOMENCLATURE_GEN!I93)</f>
        <v/>
      </c>
      <c r="J93" s="130" t="str">
        <f>IF(NOMENCLATURE_GEN!J93="","",NOMENCLATURE_GEN!J93)</f>
        <v/>
      </c>
      <c r="K93" s="9" t="s">
        <v>494</v>
      </c>
      <c r="L93" s="10" t="s">
        <v>513</v>
      </c>
      <c r="M93" s="16"/>
      <c r="N93" s="16"/>
      <c r="O93" s="16"/>
      <c r="P93" s="14"/>
      <c r="Q93" s="16"/>
      <c r="R93" s="16"/>
      <c r="S93" s="16"/>
      <c r="T93" s="16"/>
      <c r="U93" s="16"/>
      <c r="V93" s="16"/>
      <c r="W93" s="16"/>
      <c r="X93" s="16"/>
      <c r="Y93" s="647"/>
      <c r="Z93" s="17"/>
      <c r="AA93" s="7"/>
    </row>
    <row r="94" spans="2:27" s="3" customFormat="1" ht="39.950000000000003" hidden="1" customHeight="1">
      <c r="B94" s="129" t="str">
        <f>IF(NOMENCLATURE_GEN!B94="","",NOMENCLATURE_GEN!B94)</f>
        <v>SUP</v>
      </c>
      <c r="C94" s="4" t="str">
        <f>IF(NOMENCLATURE_GEN!C94="","",NOMENCLATURE_GEN!C94)</f>
        <v/>
      </c>
      <c r="D94" s="4">
        <f>IF(NOMENCLATURE_GEN!D94="","",NOMENCLATURE_GEN!D94)</f>
        <v>176</v>
      </c>
      <c r="E94" s="4" t="str">
        <f ca="1">IF(NOMENCLATURE_GEN!E94="","",NOMENCLATURE_GEN!E94)</f>
        <v>A</v>
      </c>
      <c r="F94" s="4" t="str">
        <f>IF(NOMENCLATURE_GEN!F94="","",NOMENCLATURE_GEN!F94)</f>
        <v>TRE</v>
      </c>
      <c r="G94" s="310" t="str">
        <f>IF(NOMENCLATURE_GEN!G94="","",NOMENCLATURE_GEN!G94)</f>
        <v>Trémie de chargement</v>
      </c>
      <c r="H94" s="4" t="str">
        <f>IF(NOMENCLATURE_GEN!H94="","",NOMENCLATURE_GEN!H94)</f>
        <v/>
      </c>
      <c r="I94" s="4" t="str">
        <f>IF(NOMENCLATURE_GEN!I94="","",NOMENCLATURE_GEN!I94)</f>
        <v/>
      </c>
      <c r="J94" s="130" t="str">
        <f>IF(NOMENCLATURE_GEN!J94="","",NOMENCLATURE_GEN!J94)</f>
        <v/>
      </c>
      <c r="K94" s="9" t="s">
        <v>494</v>
      </c>
      <c r="L94" s="10" t="s">
        <v>513</v>
      </c>
      <c r="M94" s="16"/>
      <c r="N94" s="16"/>
      <c r="O94" s="16"/>
      <c r="P94" s="14"/>
      <c r="Q94" s="16"/>
      <c r="R94" s="16"/>
      <c r="S94" s="16"/>
      <c r="T94" s="16"/>
      <c r="U94" s="16"/>
      <c r="V94" s="16"/>
      <c r="W94" s="16"/>
      <c r="X94" s="16"/>
      <c r="Y94" s="647"/>
      <c r="Z94" s="17"/>
      <c r="AA94" s="7"/>
    </row>
    <row r="95" spans="2:27" s="3" customFormat="1" ht="39.950000000000003" customHeight="1">
      <c r="B95" s="129" t="str">
        <f>IF(NOMENCLATURE_GEN!B95="","",NOMENCLATURE_GEN!B95)</f>
        <v/>
      </c>
      <c r="C95" s="4" t="str">
        <f>IF(NOMENCLATURE_GEN!C95="","",NOMENCLATURE_GEN!C95)</f>
        <v/>
      </c>
      <c r="D95" s="4">
        <f>IF(NOMENCLATURE_GEN!D95="","",NOMENCLATURE_GEN!D95)</f>
        <v>177</v>
      </c>
      <c r="E95" s="4" t="str">
        <f ca="1">IF(NOMENCLATURE_GEN!E95="","",NOMENCLATURE_GEN!E95)</f>
        <v>A</v>
      </c>
      <c r="F95" s="4" t="str">
        <f>IF(NOMENCLATURE_GEN!F95="","",NOMENCLATURE_GEN!F95)</f>
        <v>EAB</v>
      </c>
      <c r="G95" s="310" t="str">
        <f>IF(NOMENCLATURE_GEN!G95="","",NOMENCLATURE_GEN!G95)</f>
        <v>Convoyeur alimentateur</v>
      </c>
      <c r="H95" s="4">
        <f>IF(NOMENCLATURE_GEN!H95="","",NOMENCLATURE_GEN!H95)</f>
        <v>1600</v>
      </c>
      <c r="I95" s="4">
        <f>IF(NOMENCLATURE_GEN!I95="","",NOMENCLATURE_GEN!I95)</f>
        <v>11500</v>
      </c>
      <c r="J95" s="130">
        <f>IF(NOMENCLATURE_GEN!J95="","",NOMENCLATURE_GEN!J95)</f>
        <v>8</v>
      </c>
      <c r="K95" s="9" t="s">
        <v>503</v>
      </c>
      <c r="L95" s="10" t="s">
        <v>515</v>
      </c>
      <c r="M95" s="13" t="s">
        <v>534</v>
      </c>
      <c r="N95" s="16" t="s">
        <v>495</v>
      </c>
      <c r="O95" s="16"/>
      <c r="P95" s="14">
        <v>1.1000000000000001</v>
      </c>
      <c r="Q95" s="16">
        <v>14600</v>
      </c>
      <c r="R95" s="16">
        <v>0.91</v>
      </c>
      <c r="S95" s="16"/>
      <c r="T95" s="10" t="s">
        <v>638</v>
      </c>
      <c r="U95" s="16" t="s">
        <v>494</v>
      </c>
      <c r="V95" s="10" t="s">
        <v>635</v>
      </c>
      <c r="W95" s="16">
        <v>100</v>
      </c>
      <c r="X95" s="10" t="s">
        <v>640</v>
      </c>
      <c r="Y95" s="649">
        <v>45509</v>
      </c>
      <c r="Z95" s="17" t="s">
        <v>516</v>
      </c>
      <c r="AA95" s="7"/>
    </row>
    <row r="96" spans="2:27" s="3" customFormat="1" ht="39.950000000000003" hidden="1" customHeight="1">
      <c r="B96" s="129" t="str">
        <f>IF(NOMENCLATURE_GEN!B96="","",NOMENCLATURE_GEN!B96)</f>
        <v/>
      </c>
      <c r="C96" s="4" t="str">
        <f>IF(NOMENCLATURE_GEN!C96="","",NOMENCLATURE_GEN!C96)</f>
        <v/>
      </c>
      <c r="D96" s="4">
        <f>IF(NOMENCLATURE_GEN!D96="","",NOMENCLATURE_GEN!D96)</f>
        <v>177</v>
      </c>
      <c r="E96" s="4" t="str">
        <f ca="1">IF(NOMENCLATURE_GEN!E96="","",NOMENCLATURE_GEN!E96)</f>
        <v>B</v>
      </c>
      <c r="F96" s="4" t="str">
        <f>IF(NOMENCLATURE_GEN!F96="","",NOMENCLATURE_GEN!F96)</f>
        <v>GRA</v>
      </c>
      <c r="G96" s="310" t="str">
        <f>IF(NOMENCLATURE_GEN!G96="","",NOMENCLATURE_GEN!G96)</f>
        <v>Convoyeur à bande et chaines - Centrale de graissage</v>
      </c>
      <c r="H96" s="4" t="str">
        <f>IF(NOMENCLATURE_GEN!H96="","",NOMENCLATURE_GEN!H96)</f>
        <v/>
      </c>
      <c r="I96" s="4" t="str">
        <f>IF(NOMENCLATURE_GEN!I96="","",NOMENCLATURE_GEN!I96)</f>
        <v/>
      </c>
      <c r="J96" s="130" t="str">
        <f>IF(NOMENCLATURE_GEN!J96="","",NOMENCLATURE_GEN!J96)</f>
        <v/>
      </c>
      <c r="K96" s="9" t="s">
        <v>494</v>
      </c>
      <c r="L96" s="10"/>
      <c r="M96" s="16"/>
      <c r="N96" s="16"/>
      <c r="O96" s="16"/>
      <c r="P96" s="14"/>
      <c r="Q96" s="16"/>
      <c r="R96" s="16"/>
      <c r="S96" s="16"/>
      <c r="T96" s="16"/>
      <c r="U96" s="16"/>
      <c r="V96" s="16"/>
      <c r="W96" s="16"/>
      <c r="X96" s="16"/>
      <c r="Y96" s="647"/>
      <c r="Z96" s="17"/>
      <c r="AA96" s="7"/>
    </row>
    <row r="97" spans="2:27" s="3" customFormat="1" ht="39.950000000000003" customHeight="1">
      <c r="B97" s="129" t="str">
        <f>IF(NOMENCLATURE_GEN!B97="","",NOMENCLATURE_GEN!B97)</f>
        <v/>
      </c>
      <c r="C97" s="4" t="str">
        <f>IF(NOMENCLATURE_GEN!C97="","",NOMENCLATURE_GEN!C97)</f>
        <v/>
      </c>
      <c r="D97" s="4">
        <f>IF(NOMENCLATURE_GEN!D97="","",NOMENCLATURE_GEN!D97)</f>
        <v>178</v>
      </c>
      <c r="E97" s="4" t="str">
        <f ca="1">IF(NOMENCLATURE_GEN!E97="","",NOMENCLATURE_GEN!E97)</f>
        <v>A</v>
      </c>
      <c r="F97" s="4" t="str">
        <f>IF(NOMENCLATURE_GEN!F97="","",NOMENCLATURE_GEN!F97)</f>
        <v>REG</v>
      </c>
      <c r="G97" s="310" t="str">
        <f>IF(NOMENCLATURE_GEN!G97="","",NOMENCLATURE_GEN!G97)</f>
        <v>Ebouleur</v>
      </c>
      <c r="H97" s="4">
        <f>IF(NOMENCLATURE_GEN!H97="","",NOMENCLATURE_GEN!H97)</f>
        <v>1600</v>
      </c>
      <c r="I97" s="4" t="str">
        <f>IF(NOMENCLATURE_GEN!I97="","",NOMENCLATURE_GEN!I97)</f>
        <v>Ø450</v>
      </c>
      <c r="J97" s="130" t="str">
        <f>IF(NOMENCLATURE_GEN!J97="","",NOMENCLATURE_GEN!J97)</f>
        <v/>
      </c>
      <c r="K97" s="9" t="s">
        <v>503</v>
      </c>
      <c r="L97" s="10" t="s">
        <v>510</v>
      </c>
      <c r="M97" s="13" t="s">
        <v>534</v>
      </c>
      <c r="N97" s="16" t="s">
        <v>495</v>
      </c>
      <c r="O97" s="16"/>
      <c r="P97" s="14">
        <v>7.3</v>
      </c>
      <c r="Q97" s="16">
        <v>1550</v>
      </c>
      <c r="R97" s="16">
        <v>30</v>
      </c>
      <c r="S97" s="16"/>
      <c r="T97" s="10" t="s">
        <v>616</v>
      </c>
      <c r="U97" s="16" t="s">
        <v>494</v>
      </c>
      <c r="V97" s="10" t="s">
        <v>614</v>
      </c>
      <c r="W97" s="16">
        <v>50</v>
      </c>
      <c r="X97" s="10" t="s">
        <v>615</v>
      </c>
      <c r="Y97" s="649">
        <v>45509</v>
      </c>
      <c r="Z97" s="17"/>
      <c r="AA97" s="7"/>
    </row>
    <row r="98" spans="2:27" s="3" customFormat="1" ht="39.950000000000003" customHeight="1">
      <c r="B98" s="129" t="str">
        <f>IF(NOMENCLATURE_GEN!B98="","",NOMENCLATURE_GEN!B98)</f>
        <v/>
      </c>
      <c r="C98" s="4" t="str">
        <f>IF(NOMENCLATURE_GEN!C98="","",NOMENCLATURE_GEN!C98)</f>
        <v/>
      </c>
      <c r="D98" s="4">
        <f>IF(NOMENCLATURE_GEN!D98="","",NOMENCLATURE_GEN!D98)</f>
        <v>178</v>
      </c>
      <c r="E98" s="4" t="str">
        <f ca="1">IF(NOMENCLATURE_GEN!E98="","",NOMENCLATURE_GEN!E98)</f>
        <v>B</v>
      </c>
      <c r="F98" s="4" t="str">
        <f>IF(NOMENCLATURE_GEN!F98="","",NOMENCLATURE_GEN!F98)</f>
        <v>REG</v>
      </c>
      <c r="G98" s="310" t="str">
        <f>IF(NOMENCLATURE_GEN!G98="","",NOMENCLATURE_GEN!G98)</f>
        <v>Ebouleur</v>
      </c>
      <c r="H98" s="4">
        <f>IF(NOMENCLATURE_GEN!H98="","",NOMENCLATURE_GEN!H98)</f>
        <v>1600</v>
      </c>
      <c r="I98" s="4" t="str">
        <f>IF(NOMENCLATURE_GEN!I98="","",NOMENCLATURE_GEN!I98)</f>
        <v>Ø450</v>
      </c>
      <c r="J98" s="130" t="str">
        <f>IF(NOMENCLATURE_GEN!J98="","",NOMENCLATURE_GEN!J98)</f>
        <v/>
      </c>
      <c r="K98" s="9" t="s">
        <v>512</v>
      </c>
      <c r="L98" s="10" t="s">
        <v>510</v>
      </c>
      <c r="M98" s="13" t="s">
        <v>534</v>
      </c>
      <c r="N98" s="16" t="s">
        <v>495</v>
      </c>
      <c r="O98" s="16"/>
      <c r="P98" s="14">
        <v>7.3</v>
      </c>
      <c r="Q98" s="16">
        <v>1550</v>
      </c>
      <c r="R98" s="16">
        <v>30</v>
      </c>
      <c r="S98" s="16"/>
      <c r="T98" s="10" t="s">
        <v>616</v>
      </c>
      <c r="U98" s="16" t="s">
        <v>494</v>
      </c>
      <c r="V98" s="10" t="s">
        <v>614</v>
      </c>
      <c r="W98" s="16">
        <v>50</v>
      </c>
      <c r="X98" s="10" t="s">
        <v>615</v>
      </c>
      <c r="Y98" s="649">
        <v>45509</v>
      </c>
      <c r="Z98" s="17"/>
      <c r="AA98" s="7"/>
    </row>
    <row r="99" spans="2:27" s="3" customFormat="1" ht="39.950000000000003" customHeight="1">
      <c r="B99" s="129" t="str">
        <f>IF(NOMENCLATURE_GEN!B99="","",NOMENCLATURE_GEN!B99)</f>
        <v/>
      </c>
      <c r="C99" s="4" t="str">
        <f>IF(NOMENCLATURE_GEN!C99="","",NOMENCLATURE_GEN!C99)</f>
        <v/>
      </c>
      <c r="D99" s="4">
        <f>IF(NOMENCLATURE_GEN!D99="","",NOMENCLATURE_GEN!D99)</f>
        <v>179</v>
      </c>
      <c r="E99" s="4" t="str">
        <f ca="1">IF(NOMENCLATURE_GEN!E99="","",NOMENCLATURE_GEN!E99)</f>
        <v>A</v>
      </c>
      <c r="F99" s="4" t="str">
        <f>IF(NOMENCLATURE_GEN!F99="","",NOMENCLATURE_GEN!F99)</f>
        <v>CBA</v>
      </c>
      <c r="G99" s="310" t="str">
        <f>IF(NOMENCLATURE_GEN!G99="","",NOMENCLATURE_GEN!G99)</f>
        <v>Convoyeur de transfert des légers 0-8mm vers métha</v>
      </c>
      <c r="H99" s="4">
        <f>IF(NOMENCLATURE_GEN!H99="","",NOMENCLATURE_GEN!H99)</f>
        <v>1000</v>
      </c>
      <c r="I99" s="4">
        <f>IF(NOMENCLATURE_GEN!I99="","",NOMENCLATURE_GEN!I99)</f>
        <v>18250</v>
      </c>
      <c r="J99" s="130">
        <f>IF(NOMENCLATURE_GEN!J99="","",NOMENCLATURE_GEN!J99)</f>
        <v>9</v>
      </c>
      <c r="K99" s="9" t="s">
        <v>503</v>
      </c>
      <c r="L99" s="10" t="s">
        <v>510</v>
      </c>
      <c r="M99" s="13" t="s">
        <v>534</v>
      </c>
      <c r="N99" s="16" t="s">
        <v>495</v>
      </c>
      <c r="O99" s="16"/>
      <c r="P99" s="14">
        <v>7.3</v>
      </c>
      <c r="Q99" s="16">
        <v>1550</v>
      </c>
      <c r="R99" s="16">
        <v>38</v>
      </c>
      <c r="S99" s="16"/>
      <c r="T99" s="10" t="s">
        <v>613</v>
      </c>
      <c r="U99" s="16" t="s">
        <v>494</v>
      </c>
      <c r="V99" s="10" t="s">
        <v>594</v>
      </c>
      <c r="W99" s="16">
        <v>50</v>
      </c>
      <c r="X99" s="10" t="s">
        <v>606</v>
      </c>
      <c r="Y99" s="649">
        <v>45488</v>
      </c>
      <c r="Z99" s="17"/>
      <c r="AA99" s="7"/>
    </row>
    <row r="100" spans="2:27" s="3" customFormat="1" ht="39.950000000000003" customHeight="1">
      <c r="B100" s="129" t="str">
        <f>IF(NOMENCLATURE_GEN!B100="","",NOMENCLATURE_GEN!B100)</f>
        <v/>
      </c>
      <c r="C100" s="4" t="str">
        <f>IF(NOMENCLATURE_GEN!C100="","",NOMENCLATURE_GEN!C100)</f>
        <v/>
      </c>
      <c r="D100" s="4">
        <f>IF(NOMENCLATURE_GEN!D100="","",NOMENCLATURE_GEN!D100)</f>
        <v>180</v>
      </c>
      <c r="E100" s="4" t="str">
        <f ca="1">IF(NOMENCLATURE_GEN!E100="","",NOMENCLATURE_GEN!E100)</f>
        <v>A</v>
      </c>
      <c r="F100" s="4" t="str">
        <f>IF(NOMENCLATURE_GEN!F100="","",NOMENCLATURE_GEN!F100)</f>
        <v>CBA</v>
      </c>
      <c r="G100" s="310" t="str">
        <f>IF(NOMENCLATURE_GEN!G100="","",NOMENCLATURE_GEN!G100)</f>
        <v>Convoyeur de transfert des légers 0-8mm vers métha</v>
      </c>
      <c r="H100" s="4">
        <f>IF(NOMENCLATURE_GEN!H100="","",NOMENCLATURE_GEN!H100)</f>
        <v>1000</v>
      </c>
      <c r="I100" s="4">
        <f>IF(NOMENCLATURE_GEN!I100="","",NOMENCLATURE_GEN!I100)</f>
        <v>6250</v>
      </c>
      <c r="J100" s="130">
        <f>IF(NOMENCLATURE_GEN!J100="","",NOMENCLATURE_GEN!J100)</f>
        <v>18</v>
      </c>
      <c r="K100" s="9" t="s">
        <v>503</v>
      </c>
      <c r="L100" s="10" t="s">
        <v>507</v>
      </c>
      <c r="M100" s="13" t="s">
        <v>534</v>
      </c>
      <c r="N100" s="16" t="s">
        <v>495</v>
      </c>
      <c r="O100" s="16"/>
      <c r="P100" s="14">
        <v>4</v>
      </c>
      <c r="Q100" s="16">
        <v>590</v>
      </c>
      <c r="R100" s="16">
        <v>65</v>
      </c>
      <c r="S100" s="16"/>
      <c r="T100" s="10" t="s">
        <v>605</v>
      </c>
      <c r="U100" s="16" t="s">
        <v>494</v>
      </c>
      <c r="V100" s="10" t="s">
        <v>594</v>
      </c>
      <c r="W100" s="16">
        <v>40</v>
      </c>
      <c r="X100" s="10" t="s">
        <v>595</v>
      </c>
      <c r="Y100" s="649">
        <v>45467</v>
      </c>
      <c r="Z100" s="11"/>
      <c r="AA100" s="7"/>
    </row>
    <row r="101" spans="2:27" s="3" customFormat="1" ht="39.950000000000003" customHeight="1">
      <c r="B101" s="129" t="str">
        <f>IF(NOMENCLATURE_GEN!B101="","",NOMENCLATURE_GEN!B101)</f>
        <v/>
      </c>
      <c r="C101" s="4" t="str">
        <f>IF(NOMENCLATURE_GEN!C101="","",NOMENCLATURE_GEN!C101)</f>
        <v/>
      </c>
      <c r="D101" s="4">
        <f>IF(NOMENCLATURE_GEN!D101="","",NOMENCLATURE_GEN!D101)</f>
        <v>181</v>
      </c>
      <c r="E101" s="4" t="str">
        <f ca="1">IF(NOMENCLATURE_GEN!E101="","",NOMENCLATURE_GEN!E101)</f>
        <v>A</v>
      </c>
      <c r="F101" s="4" t="str">
        <f>IF(NOMENCLATURE_GEN!F101="","",NOMENCLATURE_GEN!F101)</f>
        <v>CBA</v>
      </c>
      <c r="G101" s="310" t="str">
        <f>IF(NOMENCLATURE_GEN!G101="","",NOMENCLATURE_GEN!G101)</f>
        <v>Convoyeur de transfert des légers 0-8mm vers métha</v>
      </c>
      <c r="H101" s="4">
        <f>IF(NOMENCLATURE_GEN!H101="","",NOMENCLATURE_GEN!H101)</f>
        <v>1000</v>
      </c>
      <c r="I101" s="4">
        <f>IF(NOMENCLATURE_GEN!I101="","",NOMENCLATURE_GEN!I101)</f>
        <v>22250</v>
      </c>
      <c r="J101" s="130">
        <f>IF(NOMENCLATURE_GEN!J101="","",NOMENCLATURE_GEN!J101)</f>
        <v>19</v>
      </c>
      <c r="K101" s="9" t="s">
        <v>503</v>
      </c>
      <c r="L101" s="10" t="s">
        <v>510</v>
      </c>
      <c r="M101" s="13" t="s">
        <v>534</v>
      </c>
      <c r="N101" s="16" t="s">
        <v>495</v>
      </c>
      <c r="O101" s="16"/>
      <c r="P101" s="14">
        <v>7.3</v>
      </c>
      <c r="Q101" s="16">
        <v>1550</v>
      </c>
      <c r="R101" s="16">
        <v>33</v>
      </c>
      <c r="S101" s="16"/>
      <c r="T101" s="10" t="s">
        <v>602</v>
      </c>
      <c r="U101" s="16" t="s">
        <v>494</v>
      </c>
      <c r="V101" s="10" t="s">
        <v>594</v>
      </c>
      <c r="W101" s="16">
        <v>50</v>
      </c>
      <c r="X101" s="10" t="s">
        <v>606</v>
      </c>
      <c r="Y101" s="649">
        <v>45467</v>
      </c>
      <c r="Z101" s="17"/>
      <c r="AA101" s="7"/>
    </row>
    <row r="102" spans="2:27" s="3" customFormat="1" ht="39.950000000000003" customHeight="1">
      <c r="B102" s="129" t="str">
        <f>IF(NOMENCLATURE_GEN!B102="","",NOMENCLATURE_GEN!B102)</f>
        <v/>
      </c>
      <c r="C102" s="4" t="str">
        <f>IF(NOMENCLATURE_GEN!C102="","",NOMENCLATURE_GEN!C102)</f>
        <v/>
      </c>
      <c r="D102" s="4">
        <f>IF(NOMENCLATURE_GEN!D102="","",NOMENCLATURE_GEN!D102)</f>
        <v>182</v>
      </c>
      <c r="E102" s="4" t="str">
        <f ca="1">IF(NOMENCLATURE_GEN!E102="","",NOMENCLATURE_GEN!E102)</f>
        <v>A</v>
      </c>
      <c r="F102" s="4" t="str">
        <f>IF(NOMENCLATURE_GEN!F102="","",NOMENCLATURE_GEN!F102)</f>
        <v>NAV</v>
      </c>
      <c r="G102" s="310" t="str">
        <f>IF(NOMENCLATURE_GEN!G102="","",NOMENCLATURE_GEN!G102)</f>
        <v>Système navette pour convoyeur mobile remplissage REPERE 165 benne métaux</v>
      </c>
      <c r="H102" s="4" t="str">
        <f>IF(NOMENCLATURE_GEN!H102="","",NOMENCLATURE_GEN!H102)</f>
        <v/>
      </c>
      <c r="I102" s="4" t="str">
        <f>IF(NOMENCLATURE_GEN!I102="","",NOMENCLATURE_GEN!I102)</f>
        <v/>
      </c>
      <c r="J102" s="130" t="str">
        <f>IF(NOMENCLATURE_GEN!J102="","",NOMENCLATURE_GEN!J102)</f>
        <v/>
      </c>
      <c r="K102" s="9" t="s">
        <v>503</v>
      </c>
      <c r="L102" s="10" t="s">
        <v>513</v>
      </c>
      <c r="M102" s="13" t="s">
        <v>534</v>
      </c>
      <c r="N102" s="16" t="s">
        <v>495</v>
      </c>
      <c r="O102" s="10" t="s">
        <v>495</v>
      </c>
      <c r="P102" s="14">
        <v>1.1200000000000001</v>
      </c>
      <c r="Q102" s="16">
        <v>665</v>
      </c>
      <c r="R102" s="16">
        <v>52</v>
      </c>
      <c r="S102" s="16"/>
      <c r="T102" s="16" t="s">
        <v>634</v>
      </c>
      <c r="U102" s="16" t="s">
        <v>494</v>
      </c>
      <c r="V102" s="10" t="s">
        <v>635</v>
      </c>
      <c r="W102" s="16">
        <v>35</v>
      </c>
      <c r="X102" s="10" t="s">
        <v>636</v>
      </c>
      <c r="Y102" s="649">
        <v>45509</v>
      </c>
      <c r="Z102" s="17" t="s">
        <v>511</v>
      </c>
      <c r="AA102" s="7"/>
    </row>
    <row r="103" spans="2:27" s="3" customFormat="1" ht="39.950000000000003" hidden="1" customHeight="1">
      <c r="B103" s="129" t="str">
        <f>IF(NOMENCLATURE_GEN!B103="","",NOMENCLATURE_GEN!B103)</f>
        <v/>
      </c>
      <c r="C103" s="4" t="str">
        <f>IF(NOMENCLATURE_GEN!C103="","",NOMENCLATURE_GEN!C103)</f>
        <v/>
      </c>
      <c r="D103" s="4">
        <f>IF(NOMENCLATURE_GEN!D103="","",NOMENCLATURE_GEN!D103)</f>
        <v>184</v>
      </c>
      <c r="E103" s="4" t="str">
        <f ca="1">IF(NOMENCLATURE_GEN!E103="","",NOMENCLATURE_GEN!E103)</f>
        <v>A</v>
      </c>
      <c r="F103" s="4" t="str">
        <f>IF(NOMENCLATURE_GEN!F103="","",NOMENCLATURE_GEN!F103)</f>
        <v>CHA</v>
      </c>
      <c r="G103" s="310" t="str">
        <f>IF(NOMENCLATURE_GEN!G103="","",NOMENCLATURE_GEN!G103)</f>
        <v>Charpente support trommel primaire &amp; passerelle d'accès maintenance</v>
      </c>
      <c r="H103" s="4" t="str">
        <f>IF(NOMENCLATURE_GEN!H103="","",NOMENCLATURE_GEN!H103)</f>
        <v/>
      </c>
      <c r="I103" s="4" t="str">
        <f>IF(NOMENCLATURE_GEN!I103="","",NOMENCLATURE_GEN!I103)</f>
        <v/>
      </c>
      <c r="J103" s="130" t="str">
        <f>IF(NOMENCLATURE_GEN!J103="","",NOMENCLATURE_GEN!J103)</f>
        <v/>
      </c>
      <c r="K103" s="9" t="s">
        <v>494</v>
      </c>
      <c r="L103" s="10" t="s">
        <v>513</v>
      </c>
      <c r="M103" s="16"/>
      <c r="N103" s="16"/>
      <c r="O103" s="16"/>
      <c r="P103" s="14"/>
      <c r="Q103" s="16"/>
      <c r="R103" s="16"/>
      <c r="S103" s="16"/>
      <c r="T103" s="16"/>
      <c r="U103" s="16"/>
      <c r="V103" s="16"/>
      <c r="W103" s="16"/>
      <c r="X103" s="16"/>
      <c r="Y103" s="647"/>
      <c r="Z103" s="17"/>
      <c r="AA103" s="7"/>
    </row>
    <row r="104" spans="2:27" s="3" customFormat="1" ht="39.950000000000003" hidden="1" customHeight="1">
      <c r="B104" s="129" t="str">
        <f>IF(NOMENCLATURE_GEN!B104="","",NOMENCLATURE_GEN!B104)</f>
        <v/>
      </c>
      <c r="C104" s="4" t="str">
        <f>IF(NOMENCLATURE_GEN!C104="","",NOMENCLATURE_GEN!C104)</f>
        <v/>
      </c>
      <c r="D104" s="4">
        <f>IF(NOMENCLATURE_GEN!D104="","",NOMENCLATURE_GEN!D104)</f>
        <v>185</v>
      </c>
      <c r="E104" s="4" t="str">
        <f ca="1">IF(NOMENCLATURE_GEN!E104="","",NOMENCLATURE_GEN!E104)</f>
        <v>A</v>
      </c>
      <c r="F104" s="4" t="str">
        <f>IF(NOMENCLATURE_GEN!F104="","",NOMENCLATURE_GEN!F104)</f>
        <v>CHA</v>
      </c>
      <c r="G104" s="310" t="str">
        <f>IF(NOMENCLATURE_GEN!G104="","",NOMENCLATURE_GEN!G104)</f>
        <v>Charpente support trommel secondaire &amp; passerelle d'accès maintenance</v>
      </c>
      <c r="H104" s="4" t="str">
        <f>IF(NOMENCLATURE_GEN!H104="","",NOMENCLATURE_GEN!H104)</f>
        <v/>
      </c>
      <c r="I104" s="4" t="str">
        <f>IF(NOMENCLATURE_GEN!I104="","",NOMENCLATURE_GEN!I104)</f>
        <v/>
      </c>
      <c r="J104" s="130" t="str">
        <f>IF(NOMENCLATURE_GEN!J104="","",NOMENCLATURE_GEN!J104)</f>
        <v/>
      </c>
      <c r="K104" s="9" t="s">
        <v>494</v>
      </c>
      <c r="L104" s="10" t="s">
        <v>513</v>
      </c>
      <c r="M104" s="16"/>
      <c r="N104" s="16"/>
      <c r="O104" s="16"/>
      <c r="P104" s="14"/>
      <c r="Q104" s="16"/>
      <c r="R104" s="16"/>
      <c r="S104" s="16"/>
      <c r="T104" s="16"/>
      <c r="U104" s="16"/>
      <c r="V104" s="16"/>
      <c r="W104" s="16"/>
      <c r="X104" s="16"/>
      <c r="Y104" s="647"/>
      <c r="Z104" s="17"/>
      <c r="AA104" s="7"/>
    </row>
    <row r="105" spans="2:27" s="3" customFormat="1" ht="39.950000000000003" hidden="1" customHeight="1">
      <c r="B105" s="129" t="str">
        <f>IF(NOMENCLATURE_GEN!B105="","",NOMENCLATURE_GEN!B105)</f>
        <v/>
      </c>
      <c r="C105" s="4" t="str">
        <f>IF(NOMENCLATURE_GEN!C105="","",NOMENCLATURE_GEN!C105)</f>
        <v/>
      </c>
      <c r="D105" s="4">
        <f>IF(NOMENCLATURE_GEN!D105="","",NOMENCLATURE_GEN!D105)</f>
        <v>186</v>
      </c>
      <c r="E105" s="4" t="str">
        <f ca="1">IF(NOMENCLATURE_GEN!E105="","",NOMENCLATURE_GEN!E105)</f>
        <v>A</v>
      </c>
      <c r="F105" s="4" t="str">
        <f>IF(NOMENCLATURE_GEN!F105="","",NOMENCLATURE_GEN!F105)</f>
        <v>CHA</v>
      </c>
      <c r="G105" s="310" t="str">
        <f>IF(NOMENCLATURE_GEN!G105="","",NOMENCLATURE_GEN!G105)</f>
        <v>Plateforme accès maintenancepour les SNF</v>
      </c>
      <c r="H105" s="4">
        <f>IF(NOMENCLATURE_GEN!H105="","",NOMENCLATURE_GEN!H105)</f>
        <v>12000</v>
      </c>
      <c r="I105" s="4">
        <f>IF(NOMENCLATURE_GEN!I105="","",NOMENCLATURE_GEN!I105)</f>
        <v>10000</v>
      </c>
      <c r="J105" s="130" t="str">
        <f>IF(NOMENCLATURE_GEN!J105="","",NOMENCLATURE_GEN!J105)</f>
        <v/>
      </c>
      <c r="K105" s="9" t="s">
        <v>494</v>
      </c>
      <c r="L105" s="10" t="s">
        <v>513</v>
      </c>
      <c r="M105" s="16"/>
      <c r="N105" s="16"/>
      <c r="O105" s="16"/>
      <c r="P105" s="14"/>
      <c r="Q105" s="16"/>
      <c r="R105" s="16"/>
      <c r="S105" s="16"/>
      <c r="T105" s="16"/>
      <c r="U105" s="16"/>
      <c r="V105" s="16"/>
      <c r="W105" s="16"/>
      <c r="X105" s="16"/>
      <c r="Y105" s="647"/>
      <c r="Z105" s="17"/>
      <c r="AA105" s="7"/>
    </row>
    <row r="106" spans="2:27" s="3" customFormat="1" ht="39.950000000000003" hidden="1" customHeight="1">
      <c r="B106" s="129" t="str">
        <f>IF(NOMENCLATURE_GEN!B106="","",NOMENCLATURE_GEN!B106)</f>
        <v/>
      </c>
      <c r="C106" s="4" t="str">
        <f>IF(NOMENCLATURE_GEN!C106="","",NOMENCLATURE_GEN!C106)</f>
        <v/>
      </c>
      <c r="D106" s="4">
        <f>IF(NOMENCLATURE_GEN!D106="","",NOMENCLATURE_GEN!D106)</f>
        <v>187</v>
      </c>
      <c r="E106" s="4" t="str">
        <f ca="1">IF(NOMENCLATURE_GEN!E106="","",NOMENCLATURE_GEN!E106)</f>
        <v>A</v>
      </c>
      <c r="F106" s="4" t="str">
        <f>IF(NOMENCLATURE_GEN!F106="","",NOMENCLATURE_GEN!F106)</f>
        <v>CHA</v>
      </c>
      <c r="G106" s="310" t="str">
        <f>IF(NOMENCLATURE_GEN!G106="","",NOMENCLATURE_GEN!G106)</f>
        <v>Charpente support pour OVB y compris goulotte inox et protection</v>
      </c>
      <c r="H106" s="4" t="str">
        <f>IF(NOMENCLATURE_GEN!H106="","",NOMENCLATURE_GEN!H106)</f>
        <v/>
      </c>
      <c r="I106" s="4" t="str">
        <f>IF(NOMENCLATURE_GEN!I106="","",NOMENCLATURE_GEN!I106)</f>
        <v/>
      </c>
      <c r="J106" s="130" t="str">
        <f>IF(NOMENCLATURE_GEN!J106="","",NOMENCLATURE_GEN!J106)</f>
        <v/>
      </c>
      <c r="K106" s="9" t="s">
        <v>494</v>
      </c>
      <c r="L106" s="10" t="s">
        <v>513</v>
      </c>
      <c r="M106" s="16"/>
      <c r="N106" s="16"/>
      <c r="O106" s="16"/>
      <c r="P106" s="14"/>
      <c r="Q106" s="16"/>
      <c r="R106" s="16"/>
      <c r="S106" s="16"/>
      <c r="T106" s="16"/>
      <c r="U106" s="16"/>
      <c r="V106" s="16"/>
      <c r="W106" s="16"/>
      <c r="X106" s="16"/>
      <c r="Y106" s="647"/>
      <c r="Z106" s="17"/>
      <c r="AA106" s="7"/>
    </row>
    <row r="107" spans="2:27" s="3" customFormat="1" ht="39.950000000000003" hidden="1" customHeight="1">
      <c r="B107" s="129" t="str">
        <f>IF(NOMENCLATURE_GEN!B107="","",NOMENCLATURE_GEN!B107)</f>
        <v/>
      </c>
      <c r="C107" s="4" t="str">
        <f>IF(NOMENCLATURE_GEN!C107="","",NOMENCLATURE_GEN!C107)</f>
        <v/>
      </c>
      <c r="D107" s="4">
        <f>IF(NOMENCLATURE_GEN!D107="","",NOMENCLATURE_GEN!D107)</f>
        <v>188</v>
      </c>
      <c r="E107" s="4" t="str">
        <f ca="1">IF(NOMENCLATURE_GEN!E107="","",NOMENCLATURE_GEN!E107)</f>
        <v>A</v>
      </c>
      <c r="F107" s="4" t="str">
        <f>IF(NOMENCLATURE_GEN!F107="","",NOMENCLATURE_GEN!F107)</f>
        <v>CHA</v>
      </c>
      <c r="G107" s="310" t="str">
        <f>IF(NOMENCLATURE_GEN!G107="","",NOMENCLATURE_GEN!G107)</f>
        <v>Plateforme accès maintenance NIV1 pour balistiques &amp; crible trampoline</v>
      </c>
      <c r="H107" s="4">
        <f>IF(NOMENCLATURE_GEN!H107="","",NOMENCLATURE_GEN!H107)</f>
        <v>5200</v>
      </c>
      <c r="I107" s="4">
        <f>IF(NOMENCLATURE_GEN!I107="","",NOMENCLATURE_GEN!I107)</f>
        <v>26500</v>
      </c>
      <c r="J107" s="130" t="str">
        <f>IF(NOMENCLATURE_GEN!J107="","",NOMENCLATURE_GEN!J107)</f>
        <v/>
      </c>
      <c r="K107" s="9" t="s">
        <v>494</v>
      </c>
      <c r="L107" s="10" t="s">
        <v>513</v>
      </c>
      <c r="M107" s="16"/>
      <c r="N107" s="16"/>
      <c r="O107" s="16"/>
      <c r="P107" s="14"/>
      <c r="Q107" s="16"/>
      <c r="R107" s="16"/>
      <c r="S107" s="16"/>
      <c r="T107" s="16"/>
      <c r="U107" s="16"/>
      <c r="V107" s="16"/>
      <c r="W107" s="16"/>
      <c r="X107" s="16"/>
      <c r="Y107" s="647"/>
      <c r="Z107" s="17"/>
      <c r="AA107" s="7"/>
    </row>
    <row r="108" spans="2:27" s="3" customFormat="1" ht="39.950000000000003" hidden="1" customHeight="1">
      <c r="B108" s="129" t="str">
        <f>IF(NOMENCLATURE_GEN!B108="","",NOMENCLATURE_GEN!B108)</f>
        <v/>
      </c>
      <c r="C108" s="4" t="str">
        <f>IF(NOMENCLATURE_GEN!C108="","",NOMENCLATURE_GEN!C108)</f>
        <v/>
      </c>
      <c r="D108" s="4">
        <f>IF(NOMENCLATURE_GEN!D108="","",NOMENCLATURE_GEN!D108)</f>
        <v>189</v>
      </c>
      <c r="E108" s="4" t="str">
        <f ca="1">IF(NOMENCLATURE_GEN!E108="","",NOMENCLATURE_GEN!E108)</f>
        <v>A</v>
      </c>
      <c r="F108" s="4" t="str">
        <f>IF(NOMENCLATURE_GEN!F108="","",NOMENCLATURE_GEN!F108)</f>
        <v>CHA</v>
      </c>
      <c r="G108" s="310" t="str">
        <f>IF(NOMENCLATURE_GEN!G108="","",NOMENCLATURE_GEN!G108)</f>
        <v>Plateforme accès maintenance NIV2 pour balistiques &amp; crible trampoline</v>
      </c>
      <c r="H108" s="4">
        <f>IF(NOMENCLATURE_GEN!H108="","",NOMENCLATURE_GEN!H108)</f>
        <v>5200</v>
      </c>
      <c r="I108" s="4">
        <f>IF(NOMENCLATURE_GEN!I108="","",NOMENCLATURE_GEN!I108)</f>
        <v>23000</v>
      </c>
      <c r="J108" s="130" t="str">
        <f>IF(NOMENCLATURE_GEN!J108="","",NOMENCLATURE_GEN!J108)</f>
        <v/>
      </c>
      <c r="K108" s="9" t="s">
        <v>494</v>
      </c>
      <c r="L108" s="10" t="s">
        <v>513</v>
      </c>
      <c r="M108" s="16"/>
      <c r="N108" s="16"/>
      <c r="O108" s="16"/>
      <c r="P108" s="14"/>
      <c r="Q108" s="16"/>
      <c r="R108" s="16"/>
      <c r="S108" s="16"/>
      <c r="T108" s="16"/>
      <c r="U108" s="16"/>
      <c r="V108" s="16"/>
      <c r="W108" s="16"/>
      <c r="X108" s="16"/>
      <c r="Y108" s="647"/>
      <c r="Z108" s="17"/>
      <c r="AA108" s="7"/>
    </row>
    <row r="109" spans="2:27" s="3" customFormat="1" ht="39.950000000000003" hidden="1" customHeight="1">
      <c r="B109" s="129" t="str">
        <f>IF(NOMENCLATURE_GEN!B109="","",NOMENCLATURE_GEN!B109)</f>
        <v/>
      </c>
      <c r="C109" s="4" t="str">
        <f>IF(NOMENCLATURE_GEN!C109="","",NOMENCLATURE_GEN!C109)</f>
        <v/>
      </c>
      <c r="D109" s="4">
        <f>IF(NOMENCLATURE_GEN!D109="","",NOMENCLATURE_GEN!D109)</f>
        <v>190</v>
      </c>
      <c r="E109" s="4" t="str">
        <f ca="1">IF(NOMENCLATURE_GEN!E109="","",NOMENCLATURE_GEN!E109)</f>
        <v>A</v>
      </c>
      <c r="F109" s="4" t="str">
        <f>IF(NOMENCLATURE_GEN!F109="","",NOMENCLATURE_GEN!F109)</f>
        <v>CHA</v>
      </c>
      <c r="G109" s="310" t="str">
        <f>IF(NOMENCLATURE_GEN!G109="","",NOMENCLATURE_GEN!G109)</f>
        <v>Plateforme accès maintenance pour crible trampoline + charpente</v>
      </c>
      <c r="H109" s="4" t="str">
        <f>IF(NOMENCLATURE_GEN!H109="","",NOMENCLATURE_GEN!H109)</f>
        <v/>
      </c>
      <c r="I109" s="4" t="str">
        <f>IF(NOMENCLATURE_GEN!I109="","",NOMENCLATURE_GEN!I109)</f>
        <v/>
      </c>
      <c r="J109" s="130" t="str">
        <f>IF(NOMENCLATURE_GEN!J109="","",NOMENCLATURE_GEN!J109)</f>
        <v/>
      </c>
      <c r="K109" s="9" t="s">
        <v>494</v>
      </c>
      <c r="L109" s="10" t="s">
        <v>513</v>
      </c>
      <c r="M109" s="16"/>
      <c r="N109" s="16"/>
      <c r="O109" s="16"/>
      <c r="P109" s="14"/>
      <c r="Q109" s="16"/>
      <c r="R109" s="16"/>
      <c r="S109" s="16"/>
      <c r="T109" s="16"/>
      <c r="U109" s="16"/>
      <c r="V109" s="16"/>
      <c r="W109" s="16"/>
      <c r="X109" s="16"/>
      <c r="Y109" s="647"/>
      <c r="Z109" s="17"/>
      <c r="AA109" s="7"/>
    </row>
    <row r="110" spans="2:27" s="3" customFormat="1" ht="39.950000000000003" hidden="1" customHeight="1">
      <c r="B110" s="129" t="str">
        <f>IF(NOMENCLATURE_GEN!B110="","",NOMENCLATURE_GEN!B110)</f>
        <v/>
      </c>
      <c r="C110" s="4" t="str">
        <f>IF(NOMENCLATURE_GEN!C110="","",NOMENCLATURE_GEN!C110)</f>
        <v/>
      </c>
      <c r="D110" s="4">
        <f>IF(NOMENCLATURE_GEN!D110="","",NOMENCLATURE_GEN!D110)</f>
        <v>191</v>
      </c>
      <c r="E110" s="4" t="str">
        <f ca="1">IF(NOMENCLATURE_GEN!E110="","",NOMENCLATURE_GEN!E110)</f>
        <v>A</v>
      </c>
      <c r="F110" s="4" t="str">
        <f>IF(NOMENCLATURE_GEN!F110="","",NOMENCLATURE_GEN!F110)</f>
        <v>CHA</v>
      </c>
      <c r="G110" s="310" t="str">
        <f>IF(NOMENCLATURE_GEN!G110="","",NOMENCLATURE_GEN!G110)</f>
        <v>Plateforme accès maintenance table TF &amp; cyclone</v>
      </c>
      <c r="H110" s="4">
        <f>IF(NOMENCLATURE_GEN!H110="","",NOMENCLATURE_GEN!H110)</f>
        <v>5500</v>
      </c>
      <c r="I110" s="4">
        <f>IF(NOMENCLATURE_GEN!I110="","",NOMENCLATURE_GEN!I110)</f>
        <v>9600</v>
      </c>
      <c r="J110" s="130" t="str">
        <f>IF(NOMENCLATURE_GEN!J110="","",NOMENCLATURE_GEN!J110)</f>
        <v/>
      </c>
      <c r="K110" s="9" t="s">
        <v>494</v>
      </c>
      <c r="L110" s="10" t="s">
        <v>513</v>
      </c>
      <c r="M110" s="16"/>
      <c r="N110" s="16"/>
      <c r="O110" s="16"/>
      <c r="P110" s="14"/>
      <c r="Q110" s="16"/>
      <c r="R110" s="16"/>
      <c r="S110" s="16"/>
      <c r="T110" s="16"/>
      <c r="U110" s="16"/>
      <c r="V110" s="16"/>
      <c r="W110" s="16"/>
      <c r="X110" s="16"/>
      <c r="Y110" s="647"/>
      <c r="Z110" s="17"/>
      <c r="AA110" s="7"/>
    </row>
    <row r="111" spans="2:27" s="3" customFormat="1" ht="39.950000000000003" hidden="1" customHeight="1">
      <c r="B111" s="129" t="str">
        <f>IF(NOMENCLATURE_GEN!B111="","",NOMENCLATURE_GEN!B111)</f>
        <v/>
      </c>
      <c r="C111" s="4" t="str">
        <f>IF(NOMENCLATURE_GEN!C111="","",NOMENCLATURE_GEN!C111)</f>
        <v/>
      </c>
      <c r="D111" s="4">
        <f>IF(NOMENCLATURE_GEN!D111="","",NOMENCLATURE_GEN!D111)</f>
        <v>192</v>
      </c>
      <c r="E111" s="4" t="str">
        <f ca="1">IF(NOMENCLATURE_GEN!E111="","",NOMENCLATURE_GEN!E111)</f>
        <v>A</v>
      </c>
      <c r="F111" s="4" t="str">
        <f>IF(NOMENCLATURE_GEN!F111="","",NOMENCLATURE_GEN!F111)</f>
        <v>CHA</v>
      </c>
      <c r="G111" s="310" t="str">
        <f>IF(NOMENCLATURE_GEN!G111="","",NOMENCLATURE_GEN!G111)</f>
        <v>Ensemble des passerelles d'accès maintenance tête &amp; pied CVY</v>
      </c>
      <c r="H111" s="4">
        <f>IF(NOMENCLATURE_GEN!H111="","",NOMENCLATURE_GEN!H111)</f>
        <v>4500</v>
      </c>
      <c r="I111" s="4">
        <f>IF(NOMENCLATURE_GEN!I111="","",NOMENCLATURE_GEN!I111)</f>
        <v>4500</v>
      </c>
      <c r="J111" s="130" t="str">
        <f>IF(NOMENCLATURE_GEN!J111="","",NOMENCLATURE_GEN!J111)</f>
        <v/>
      </c>
      <c r="K111" s="9" t="s">
        <v>494</v>
      </c>
      <c r="L111" s="10" t="s">
        <v>513</v>
      </c>
      <c r="M111" s="16"/>
      <c r="N111" s="16"/>
      <c r="O111" s="16"/>
      <c r="P111" s="14"/>
      <c r="Q111" s="16"/>
      <c r="R111" s="16"/>
      <c r="S111" s="16"/>
      <c r="T111" s="16"/>
      <c r="U111" s="16"/>
      <c r="V111" s="16"/>
      <c r="W111" s="16"/>
      <c r="X111" s="16"/>
      <c r="Y111" s="647"/>
      <c r="Z111" s="17"/>
      <c r="AA111" s="7"/>
    </row>
    <row r="112" spans="2:27" s="3" customFormat="1" ht="39.950000000000003" hidden="1" customHeight="1">
      <c r="B112" s="129" t="str">
        <f>IF(NOMENCLATURE_GEN!B112="","",NOMENCLATURE_GEN!B112)</f>
        <v/>
      </c>
      <c r="C112" s="4" t="str">
        <f>IF(NOMENCLATURE_GEN!C112="","",NOMENCLATURE_GEN!C112)</f>
        <v/>
      </c>
      <c r="D112" s="4">
        <f>IF(NOMENCLATURE_GEN!D112="","",NOMENCLATURE_GEN!D112)</f>
        <v>193</v>
      </c>
      <c r="E112" s="4" t="str">
        <f ca="1">IF(NOMENCLATURE_GEN!E112="","",NOMENCLATURE_GEN!E112)</f>
        <v>A</v>
      </c>
      <c r="F112" s="4" t="str">
        <f>IF(NOMENCLATURE_GEN!F112="","",NOMENCLATURE_GEN!F112)</f>
        <v>CHA</v>
      </c>
      <c r="G112" s="310" t="str">
        <f>IF(NOMENCLATURE_GEN!G112="","",NOMENCLATURE_GEN!G112)</f>
        <v>Ensemble des passerelles de liaison</v>
      </c>
      <c r="H112" s="4">
        <f>IF(NOMENCLATURE_GEN!H112="","",NOMENCLATURE_GEN!H112)</f>
        <v>900</v>
      </c>
      <c r="I112" s="4">
        <f>IF(NOMENCLATURE_GEN!I112="","",NOMENCLATURE_GEN!I112)</f>
        <v>50000</v>
      </c>
      <c r="J112" s="130" t="str">
        <f>IF(NOMENCLATURE_GEN!J112="","",NOMENCLATURE_GEN!J112)</f>
        <v/>
      </c>
      <c r="K112" s="9" t="s">
        <v>494</v>
      </c>
      <c r="L112" s="10" t="s">
        <v>513</v>
      </c>
      <c r="M112" s="16"/>
      <c r="N112" s="16"/>
      <c r="O112" s="16"/>
      <c r="P112" s="14"/>
      <c r="Q112" s="16"/>
      <c r="R112" s="16"/>
      <c r="S112" s="16"/>
      <c r="T112" s="16"/>
      <c r="U112" s="16"/>
      <c r="V112" s="16"/>
      <c r="W112" s="16"/>
      <c r="X112" s="16"/>
      <c r="Y112" s="647"/>
      <c r="Z112" s="17"/>
      <c r="AA112" s="7"/>
    </row>
    <row r="113" spans="2:27" s="3" customFormat="1" ht="39.950000000000003" hidden="1" customHeight="1">
      <c r="B113" s="129" t="str">
        <f>IF(NOMENCLATURE_GEN!B113="","",NOMENCLATURE_GEN!B113)</f>
        <v/>
      </c>
      <c r="C113" s="4" t="str">
        <f>IF(NOMENCLATURE_GEN!C113="","",NOMENCLATURE_GEN!C113)</f>
        <v/>
      </c>
      <c r="D113" s="4">
        <f>IF(NOMENCLATURE_GEN!D113="","",NOMENCLATURE_GEN!D113)</f>
        <v>194</v>
      </c>
      <c r="E113" s="4" t="str">
        <f ca="1">IF(NOMENCLATURE_GEN!E113="","",NOMENCLATURE_GEN!E113)</f>
        <v>A</v>
      </c>
      <c r="F113" s="4" t="str">
        <f>IF(NOMENCLATURE_GEN!F113="","",NOMENCLATURE_GEN!F113)</f>
        <v>CHA</v>
      </c>
      <c r="G113" s="310" t="str">
        <f>IF(NOMENCLATURE_GEN!G113="","",NOMENCLATURE_GEN!G113)</f>
        <v>Ensemble des escaliers d'accès maintenance</v>
      </c>
      <c r="H113" s="4">
        <f>IF(NOMENCLATURE_GEN!H113="","",NOMENCLATURE_GEN!H113)</f>
        <v>900</v>
      </c>
      <c r="I113" s="4">
        <f>IF(NOMENCLATURE_GEN!I113="","",NOMENCLATURE_GEN!I113)</f>
        <v>4500</v>
      </c>
      <c r="J113" s="130" t="str">
        <f>IF(NOMENCLATURE_GEN!J113="","",NOMENCLATURE_GEN!J113)</f>
        <v/>
      </c>
      <c r="K113" s="9" t="s">
        <v>494</v>
      </c>
      <c r="L113" s="10" t="s">
        <v>513</v>
      </c>
      <c r="M113" s="16"/>
      <c r="N113" s="16"/>
      <c r="O113" s="16"/>
      <c r="P113" s="14"/>
      <c r="Q113" s="16"/>
      <c r="R113" s="16"/>
      <c r="S113" s="16"/>
      <c r="T113" s="16"/>
      <c r="U113" s="16"/>
      <c r="V113" s="16"/>
      <c r="W113" s="16"/>
      <c r="X113" s="16"/>
      <c r="Y113" s="647"/>
      <c r="Z113" s="17"/>
      <c r="AA113" s="7"/>
    </row>
    <row r="114" spans="2:27" s="3" customFormat="1" ht="39.950000000000003" hidden="1" customHeight="1">
      <c r="B114" s="129" t="str">
        <f>IF(NOMENCLATURE_GEN!B114="","",NOMENCLATURE_GEN!B114)</f>
        <v/>
      </c>
      <c r="C114" s="4" t="str">
        <f>IF(NOMENCLATURE_GEN!C114="","",NOMENCLATURE_GEN!C114)</f>
        <v/>
      </c>
      <c r="D114" s="4">
        <f>IF(NOMENCLATURE_GEN!D114="","",NOMENCLATURE_GEN!D114)</f>
        <v>195</v>
      </c>
      <c r="E114" s="4" t="str">
        <f ca="1">IF(NOMENCLATURE_GEN!E114="","",NOMENCLATURE_GEN!E114)</f>
        <v>A</v>
      </c>
      <c r="F114" s="4" t="str">
        <f>IF(NOMENCLATURE_GEN!F114="","",NOMENCLATURE_GEN!F114)</f>
        <v>CHA</v>
      </c>
      <c r="G114" s="310" t="str">
        <f>IF(NOMENCLATURE_GEN!G114="","",NOMENCLATURE_GEN!G114)</f>
        <v>Ensemble des potences et rails de maintenance + 2 portiques</v>
      </c>
      <c r="H114" s="4" t="str">
        <f>IF(NOMENCLATURE_GEN!H114="","",NOMENCLATURE_GEN!H114)</f>
        <v/>
      </c>
      <c r="I114" s="4" t="str">
        <f>IF(NOMENCLATURE_GEN!I114="","",NOMENCLATURE_GEN!I114)</f>
        <v/>
      </c>
      <c r="J114" s="130" t="str">
        <f>IF(NOMENCLATURE_GEN!J114="","",NOMENCLATURE_GEN!J114)</f>
        <v/>
      </c>
      <c r="K114" s="9" t="s">
        <v>494</v>
      </c>
      <c r="L114" s="10" t="s">
        <v>513</v>
      </c>
      <c r="M114" s="16"/>
      <c r="N114" s="16"/>
      <c r="O114" s="16"/>
      <c r="P114" s="14"/>
      <c r="Q114" s="16"/>
      <c r="R114" s="16"/>
      <c r="S114" s="16"/>
      <c r="T114" s="16"/>
      <c r="U114" s="16"/>
      <c r="V114" s="16"/>
      <c r="W114" s="16"/>
      <c r="X114" s="16"/>
      <c r="Y114" s="647"/>
      <c r="Z114" s="17"/>
      <c r="AA114" s="7"/>
    </row>
    <row r="115" spans="2:27" s="3" customFormat="1" ht="39.950000000000003" hidden="1" customHeight="1">
      <c r="B115" s="129" t="str">
        <f>IF(NOMENCLATURE_GEN!B115="","",NOMENCLATURE_GEN!B115)</f>
        <v/>
      </c>
      <c r="C115" s="4" t="str">
        <f>IF(NOMENCLATURE_GEN!C115="","",NOMENCLATURE_GEN!C115)</f>
        <v/>
      </c>
      <c r="D115" s="4">
        <f>IF(NOMENCLATURE_GEN!D115="","",NOMENCLATURE_GEN!D115)</f>
        <v>196</v>
      </c>
      <c r="E115" s="4" t="str">
        <f ca="1">IF(NOMENCLATURE_GEN!E115="","",NOMENCLATURE_GEN!E115)</f>
        <v>A</v>
      </c>
      <c r="F115" s="4" t="str">
        <f>IF(NOMENCLATURE_GEN!F115="","",NOMENCLATURE_GEN!F115)</f>
        <v>CHA</v>
      </c>
      <c r="G115" s="310" t="str">
        <f>IF(NOMENCLATURE_GEN!G115="","",NOMENCLATURE_GEN!G115)</f>
        <v>Ensemble passerelles et rails pour convoyeur navettes refus légers</v>
      </c>
      <c r="H115" s="4">
        <f>IF(NOMENCLATURE_GEN!H115="","",NOMENCLATURE_GEN!H115)</f>
        <v>8150</v>
      </c>
      <c r="I115" s="4">
        <f>IF(NOMENCLATURE_GEN!I115="","",NOMENCLATURE_GEN!I115)</f>
        <v>15600</v>
      </c>
      <c r="J115" s="130" t="str">
        <f>IF(NOMENCLATURE_GEN!J115="","",NOMENCLATURE_GEN!J115)</f>
        <v/>
      </c>
      <c r="K115" s="9" t="s">
        <v>494</v>
      </c>
      <c r="L115" s="10" t="s">
        <v>513</v>
      </c>
      <c r="M115" s="16"/>
      <c r="N115" s="16"/>
      <c r="O115" s="16"/>
      <c r="P115" s="14"/>
      <c r="Q115" s="16"/>
      <c r="R115" s="16"/>
      <c r="S115" s="16"/>
      <c r="T115" s="16"/>
      <c r="U115" s="16"/>
      <c r="V115" s="16"/>
      <c r="W115" s="16"/>
      <c r="X115" s="16"/>
      <c r="Y115" s="647"/>
      <c r="Z115" s="17"/>
      <c r="AA115" s="7"/>
    </row>
    <row r="116" spans="2:27" s="3" customFormat="1" ht="39.950000000000003" hidden="1" customHeight="1">
      <c r="B116" s="129" t="str">
        <f>IF(NOMENCLATURE_GEN!B116="","",NOMENCLATURE_GEN!B116)</f>
        <v/>
      </c>
      <c r="C116" s="4" t="str">
        <f>IF(NOMENCLATURE_GEN!C116="","",NOMENCLATURE_GEN!C116)</f>
        <v/>
      </c>
      <c r="D116" s="4">
        <f>IF(NOMENCLATURE_GEN!D116="","",NOMENCLATURE_GEN!D116)</f>
        <v>197</v>
      </c>
      <c r="E116" s="4" t="str">
        <f ca="1">IF(NOMENCLATURE_GEN!E116="","",NOMENCLATURE_GEN!E116)</f>
        <v>A</v>
      </c>
      <c r="F116" s="4" t="str">
        <f>IF(NOMENCLATURE_GEN!F116="","",NOMENCLATURE_GEN!F116)</f>
        <v>CHA</v>
      </c>
      <c r="G116" s="310" t="str">
        <f>IF(NOMENCLATURE_GEN!G116="","",NOMENCLATURE_GEN!G116)</f>
        <v>Ensemble passerelles et rails pour convoyeurs navettes métaux</v>
      </c>
      <c r="H116" s="4">
        <f>IF(NOMENCLATURE_GEN!H116="","",NOMENCLATURE_GEN!H116)</f>
        <v>8150</v>
      </c>
      <c r="I116" s="4">
        <f>IF(NOMENCLATURE_GEN!I116="","",NOMENCLATURE_GEN!I116)</f>
        <v>7000</v>
      </c>
      <c r="J116" s="130" t="str">
        <f>IF(NOMENCLATURE_GEN!J116="","",NOMENCLATURE_GEN!J116)</f>
        <v/>
      </c>
      <c r="K116" s="9" t="s">
        <v>494</v>
      </c>
      <c r="L116" s="10" t="s">
        <v>513</v>
      </c>
      <c r="M116" s="16"/>
      <c r="N116" s="16"/>
      <c r="O116" s="16"/>
      <c r="P116" s="14"/>
      <c r="Q116" s="16"/>
      <c r="R116" s="16"/>
      <c r="S116" s="16"/>
      <c r="T116" s="16"/>
      <c r="U116" s="16"/>
      <c r="V116" s="16"/>
      <c r="W116" s="16"/>
      <c r="X116" s="16"/>
      <c r="Y116" s="647"/>
      <c r="Z116" s="17"/>
      <c r="AA116" s="7"/>
    </row>
    <row r="117" spans="2:27" s="3" customFormat="1" ht="39.950000000000003" hidden="1" customHeight="1">
      <c r="B117" s="129" t="str">
        <f>IF(NOMENCLATURE_GEN!B117="","",NOMENCLATURE_GEN!B117)</f>
        <v/>
      </c>
      <c r="C117" s="4" t="str">
        <f>IF(NOMENCLATURE_GEN!C117="","",NOMENCLATURE_GEN!C117)</f>
        <v/>
      </c>
      <c r="D117" s="4">
        <f>IF(NOMENCLATURE_GEN!D117="","",NOMENCLATURE_GEN!D117)</f>
        <v>199</v>
      </c>
      <c r="E117" s="4" t="str">
        <f ca="1">IF(NOMENCLATURE_GEN!E117="","",NOMENCLATURE_GEN!E117)</f>
        <v>A</v>
      </c>
      <c r="F117" s="4" t="str">
        <f>IF(NOMENCLATURE_GEN!F117="","",NOMENCLATURE_GEN!F117)</f>
        <v>BRO</v>
      </c>
      <c r="G117" s="310" t="str">
        <f>IF(NOMENCLATURE_GEN!G117="","",NOMENCLATURE_GEN!G117)</f>
        <v>Broyeur pour métaux 30-180mm</v>
      </c>
      <c r="H117" s="4" t="str">
        <f>IF(NOMENCLATURE_GEN!H117="","",NOMENCLATURE_GEN!H117)</f>
        <v/>
      </c>
      <c r="I117" s="4" t="str">
        <f>IF(NOMENCLATURE_GEN!I117="","",NOMENCLATURE_GEN!I117)</f>
        <v/>
      </c>
      <c r="J117" s="130" t="str">
        <f>IF(NOMENCLATURE_GEN!J117="","",NOMENCLATURE_GEN!J117)</f>
        <v/>
      </c>
      <c r="K117" s="9" t="s">
        <v>494</v>
      </c>
      <c r="L117" s="10" t="s">
        <v>513</v>
      </c>
      <c r="M117" s="16"/>
      <c r="N117" s="16"/>
      <c r="O117" s="16"/>
      <c r="P117" s="14"/>
      <c r="Q117" s="16"/>
      <c r="R117" s="16"/>
      <c r="S117" s="16"/>
      <c r="T117" s="16"/>
      <c r="U117" s="16"/>
      <c r="V117" s="16"/>
      <c r="W117" s="16"/>
      <c r="X117" s="16"/>
      <c r="Y117" s="647"/>
      <c r="Z117" s="17"/>
      <c r="AA117" s="7"/>
    </row>
    <row r="118" spans="2:27" s="3" customFormat="1" ht="39.950000000000003" customHeight="1">
      <c r="B118" s="129" t="str">
        <f>IF(NOMENCLATURE_GEN!B118="","",NOMENCLATURE_GEN!B118)</f>
        <v/>
      </c>
      <c r="C118" s="4" t="str">
        <f>IF(NOMENCLATURE_GEN!C118="","",NOMENCLATURE_GEN!C118)</f>
        <v/>
      </c>
      <c r="D118" s="4">
        <f>IF(NOMENCLATURE_GEN!D118="","",NOMENCLATURE_GEN!D118)</f>
        <v>200</v>
      </c>
      <c r="E118" s="4" t="str">
        <f ca="1">IF(NOMENCLATURE_GEN!E118="","",NOMENCLATURE_GEN!E118)</f>
        <v>A</v>
      </c>
      <c r="F118" s="4" t="str">
        <f>IF(NOMENCLATURE_GEN!F118="","",NOMENCLATURE_GEN!F118)</f>
        <v>TBE</v>
      </c>
      <c r="G118" s="310" t="str">
        <f>IF(NOMENCLATURE_GEN!G118="","",NOMENCLATURE_GEN!G118)</f>
        <v>Convoyeur de reprise sous broyeur des aciers 30-180mm</v>
      </c>
      <c r="H118" s="4">
        <f>IF(NOMENCLATURE_GEN!H118="","",NOMENCLATURE_GEN!H118)</f>
        <v>1000</v>
      </c>
      <c r="I118" s="4">
        <f>IF(NOMENCLATURE_GEN!I118="","",NOMENCLATURE_GEN!I118)</f>
        <v>6000</v>
      </c>
      <c r="J118" s="130">
        <f>IF(NOMENCLATURE_GEN!J118="","",NOMENCLATURE_GEN!J118)</f>
        <v>13</v>
      </c>
      <c r="K118" s="9" t="s">
        <v>503</v>
      </c>
      <c r="L118" s="10" t="s">
        <v>514</v>
      </c>
      <c r="M118" s="13" t="s">
        <v>534</v>
      </c>
      <c r="N118" s="16" t="s">
        <v>495</v>
      </c>
      <c r="O118" s="16"/>
      <c r="P118" s="14">
        <v>2.9</v>
      </c>
      <c r="Q118" s="16">
        <v>665</v>
      </c>
      <c r="R118" s="16">
        <v>31</v>
      </c>
      <c r="S118" s="16"/>
      <c r="T118" s="10" t="s">
        <v>626</v>
      </c>
      <c r="U118" s="16" t="s">
        <v>495</v>
      </c>
      <c r="V118" s="10" t="s">
        <v>594</v>
      </c>
      <c r="W118" s="16">
        <v>40</v>
      </c>
      <c r="X118" s="10" t="s">
        <v>621</v>
      </c>
      <c r="Y118" s="649">
        <v>45467</v>
      </c>
      <c r="Z118" s="17"/>
      <c r="AA118" s="7"/>
    </row>
    <row r="119" spans="2:27" s="3" customFormat="1" ht="39.950000000000003" customHeight="1">
      <c r="B119" s="129" t="str">
        <f>IF(NOMENCLATURE_GEN!B119="","",NOMENCLATURE_GEN!B119)</f>
        <v/>
      </c>
      <c r="C119" s="4" t="str">
        <f>IF(NOMENCLATURE_GEN!C119="","",NOMENCLATURE_GEN!C119)</f>
        <v/>
      </c>
      <c r="D119" s="4">
        <f>IF(NOMENCLATURE_GEN!D119="","",NOMENCLATURE_GEN!D119)</f>
        <v>201</v>
      </c>
      <c r="E119" s="4" t="str">
        <f ca="1">IF(NOMENCLATURE_GEN!E119="","",NOMENCLATURE_GEN!E119)</f>
        <v>A</v>
      </c>
      <c r="F119" s="4" t="str">
        <f>IF(NOMENCLATURE_GEN!F119="","",NOMENCLATURE_GEN!F119)</f>
        <v>TBE</v>
      </c>
      <c r="G119" s="310" t="str">
        <f>IF(NOMENCLATURE_GEN!G119="","",NOMENCLATURE_GEN!G119)</f>
        <v>Convoyeur de transfert des aciers 30-180mm vers OVB</v>
      </c>
      <c r="H119" s="4">
        <f>IF(NOMENCLATURE_GEN!H119="","",NOMENCLATURE_GEN!H119)</f>
        <v>1000</v>
      </c>
      <c r="I119" s="4">
        <f>IF(NOMENCLATURE_GEN!I119="","",NOMENCLATURE_GEN!I119)</f>
        <v>14750</v>
      </c>
      <c r="J119" s="130">
        <f>IF(NOMENCLATURE_GEN!J119="","",NOMENCLATURE_GEN!J119)</f>
        <v>19</v>
      </c>
      <c r="K119" s="9" t="s">
        <v>503</v>
      </c>
      <c r="L119" s="10" t="s">
        <v>514</v>
      </c>
      <c r="M119" s="13" t="s">
        <v>534</v>
      </c>
      <c r="N119" s="16" t="s">
        <v>495</v>
      </c>
      <c r="O119" s="16"/>
      <c r="P119" s="14">
        <v>2.9</v>
      </c>
      <c r="Q119" s="16">
        <v>665</v>
      </c>
      <c r="R119" s="16">
        <v>31</v>
      </c>
      <c r="S119" s="16"/>
      <c r="T119" s="10" t="s">
        <v>627</v>
      </c>
      <c r="U119" s="16" t="s">
        <v>495</v>
      </c>
      <c r="V119" s="10" t="s">
        <v>594</v>
      </c>
      <c r="W119" s="16">
        <v>40</v>
      </c>
      <c r="X119" s="10" t="s">
        <v>621</v>
      </c>
      <c r="Y119" s="649">
        <v>45467</v>
      </c>
      <c r="Z119" s="17"/>
      <c r="AA119" s="7"/>
    </row>
    <row r="120" spans="2:27" s="3" customFormat="1" ht="39.950000000000003" customHeight="1">
      <c r="B120" s="129" t="str">
        <f>IF(NOMENCLATURE_GEN!B120="","",NOMENCLATURE_GEN!B120)</f>
        <v/>
      </c>
      <c r="C120" s="4" t="str">
        <f>IF(NOMENCLATURE_GEN!C120="","",NOMENCLATURE_GEN!C120)</f>
        <v/>
      </c>
      <c r="D120" s="4">
        <f>IF(NOMENCLATURE_GEN!D120="","",NOMENCLATURE_GEN!D120)</f>
        <v>202</v>
      </c>
      <c r="E120" s="4" t="str">
        <f ca="1">IF(NOMENCLATURE_GEN!E120="","",NOMENCLATURE_GEN!E120)</f>
        <v>A</v>
      </c>
      <c r="F120" s="4" t="str">
        <f>IF(NOMENCLATURE_GEN!F120="","",NOMENCLATURE_GEN!F120)</f>
        <v>TBE</v>
      </c>
      <c r="G120" s="310" t="str">
        <f>IF(NOMENCLATURE_GEN!G120="","",NOMENCLATURE_GEN!G120)</f>
        <v>Convoyeur d'alimentation du séparateur de ferreux</v>
      </c>
      <c r="H120" s="4">
        <f>IF(NOMENCLATURE_GEN!H120="","",NOMENCLATURE_GEN!H120)</f>
        <v>1000</v>
      </c>
      <c r="I120" s="4">
        <f>IF(NOMENCLATURE_GEN!I120="","",NOMENCLATURE_GEN!I120)</f>
        <v>7500</v>
      </c>
      <c r="J120" s="130">
        <f>IF(NOMENCLATURE_GEN!J120="","",NOMENCLATURE_GEN!J120)</f>
        <v>19</v>
      </c>
      <c r="K120" s="9" t="s">
        <v>503</v>
      </c>
      <c r="L120" s="10" t="s">
        <v>514</v>
      </c>
      <c r="M120" s="13" t="s">
        <v>534</v>
      </c>
      <c r="N120" s="16" t="s">
        <v>495</v>
      </c>
      <c r="O120" s="16"/>
      <c r="P120" s="14">
        <v>2.9</v>
      </c>
      <c r="Q120" s="16">
        <v>665</v>
      </c>
      <c r="R120" s="16">
        <v>31</v>
      </c>
      <c r="S120" s="16"/>
      <c r="T120" s="10" t="s">
        <v>627</v>
      </c>
      <c r="U120" s="16" t="s">
        <v>495</v>
      </c>
      <c r="V120" s="10" t="s">
        <v>594</v>
      </c>
      <c r="W120" s="16">
        <v>40</v>
      </c>
      <c r="X120" s="10" t="s">
        <v>621</v>
      </c>
      <c r="Y120" s="649">
        <v>45467</v>
      </c>
      <c r="Z120" s="17"/>
      <c r="AA120" s="7"/>
    </row>
    <row r="121" spans="2:27" s="3" customFormat="1" ht="39.950000000000003" hidden="1" customHeight="1">
      <c r="B121" s="129" t="str">
        <f>IF(NOMENCLATURE_GEN!B121="","",NOMENCLATURE_GEN!B121)</f>
        <v/>
      </c>
      <c r="C121" s="4" t="str">
        <f>IF(NOMENCLATURE_GEN!C121="","",NOMENCLATURE_GEN!C121)</f>
        <v/>
      </c>
      <c r="D121" s="4">
        <f>IF(NOMENCLATURE_GEN!D121="","",NOMENCLATURE_GEN!D121)</f>
        <v>203</v>
      </c>
      <c r="E121" s="4" t="str">
        <f ca="1">IF(NOMENCLATURE_GEN!E121="","",NOMENCLATURE_GEN!E121)</f>
        <v>A</v>
      </c>
      <c r="F121" s="4" t="str">
        <f>IF(NOMENCLATURE_GEN!F121="","",NOMENCLATURE_GEN!F121)</f>
        <v>OVB</v>
      </c>
      <c r="G121" s="310" t="str">
        <f>IF(NOMENCLATURE_GEN!G121="","",NOMENCLATURE_GEN!G121)</f>
        <v>Séparateur magnétique à aimant permament</v>
      </c>
      <c r="H121" s="4">
        <f>IF(NOMENCLATURE_GEN!H121="","",NOMENCLATURE_GEN!H121)</f>
        <v>1000</v>
      </c>
      <c r="I121" s="4">
        <f>IF(NOMENCLATURE_GEN!I121="","",NOMENCLATURE_GEN!I121)</f>
        <v>2500</v>
      </c>
      <c r="J121" s="130" t="str">
        <f>IF(NOMENCLATURE_GEN!J121="","",NOMENCLATURE_GEN!J121)</f>
        <v/>
      </c>
      <c r="K121" s="9" t="s">
        <v>494</v>
      </c>
      <c r="L121" s="10"/>
      <c r="M121" s="16"/>
      <c r="N121" s="16"/>
      <c r="O121" s="16"/>
      <c r="P121" s="14"/>
      <c r="Q121" s="16"/>
      <c r="R121" s="16"/>
      <c r="S121" s="16"/>
      <c r="T121" s="16"/>
      <c r="U121" s="16"/>
      <c r="V121" s="16"/>
      <c r="W121" s="16"/>
      <c r="X121" s="16"/>
      <c r="Y121" s="647"/>
      <c r="Z121" s="17"/>
      <c r="AA121" s="7"/>
    </row>
    <row r="122" spans="2:27" s="3" customFormat="1" ht="39.950000000000003" hidden="1" customHeight="1">
      <c r="B122" s="129" t="str">
        <f>IF(NOMENCLATURE_GEN!B122="","",NOMENCLATURE_GEN!B122)</f>
        <v/>
      </c>
      <c r="C122" s="4" t="str">
        <f>IF(NOMENCLATURE_GEN!C122="","",NOMENCLATURE_GEN!C122)</f>
        <v/>
      </c>
      <c r="D122" s="4">
        <f>IF(NOMENCLATURE_GEN!D122="","",NOMENCLATURE_GEN!D122)</f>
        <v>203</v>
      </c>
      <c r="E122" s="4" t="str">
        <f ca="1">IF(NOMENCLATURE_GEN!E122="","",NOMENCLATURE_GEN!E122)</f>
        <v>B</v>
      </c>
      <c r="F122" s="4" t="str">
        <f>IF(NOMENCLATURE_GEN!F122="","",NOMENCLATURE_GEN!F122)</f>
        <v>GLT</v>
      </c>
      <c r="G122" s="310" t="str">
        <f>IF(NOMENCLATURE_GEN!G122="","",NOMENCLATURE_GEN!G122)</f>
        <v>GOULOTTE AVEC VERIN</v>
      </c>
      <c r="H122" s="4" t="str">
        <f>IF(NOMENCLATURE_GEN!H122="","",NOMENCLATURE_GEN!H122)</f>
        <v/>
      </c>
      <c r="I122" s="4" t="str">
        <f>IF(NOMENCLATURE_GEN!I122="","",NOMENCLATURE_GEN!I122)</f>
        <v/>
      </c>
      <c r="J122" s="130" t="str">
        <f>IF(NOMENCLATURE_GEN!J122="","",NOMENCLATURE_GEN!J122)</f>
        <v/>
      </c>
      <c r="K122" s="9"/>
      <c r="L122" s="10"/>
      <c r="M122" s="16"/>
      <c r="N122" s="16"/>
      <c r="O122" s="16"/>
      <c r="P122" s="14"/>
      <c r="Q122" s="16"/>
      <c r="R122" s="16"/>
      <c r="S122" s="16"/>
      <c r="T122" s="16"/>
      <c r="U122" s="16"/>
      <c r="V122" s="16"/>
      <c r="W122" s="16"/>
      <c r="X122" s="16"/>
      <c r="Y122" s="647"/>
      <c r="Z122" s="17"/>
      <c r="AA122" s="7"/>
    </row>
    <row r="123" spans="2:27" s="3" customFormat="1" ht="39.950000000000003" hidden="1" customHeight="1">
      <c r="B123" s="129" t="str">
        <f>IF(NOMENCLATURE_GEN!B123="","",NOMENCLATURE_GEN!B123)</f>
        <v>SUP</v>
      </c>
      <c r="C123" s="4" t="str">
        <f>IF(NOMENCLATURE_GEN!C123="","",NOMENCLATURE_GEN!C123)</f>
        <v/>
      </c>
      <c r="D123" s="4">
        <f>IF(NOMENCLATURE_GEN!D123="","",NOMENCLATURE_GEN!D123)</f>
        <v>204</v>
      </c>
      <c r="E123" s="4" t="str">
        <f ca="1">IF(NOMENCLATURE_GEN!E123="","",NOMENCLATURE_GEN!E123)</f>
        <v>A</v>
      </c>
      <c r="F123" s="4" t="str">
        <f>IF(NOMENCLATURE_GEN!F123="","",NOMENCLATURE_GEN!F123)</f>
        <v>CHA</v>
      </c>
      <c r="G123" s="310" t="str">
        <f>IF(NOMENCLATURE_GEN!G123="","",NOMENCLATURE_GEN!G123)</f>
        <v>Charpente support OVB + protection grillagée et goulotte inox</v>
      </c>
      <c r="H123" s="4" t="str">
        <f>IF(NOMENCLATURE_GEN!H123="","",NOMENCLATURE_GEN!H123)</f>
        <v/>
      </c>
      <c r="I123" s="4" t="str">
        <f>IF(NOMENCLATURE_GEN!I123="","",NOMENCLATURE_GEN!I123)</f>
        <v/>
      </c>
      <c r="J123" s="130" t="str">
        <f>IF(NOMENCLATURE_GEN!J123="","",NOMENCLATURE_GEN!J123)</f>
        <v/>
      </c>
      <c r="K123" s="9" t="s">
        <v>494</v>
      </c>
      <c r="L123" s="10"/>
      <c r="M123" s="16"/>
      <c r="N123" s="16"/>
      <c r="O123" s="16"/>
      <c r="P123" s="14"/>
      <c r="Q123" s="16"/>
      <c r="R123" s="16"/>
      <c r="S123" s="16"/>
      <c r="T123" s="16"/>
      <c r="U123" s="16"/>
      <c r="V123" s="16"/>
      <c r="W123" s="16"/>
      <c r="X123" s="16"/>
      <c r="Y123" s="647"/>
      <c r="Z123" s="17"/>
      <c r="AA123" s="7"/>
    </row>
    <row r="124" spans="2:27" s="3" customFormat="1" ht="39.950000000000003" hidden="1" customHeight="1">
      <c r="B124" s="129" t="str">
        <f>IF(NOMENCLATURE_GEN!B124="","",NOMENCLATURE_GEN!B124)</f>
        <v>SUP</v>
      </c>
      <c r="C124" s="4" t="str">
        <f>IF(NOMENCLATURE_GEN!C124="","",NOMENCLATURE_GEN!C124)</f>
        <v/>
      </c>
      <c r="D124" s="4">
        <f>IF(NOMENCLATURE_GEN!D124="","",NOMENCLATURE_GEN!D124)</f>
        <v>205</v>
      </c>
      <c r="E124" s="4" t="str">
        <f ca="1">IF(NOMENCLATURE_GEN!E124="","",NOMENCLATURE_GEN!E124)</f>
        <v>A</v>
      </c>
      <c r="F124" s="4" t="str">
        <f>IF(NOMENCLATURE_GEN!F124="","",NOMENCLATURE_GEN!F124)</f>
        <v>CHA</v>
      </c>
      <c r="G124" s="310" t="str">
        <f>IF(NOMENCLATURE_GEN!G124="","",NOMENCLATURE_GEN!G124)</f>
        <v>Charpente support et accès maintenance broyeur</v>
      </c>
      <c r="H124" s="4">
        <f>IF(NOMENCLATURE_GEN!H124="","",NOMENCLATURE_GEN!H124)</f>
        <v>3500</v>
      </c>
      <c r="I124" s="4">
        <f>IF(NOMENCLATURE_GEN!I124="","",NOMENCLATURE_GEN!I124)</f>
        <v>4000</v>
      </c>
      <c r="J124" s="130" t="str">
        <f>IF(NOMENCLATURE_GEN!J124="","",NOMENCLATURE_GEN!J124)</f>
        <v/>
      </c>
      <c r="K124" s="9" t="s">
        <v>494</v>
      </c>
      <c r="L124" s="10"/>
      <c r="M124" s="16"/>
      <c r="N124" s="16"/>
      <c r="O124" s="16"/>
      <c r="P124" s="14"/>
      <c r="Q124" s="16"/>
      <c r="R124" s="16"/>
      <c r="S124" s="16"/>
      <c r="T124" s="16"/>
      <c r="U124" s="16"/>
      <c r="V124" s="16"/>
      <c r="W124" s="16"/>
      <c r="X124" s="16"/>
      <c r="Y124" s="647"/>
      <c r="Z124" s="17"/>
      <c r="AA124" s="7"/>
    </row>
    <row r="125" spans="2:27" s="3" customFormat="1" ht="39.950000000000003" customHeight="1">
      <c r="B125" s="129" t="str">
        <f>IF(NOMENCLATURE_GEN!B125="","",NOMENCLATURE_GEN!B125)</f>
        <v/>
      </c>
      <c r="C125" s="4" t="str">
        <f>IF(NOMENCLATURE_GEN!C125="","",NOMENCLATURE_GEN!C125)</f>
        <v/>
      </c>
      <c r="D125" s="4">
        <f>IF(NOMENCLATURE_GEN!D125="","",NOMENCLATURE_GEN!D125)</f>
        <v>207</v>
      </c>
      <c r="E125" s="4" t="str">
        <f ca="1">IF(NOMENCLATURE_GEN!E125="","",NOMENCLATURE_GEN!E125)</f>
        <v>A</v>
      </c>
      <c r="F125" s="4" t="str">
        <f>IF(NOMENCLATURE_GEN!F125="","",NOMENCLATURE_GEN!F125)</f>
        <v>TBE</v>
      </c>
      <c r="G125" s="310" t="str">
        <f>IF(NOMENCLATURE_GEN!G125="","",NOMENCLATURE_GEN!G125)</f>
        <v>Convoyeur by-pass presse à paquets</v>
      </c>
      <c r="H125" s="4">
        <f>IF(NOMENCLATURE_GEN!H125="","",NOMENCLATURE_GEN!H125)</f>
        <v>800</v>
      </c>
      <c r="I125" s="4">
        <f>IF(NOMENCLATURE_GEN!I125="","",NOMENCLATURE_GEN!I125)</f>
        <v>3500</v>
      </c>
      <c r="J125" s="130">
        <f>IF(NOMENCLATURE_GEN!J125="","",NOMENCLATURE_GEN!J125)</f>
        <v>0</v>
      </c>
      <c r="K125" s="9" t="s">
        <v>503</v>
      </c>
      <c r="L125" s="10" t="s">
        <v>620</v>
      </c>
      <c r="M125" s="13" t="s">
        <v>534</v>
      </c>
      <c r="N125" s="16" t="s">
        <v>495</v>
      </c>
      <c r="O125" s="16"/>
      <c r="P125" s="14" t="s">
        <v>617</v>
      </c>
      <c r="Q125" s="16">
        <v>257</v>
      </c>
      <c r="R125" s="16">
        <v>78</v>
      </c>
      <c r="S125" s="16"/>
      <c r="T125" s="16" t="s">
        <v>618</v>
      </c>
      <c r="U125" s="16" t="s">
        <v>495</v>
      </c>
      <c r="V125" s="16" t="s">
        <v>508</v>
      </c>
      <c r="W125" s="16">
        <v>40</v>
      </c>
      <c r="X125" s="10" t="s">
        <v>619</v>
      </c>
      <c r="Y125" s="649">
        <v>45488</v>
      </c>
      <c r="Z125" s="17"/>
      <c r="AA125" s="7"/>
    </row>
    <row r="126" spans="2:27" s="3" customFormat="1" ht="39.950000000000003" customHeight="1">
      <c r="B126" s="129" t="str">
        <f>IF(NOMENCLATURE_GEN!B126="","",NOMENCLATURE_GEN!B126)</f>
        <v/>
      </c>
      <c r="C126" s="4" t="str">
        <f>IF(NOMENCLATURE_GEN!C126="","",NOMENCLATURE_GEN!C126)</f>
        <v/>
      </c>
      <c r="D126" s="4">
        <f>IF(NOMENCLATURE_GEN!D126="","",NOMENCLATURE_GEN!D126)</f>
        <v>208</v>
      </c>
      <c r="E126" s="4" t="str">
        <f ca="1">IF(NOMENCLATURE_GEN!E126="","",NOMENCLATURE_GEN!E126)</f>
        <v>A</v>
      </c>
      <c r="F126" s="4" t="str">
        <f>IF(NOMENCLATURE_GEN!F126="","",NOMENCLATURE_GEN!F126)</f>
        <v>SOL</v>
      </c>
      <c r="G126" s="310" t="str">
        <f>IF(NOMENCLATURE_GEN!G126="","",NOMENCLATURE_GEN!G126)</f>
        <v>RLX séparateur objets longs SUR CVY 162</v>
      </c>
      <c r="H126" s="4" t="str">
        <f>IF(NOMENCLATURE_GEN!H126="","",NOMENCLATURE_GEN!H126)</f>
        <v/>
      </c>
      <c r="I126" s="4" t="str">
        <f>IF(NOMENCLATURE_GEN!I126="","",NOMENCLATURE_GEN!I126)</f>
        <v/>
      </c>
      <c r="J126" s="130" t="str">
        <f>IF(NOMENCLATURE_GEN!J126="","",NOMENCLATURE_GEN!J126)</f>
        <v/>
      </c>
      <c r="K126" s="9" t="s">
        <v>503</v>
      </c>
      <c r="L126" s="10" t="s">
        <v>620</v>
      </c>
      <c r="M126" s="13" t="s">
        <v>534</v>
      </c>
      <c r="N126" s="16" t="s">
        <v>495</v>
      </c>
      <c r="O126" s="10" t="s">
        <v>495</v>
      </c>
      <c r="P126" s="13" t="s">
        <v>617</v>
      </c>
      <c r="Q126" s="16">
        <v>257</v>
      </c>
      <c r="R126" s="16">
        <v>78</v>
      </c>
      <c r="S126" s="16"/>
      <c r="T126" s="10" t="s">
        <v>618</v>
      </c>
      <c r="U126" s="16" t="s">
        <v>495</v>
      </c>
      <c r="V126" s="16" t="s">
        <v>508</v>
      </c>
      <c r="W126" s="16">
        <v>40</v>
      </c>
      <c r="X126" s="10" t="s">
        <v>619</v>
      </c>
      <c r="Y126" s="649">
        <v>45488</v>
      </c>
      <c r="Z126" s="17"/>
      <c r="AA126" s="7"/>
    </row>
    <row r="127" spans="2:27" s="3" customFormat="1" ht="39.950000000000003" hidden="1" customHeight="1">
      <c r="B127" s="129" t="str">
        <f>IF(NOMENCLATURE_GEN!B127="","",NOMENCLATURE_GEN!B127)</f>
        <v/>
      </c>
      <c r="C127" s="4" t="str">
        <f>IF(NOMENCLATURE_GEN!C127="","",NOMENCLATURE_GEN!C127)</f>
        <v/>
      </c>
      <c r="D127" s="4">
        <f>IF(NOMENCLATURE_GEN!D127="","",NOMENCLATURE_GEN!D127)</f>
        <v>209</v>
      </c>
      <c r="E127" s="4" t="str">
        <f ca="1">IF(NOMENCLATURE_GEN!E127="","",NOMENCLATURE_GEN!E127)</f>
        <v>A</v>
      </c>
      <c r="F127" s="4" t="str">
        <f>IF(NOMENCLATURE_GEN!F127="","",NOMENCLATURE_GEN!F127)</f>
        <v>PRP</v>
      </c>
      <c r="G127" s="310" t="str">
        <f>IF(NOMENCLATURE_GEN!G127="","",NOMENCLATURE_GEN!G127)</f>
        <v>Fourniture et pose d'une presse à paquets PP11</v>
      </c>
      <c r="H127" s="4" t="str">
        <f>IF(NOMENCLATURE_GEN!H127="","",NOMENCLATURE_GEN!H127)</f>
        <v/>
      </c>
      <c r="I127" s="4" t="str">
        <f>IF(NOMENCLATURE_GEN!I127="","",NOMENCLATURE_GEN!I127)</f>
        <v/>
      </c>
      <c r="J127" s="130" t="str">
        <f>IF(NOMENCLATURE_GEN!J127="","",NOMENCLATURE_GEN!J127)</f>
        <v/>
      </c>
      <c r="K127" s="9" t="s">
        <v>494</v>
      </c>
      <c r="L127" s="10" t="s">
        <v>513</v>
      </c>
      <c r="M127" s="16"/>
      <c r="N127" s="16"/>
      <c r="O127" s="16"/>
      <c r="P127" s="14"/>
      <c r="Q127" s="16"/>
      <c r="R127" s="16"/>
      <c r="S127" s="16"/>
      <c r="T127" s="16"/>
      <c r="U127" s="16"/>
      <c r="V127" s="16"/>
      <c r="W127" s="16"/>
      <c r="X127" s="16"/>
      <c r="Y127" s="647"/>
      <c r="Z127" s="17"/>
      <c r="AA127" s="7"/>
    </row>
    <row r="128" spans="2:27" s="3" customFormat="1" ht="39.950000000000003" hidden="1" customHeight="1">
      <c r="B128" s="129" t="str">
        <f>IF(NOMENCLATURE_GEN!B128="","",NOMENCLATURE_GEN!B128)</f>
        <v>SUP</v>
      </c>
      <c r="C128" s="4" t="str">
        <f>IF(NOMENCLATURE_GEN!C128="","",NOMENCLATURE_GEN!C128)</f>
        <v/>
      </c>
      <c r="D128" s="4">
        <f>IF(NOMENCLATURE_GEN!D128="","",NOMENCLATURE_GEN!D128)</f>
        <v>210</v>
      </c>
      <c r="E128" s="4" t="str">
        <f ca="1">IF(NOMENCLATURE_GEN!E128="","",NOMENCLATURE_GEN!E128)</f>
        <v>A</v>
      </c>
      <c r="F128" s="4" t="str">
        <f>IF(NOMENCLATURE_GEN!F128="","",NOMENCLATURE_GEN!F128)</f>
        <v>COU</v>
      </c>
      <c r="G128" s="310" t="str">
        <f>IF(NOMENCLATURE_GEN!G128="","",NOMENCLATURE_GEN!G128)</f>
        <v>Moins value pour suppressions Couronne rotatif pour convoyeur de mise en tas FFOM</v>
      </c>
      <c r="H128" s="4" t="str">
        <f>IF(NOMENCLATURE_GEN!H128="","",NOMENCLATURE_GEN!H128)</f>
        <v/>
      </c>
      <c r="I128" s="4" t="str">
        <f>IF(NOMENCLATURE_GEN!I128="","",NOMENCLATURE_GEN!I128)</f>
        <v/>
      </c>
      <c r="J128" s="130" t="str">
        <f>IF(NOMENCLATURE_GEN!J128="","",NOMENCLATURE_GEN!J128)</f>
        <v/>
      </c>
      <c r="K128" s="9" t="s">
        <v>494</v>
      </c>
      <c r="L128" s="10" t="s">
        <v>513</v>
      </c>
      <c r="M128" s="16"/>
      <c r="N128" s="16"/>
      <c r="O128" s="16"/>
      <c r="P128" s="14"/>
      <c r="Q128" s="16"/>
      <c r="R128" s="16"/>
      <c r="S128" s="16"/>
      <c r="T128" s="16"/>
      <c r="U128" s="16"/>
      <c r="V128" s="16"/>
      <c r="W128" s="16"/>
      <c r="X128" s="16"/>
      <c r="Y128" s="647"/>
      <c r="Z128" s="17"/>
      <c r="AA128" s="7"/>
    </row>
    <row r="129" spans="2:27" s="3" customFormat="1" ht="39.950000000000003" customHeight="1">
      <c r="B129" s="129" t="str">
        <f>IF(NOMENCLATURE_GEN!B129="","",NOMENCLATURE_GEN!B129)</f>
        <v/>
      </c>
      <c r="C129" s="4" t="str">
        <f>IF(NOMENCLATURE_GEN!C129="","",NOMENCLATURE_GEN!C129)</f>
        <v/>
      </c>
      <c r="D129" s="4">
        <f>IF(NOMENCLATURE_GEN!D129="","",NOMENCLATURE_GEN!D129)</f>
        <v>211</v>
      </c>
      <c r="E129" s="4" t="str">
        <f ca="1">IF(NOMENCLATURE_GEN!E129="","",NOMENCLATURE_GEN!E129)</f>
        <v>A</v>
      </c>
      <c r="F129" s="4" t="str">
        <f>IF(NOMENCLATURE_GEN!F129="","",NOMENCLATURE_GEN!F129)</f>
        <v>NAV</v>
      </c>
      <c r="G129" s="310" t="str">
        <f>IF(NOMENCLATURE_GEN!G129="","",NOMENCLATURE_GEN!G129)</f>
        <v>Navette pour convoyeur mobile remplissage benne FFOM TBE 160</v>
      </c>
      <c r="H129" s="4" t="str">
        <f>IF(NOMENCLATURE_GEN!H129="","",NOMENCLATURE_GEN!H129)</f>
        <v/>
      </c>
      <c r="I129" s="4" t="str">
        <f>IF(NOMENCLATURE_GEN!I129="","",NOMENCLATURE_GEN!I129)</f>
        <v/>
      </c>
      <c r="J129" s="130" t="str">
        <f>IF(NOMENCLATURE_GEN!J129="","",NOMENCLATURE_GEN!J129)</f>
        <v/>
      </c>
      <c r="K129" s="9" t="s">
        <v>503</v>
      </c>
      <c r="L129" s="10" t="s">
        <v>513</v>
      </c>
      <c r="M129" s="13" t="s">
        <v>534</v>
      </c>
      <c r="N129" s="16" t="s">
        <v>495</v>
      </c>
      <c r="O129" s="10" t="s">
        <v>495</v>
      </c>
      <c r="P129" s="14">
        <v>1.1200000000000001</v>
      </c>
      <c r="Q129" s="16">
        <v>665</v>
      </c>
      <c r="R129" s="16">
        <v>52</v>
      </c>
      <c r="S129" s="16"/>
      <c r="T129" s="16" t="s">
        <v>634</v>
      </c>
      <c r="U129" s="16" t="s">
        <v>494</v>
      </c>
      <c r="V129" s="10" t="s">
        <v>635</v>
      </c>
      <c r="W129" s="16">
        <v>35</v>
      </c>
      <c r="X129" s="10" t="s">
        <v>636</v>
      </c>
      <c r="Y129" s="649">
        <v>45509</v>
      </c>
      <c r="Z129" s="17" t="s">
        <v>511</v>
      </c>
      <c r="AA129" s="7"/>
    </row>
    <row r="130" spans="2:27" s="3" customFormat="1" ht="39.950000000000003" hidden="1" customHeight="1">
      <c r="B130" s="129" t="str">
        <f>IF(NOMENCLATURE_GEN!B130="","",NOMENCLATURE_GEN!B130)</f>
        <v/>
      </c>
      <c r="C130" s="4" t="str">
        <f>IF(NOMENCLATURE_GEN!C130="","",NOMENCLATURE_GEN!C130)</f>
        <v/>
      </c>
      <c r="D130" s="4">
        <f>IF(NOMENCLATURE_GEN!D130="","",NOMENCLATURE_GEN!D130)</f>
        <v>212</v>
      </c>
      <c r="E130" s="4" t="str">
        <f ca="1">IF(NOMENCLATURE_GEN!E130="","",NOMENCLATURE_GEN!E130)</f>
        <v>A</v>
      </c>
      <c r="F130" s="4" t="str">
        <f>IF(NOMENCLATURE_GEN!F130="","",NOMENCLATURE_GEN!F130)</f>
        <v>CHA</v>
      </c>
      <c r="G130" s="310" t="str">
        <f>IF(NOMENCLATURE_GEN!G130="","",NOMENCLATURE_GEN!G130)</f>
        <v>Ensemble passerelle pour convoyeur navette FFOM</v>
      </c>
      <c r="H130" s="4" t="str">
        <f>IF(NOMENCLATURE_GEN!H130="","",NOMENCLATURE_GEN!H130)</f>
        <v/>
      </c>
      <c r="I130" s="4" t="str">
        <f>IF(NOMENCLATURE_GEN!I130="","",NOMENCLATURE_GEN!I130)</f>
        <v/>
      </c>
      <c r="J130" s="130" t="str">
        <f>IF(NOMENCLATURE_GEN!J130="","",NOMENCLATURE_GEN!J130)</f>
        <v/>
      </c>
      <c r="K130" s="9" t="s">
        <v>494</v>
      </c>
      <c r="L130" s="10"/>
      <c r="M130" s="16"/>
      <c r="N130" s="16"/>
      <c r="O130" s="16"/>
      <c r="P130" s="14"/>
      <c r="Q130" s="16"/>
      <c r="R130" s="16"/>
      <c r="S130" s="16"/>
      <c r="T130" s="16"/>
      <c r="U130" s="16"/>
      <c r="V130" s="16"/>
      <c r="W130" s="16"/>
      <c r="X130" s="16"/>
      <c r="Y130" s="647"/>
      <c r="Z130" s="17"/>
      <c r="AA130" s="7"/>
    </row>
    <row r="131" spans="2:27" s="3" customFormat="1" ht="39.950000000000003" hidden="1" customHeight="1">
      <c r="B131" s="129" t="str">
        <f>IF(NOMENCLATURE_GEN!B131="","",NOMENCLATURE_GEN!B131)</f>
        <v/>
      </c>
      <c r="C131" s="4" t="str">
        <f>IF(NOMENCLATURE_GEN!C131="","",NOMENCLATURE_GEN!C131)</f>
        <v/>
      </c>
      <c r="D131" s="4">
        <f>IF(NOMENCLATURE_GEN!D131="","",NOMENCLATURE_GEN!D131)</f>
        <v>213</v>
      </c>
      <c r="E131" s="4" t="str">
        <f ca="1">IF(NOMENCLATURE_GEN!E131="","",NOMENCLATURE_GEN!E131)</f>
        <v>A</v>
      </c>
      <c r="F131" s="4" t="str">
        <f>IF(NOMENCLATURE_GEN!F131="","",NOMENCLATURE_GEN!F131)</f>
        <v>PES</v>
      </c>
      <c r="G131" s="310" t="str">
        <f>IF(NOMENCLATURE_GEN!G131="","",NOMENCLATURE_GEN!G131)</f>
        <v>Pesage des paquets d'aciers en sortie</v>
      </c>
      <c r="H131" s="4" t="str">
        <f>IF(NOMENCLATURE_GEN!H131="","",NOMENCLATURE_GEN!H131)</f>
        <v/>
      </c>
      <c r="I131" s="4" t="str">
        <f>IF(NOMENCLATURE_GEN!I131="","",NOMENCLATURE_GEN!I131)</f>
        <v/>
      </c>
      <c r="J131" s="130" t="str">
        <f>IF(NOMENCLATURE_GEN!J131="","",NOMENCLATURE_GEN!J131)</f>
        <v/>
      </c>
      <c r="K131" s="9" t="s">
        <v>494</v>
      </c>
      <c r="L131" s="10"/>
      <c r="M131" s="16"/>
      <c r="N131" s="16"/>
      <c r="O131" s="16"/>
      <c r="P131" s="14"/>
      <c r="Q131" s="16"/>
      <c r="R131" s="16"/>
      <c r="S131" s="16"/>
      <c r="T131" s="16"/>
      <c r="U131" s="16"/>
      <c r="V131" s="16"/>
      <c r="W131" s="16"/>
      <c r="X131" s="16"/>
      <c r="Y131" s="647"/>
      <c r="Z131" s="17"/>
      <c r="AA131" s="7"/>
    </row>
    <row r="132" spans="2:27" s="3" customFormat="1" ht="39.950000000000003" hidden="1" customHeight="1">
      <c r="B132" s="129" t="str">
        <f>IF(NOMENCLATURE_GEN!B132="","",NOMENCLATURE_GEN!B132)</f>
        <v/>
      </c>
      <c r="C132" s="4" t="str">
        <f>IF(NOMENCLATURE_GEN!C132="","",NOMENCLATURE_GEN!C132)</f>
        <v/>
      </c>
      <c r="D132" s="4">
        <f>IF(NOMENCLATURE_GEN!D132="","",NOMENCLATURE_GEN!D132)</f>
        <v>215</v>
      </c>
      <c r="E132" s="4" t="str">
        <f ca="1">IF(NOMENCLATURE_GEN!E132="","",NOMENCLATURE_GEN!E132)</f>
        <v>A</v>
      </c>
      <c r="F132" s="4" t="str">
        <f>IF(NOMENCLATURE_GEN!F132="","",NOMENCLATURE_GEN!F132)</f>
        <v>ELEC</v>
      </c>
      <c r="G132" s="310" t="str">
        <f>IF(NOMENCLATURE_GEN!G132="","",NOMENCLATURE_GEN!G132)</f>
        <v>Cablage électrique + capteurs</v>
      </c>
      <c r="H132" s="4" t="str">
        <f>IF(NOMENCLATURE_GEN!H132="","",NOMENCLATURE_GEN!H132)</f>
        <v/>
      </c>
      <c r="I132" s="4" t="str">
        <f>IF(NOMENCLATURE_GEN!I132="","",NOMENCLATURE_GEN!I132)</f>
        <v/>
      </c>
      <c r="J132" s="130" t="str">
        <f>IF(NOMENCLATURE_GEN!J132="","",NOMENCLATURE_GEN!J132)</f>
        <v/>
      </c>
      <c r="K132" s="9" t="s">
        <v>494</v>
      </c>
      <c r="L132" s="10"/>
      <c r="M132" s="16"/>
      <c r="N132" s="16"/>
      <c r="O132" s="16"/>
      <c r="P132" s="14"/>
      <c r="Q132" s="16"/>
      <c r="R132" s="16"/>
      <c r="S132" s="16"/>
      <c r="T132" s="16"/>
      <c r="U132" s="16"/>
      <c r="V132" s="16"/>
      <c r="W132" s="16"/>
      <c r="X132" s="16"/>
      <c r="Y132" s="647"/>
      <c r="Z132" s="17"/>
      <c r="AA132" s="7"/>
    </row>
    <row r="133" spans="2:27" s="3" customFormat="1" ht="39.950000000000003" hidden="1" customHeight="1">
      <c r="B133" s="129" t="str">
        <f>IF(NOMENCLATURE_GEN!B133="","",NOMENCLATURE_GEN!B133)</f>
        <v/>
      </c>
      <c r="C133" s="4" t="str">
        <f>IF(NOMENCLATURE_GEN!C133="","",NOMENCLATURE_GEN!C133)</f>
        <v/>
      </c>
      <c r="D133" s="4">
        <f>IF(NOMENCLATURE_GEN!D133="","",NOMENCLATURE_GEN!D133)</f>
        <v>219</v>
      </c>
      <c r="E133" s="4" t="str">
        <f ca="1">IF(NOMENCLATURE_GEN!E133="","",NOMENCLATURE_GEN!E133)</f>
        <v>A</v>
      </c>
      <c r="F133" s="4" t="str">
        <f>IF(NOMENCLATURE_GEN!F133="","",NOMENCLATURE_GEN!F133)</f>
        <v>PES</v>
      </c>
      <c r="G133" s="310" t="str">
        <f>IF(NOMENCLATURE_GEN!G133="","",NOMENCLATURE_GEN!G133)</f>
        <v>Station de pesage dynamique sur CBA 199 fraction FFOM vers métha</v>
      </c>
      <c r="H133" s="4" t="str">
        <f>IF(NOMENCLATURE_GEN!H133="","",NOMENCLATURE_GEN!H133)</f>
        <v/>
      </c>
      <c r="I133" s="4" t="str">
        <f>IF(NOMENCLATURE_GEN!I133="","",NOMENCLATURE_GEN!I133)</f>
        <v/>
      </c>
      <c r="J133" s="130" t="str">
        <f>IF(NOMENCLATURE_GEN!J133="","",NOMENCLATURE_GEN!J133)</f>
        <v/>
      </c>
      <c r="K133" s="9" t="s">
        <v>494</v>
      </c>
      <c r="L133" s="10"/>
      <c r="M133" s="16"/>
      <c r="N133" s="16"/>
      <c r="O133" s="16"/>
      <c r="P133" s="14"/>
      <c r="Q133" s="16"/>
      <c r="R133" s="16"/>
      <c r="S133" s="16"/>
      <c r="T133" s="16"/>
      <c r="U133" s="16"/>
      <c r="V133" s="16"/>
      <c r="W133" s="16"/>
      <c r="X133" s="16"/>
      <c r="Y133" s="647"/>
      <c r="Z133" s="17"/>
      <c r="AA133" s="7"/>
    </row>
    <row r="134" spans="2:27" s="3" customFormat="1" ht="39.950000000000003" hidden="1" customHeight="1">
      <c r="B134" s="129" t="str">
        <f>IF(NOMENCLATURE_GEN!B134="","",NOMENCLATURE_GEN!B134)</f>
        <v>SUP</v>
      </c>
      <c r="C134" s="4" t="str">
        <f>IF(NOMENCLATURE_GEN!C134="","",NOMENCLATURE_GEN!C134)</f>
        <v/>
      </c>
      <c r="D134" s="4">
        <f>IF(NOMENCLATURE_GEN!D134="","",NOMENCLATURE_GEN!D134)</f>
        <v>221</v>
      </c>
      <c r="E134" s="4" t="str">
        <f ca="1">IF(NOMENCLATURE_GEN!E134="","",NOMENCLATURE_GEN!E134)</f>
        <v>A</v>
      </c>
      <c r="F134" s="4" t="str">
        <f>IF(NOMENCLATURE_GEN!F134="","",NOMENCLATURE_GEN!F134)</f>
        <v>TVB</v>
      </c>
      <c r="G134" s="310" t="str">
        <f>IF(NOMENCLATURE_GEN!G134="","",NOMENCLATURE_GEN!G134)</f>
        <v>Alimentateur vibrant pour tri optique verre</v>
      </c>
      <c r="H134" s="4" t="str">
        <f>IF(NOMENCLATURE_GEN!H134="","",NOMENCLATURE_GEN!H134)</f>
        <v/>
      </c>
      <c r="I134" s="4" t="str">
        <f>IF(NOMENCLATURE_GEN!I134="","",NOMENCLATURE_GEN!I134)</f>
        <v/>
      </c>
      <c r="J134" s="130" t="str">
        <f>IF(NOMENCLATURE_GEN!J134="","",NOMENCLATURE_GEN!J134)</f>
        <v/>
      </c>
      <c r="K134" s="9" t="s">
        <v>494</v>
      </c>
      <c r="L134" s="10"/>
      <c r="M134" s="16"/>
      <c r="N134" s="16"/>
      <c r="O134" s="16"/>
      <c r="P134" s="14"/>
      <c r="Q134" s="16"/>
      <c r="R134" s="16"/>
      <c r="S134" s="16"/>
      <c r="T134" s="16"/>
      <c r="U134" s="16"/>
      <c r="V134" s="16"/>
      <c r="W134" s="16"/>
      <c r="X134" s="16"/>
      <c r="Y134" s="647"/>
      <c r="Z134" s="17"/>
      <c r="AA134" s="7"/>
    </row>
    <row r="135" spans="2:27" s="3" customFormat="1" ht="39.950000000000003" hidden="1" customHeight="1">
      <c r="B135" s="129" t="str">
        <f>IF(NOMENCLATURE_GEN!B135="","",NOMENCLATURE_GEN!B135)</f>
        <v>SUP</v>
      </c>
      <c r="C135" s="4" t="str">
        <f>IF(NOMENCLATURE_GEN!C135="","",NOMENCLATURE_GEN!C135)</f>
        <v/>
      </c>
      <c r="D135" s="4">
        <f>IF(NOMENCLATURE_GEN!D135="","",NOMENCLATURE_GEN!D135)</f>
        <v>222</v>
      </c>
      <c r="E135" s="4" t="str">
        <f ca="1">IF(NOMENCLATURE_GEN!E135="","",NOMENCLATURE_GEN!E135)</f>
        <v>A</v>
      </c>
      <c r="F135" s="4" t="str">
        <f>IF(NOMENCLATURE_GEN!F135="","",NOMENCLATURE_GEN!F135)</f>
        <v>SOP</v>
      </c>
      <c r="G135" s="310" t="str">
        <f>IF(NOMENCLATURE_GEN!G135="","",NOMENCLATURE_GEN!G135)</f>
        <v>Séparateur optique verre</v>
      </c>
      <c r="H135" s="4" t="str">
        <f>IF(NOMENCLATURE_GEN!H135="","",NOMENCLATURE_GEN!H135)</f>
        <v/>
      </c>
      <c r="I135" s="4" t="str">
        <f>IF(NOMENCLATURE_GEN!I135="","",NOMENCLATURE_GEN!I135)</f>
        <v/>
      </c>
      <c r="J135" s="130" t="str">
        <f>IF(NOMENCLATURE_GEN!J135="","",NOMENCLATURE_GEN!J135)</f>
        <v/>
      </c>
      <c r="K135" s="9" t="s">
        <v>494</v>
      </c>
      <c r="L135" s="10"/>
      <c r="M135" s="16"/>
      <c r="N135" s="16"/>
      <c r="O135" s="16"/>
      <c r="P135" s="14"/>
      <c r="Q135" s="16"/>
      <c r="R135" s="16"/>
      <c r="S135" s="16"/>
      <c r="T135" s="16"/>
      <c r="U135" s="16"/>
      <c r="V135" s="16"/>
      <c r="W135" s="16"/>
      <c r="X135" s="16"/>
      <c r="Y135" s="647"/>
      <c r="Z135" s="17"/>
      <c r="AA135" s="7"/>
    </row>
    <row r="136" spans="2:27" s="3" customFormat="1" ht="39.950000000000003" hidden="1" customHeight="1">
      <c r="B136" s="129" t="str">
        <f>IF(NOMENCLATURE_GEN!B136="","",NOMENCLATURE_GEN!B136)</f>
        <v>SUP</v>
      </c>
      <c r="C136" s="4" t="str">
        <f>IF(NOMENCLATURE_GEN!C136="","",NOMENCLATURE_GEN!C136)</f>
        <v/>
      </c>
      <c r="D136" s="4">
        <f>IF(NOMENCLATURE_GEN!D136="","",NOMENCLATURE_GEN!D136)</f>
        <v>224</v>
      </c>
      <c r="E136" s="4" t="str">
        <f ca="1">IF(NOMENCLATURE_GEN!E136="","",NOMENCLATURE_GEN!E136)</f>
        <v>A</v>
      </c>
      <c r="F136" s="4" t="str">
        <f>IF(NOMENCLATURE_GEN!F136="","",NOMENCLATURE_GEN!F136)</f>
        <v>CHA</v>
      </c>
      <c r="G136" s="310" t="str">
        <f>IF(NOMENCLATURE_GEN!G136="","",NOMENCLATURE_GEN!G136)</f>
        <v>Plateforme d'accès maintenance pour tri optique et vibrant</v>
      </c>
      <c r="H136" s="4" t="str">
        <f>IF(NOMENCLATURE_GEN!H136="","",NOMENCLATURE_GEN!H136)</f>
        <v/>
      </c>
      <c r="I136" s="4" t="str">
        <f>IF(NOMENCLATURE_GEN!I136="","",NOMENCLATURE_GEN!I136)</f>
        <v/>
      </c>
      <c r="J136" s="130" t="str">
        <f>IF(NOMENCLATURE_GEN!J136="","",NOMENCLATURE_GEN!J136)</f>
        <v/>
      </c>
      <c r="K136" s="9" t="s">
        <v>494</v>
      </c>
      <c r="L136" s="10"/>
      <c r="M136" s="16"/>
      <c r="N136" s="16"/>
      <c r="O136" s="16"/>
      <c r="P136" s="14"/>
      <c r="Q136" s="16"/>
      <c r="R136" s="16"/>
      <c r="S136" s="16"/>
      <c r="T136" s="16"/>
      <c r="U136" s="16"/>
      <c r="V136" s="16"/>
      <c r="W136" s="16"/>
      <c r="X136" s="16"/>
      <c r="Y136" s="647"/>
      <c r="Z136" s="17"/>
      <c r="AA136" s="7"/>
    </row>
    <row r="137" spans="2:27" s="3" customFormat="1" ht="39.950000000000003" hidden="1" customHeight="1">
      <c r="B137" s="129" t="str">
        <f>IF(NOMENCLATURE_GEN!B137="","",NOMENCLATURE_GEN!B137)</f>
        <v>SUP</v>
      </c>
      <c r="C137" s="4" t="str">
        <f>IF(NOMENCLATURE_GEN!C137="","",NOMENCLATURE_GEN!C137)</f>
        <v/>
      </c>
      <c r="D137" s="4">
        <f>IF(NOMENCLATURE_GEN!D137="","",NOMENCLATURE_GEN!D137)</f>
        <v>225</v>
      </c>
      <c r="E137" s="4" t="str">
        <f ca="1">IF(NOMENCLATURE_GEN!E137="","",NOMENCLATURE_GEN!E137)</f>
        <v>A</v>
      </c>
      <c r="F137" s="4" t="str">
        <f>IF(NOMENCLATURE_GEN!F137="","",NOMENCLATURE_GEN!F137)</f>
        <v>COM</v>
      </c>
      <c r="G137" s="310" t="str">
        <f>IF(NOMENCLATURE_GEN!G137="","",NOMENCLATURE_GEN!G137)</f>
        <v>Compresseur + sécheur + réseau pour tri optique verre</v>
      </c>
      <c r="H137" s="4" t="str">
        <f>IF(NOMENCLATURE_GEN!H137="","",NOMENCLATURE_GEN!H137)</f>
        <v/>
      </c>
      <c r="I137" s="4" t="str">
        <f>IF(NOMENCLATURE_GEN!I137="","",NOMENCLATURE_GEN!I137)</f>
        <v/>
      </c>
      <c r="J137" s="130" t="str">
        <f>IF(NOMENCLATURE_GEN!J137="","",NOMENCLATURE_GEN!J137)</f>
        <v/>
      </c>
      <c r="K137" s="9" t="s">
        <v>494</v>
      </c>
      <c r="L137" s="10"/>
      <c r="M137" s="16"/>
      <c r="N137" s="16"/>
      <c r="O137" s="16"/>
      <c r="P137" s="14"/>
      <c r="Q137" s="16"/>
      <c r="R137" s="16"/>
      <c r="S137" s="16"/>
      <c r="T137" s="16"/>
      <c r="U137" s="16"/>
      <c r="V137" s="16"/>
      <c r="W137" s="16"/>
      <c r="X137" s="16"/>
      <c r="Y137" s="647"/>
      <c r="Z137" s="17"/>
      <c r="AA137" s="7"/>
    </row>
    <row r="138" spans="2:27" s="3" customFormat="1" ht="39.950000000000003" hidden="1" customHeight="1">
      <c r="B138" s="129" t="str">
        <f>IF(NOMENCLATURE_GEN!B138="","",NOMENCLATURE_GEN!B138)</f>
        <v>SUP</v>
      </c>
      <c r="C138" s="4" t="str">
        <f>IF(NOMENCLATURE_GEN!C138="","",NOMENCLATURE_GEN!C138)</f>
        <v/>
      </c>
      <c r="D138" s="4">
        <f>IF(NOMENCLATURE_GEN!D138="","",NOMENCLATURE_GEN!D138)</f>
        <v>227</v>
      </c>
      <c r="E138" s="4" t="str">
        <f ca="1">IF(NOMENCLATURE_GEN!E138="","",NOMENCLATURE_GEN!E138)</f>
        <v>A</v>
      </c>
      <c r="F138" s="4" t="str">
        <f>IF(NOMENCLATURE_GEN!F138="","",NOMENCLATURE_GEN!F138)</f>
        <v>ELEC</v>
      </c>
      <c r="G138" s="310" t="str">
        <f>IF(NOMENCLATURE_GEN!G138="","",NOMENCLATURE_GEN!G138)</f>
        <v>Cablage électrique + capteurs</v>
      </c>
      <c r="H138" s="4" t="str">
        <f>IF(NOMENCLATURE_GEN!H138="","",NOMENCLATURE_GEN!H138)</f>
        <v/>
      </c>
      <c r="I138" s="4" t="str">
        <f>IF(NOMENCLATURE_GEN!I138="","",NOMENCLATURE_GEN!I138)</f>
        <v/>
      </c>
      <c r="J138" s="130" t="str">
        <f>IF(NOMENCLATURE_GEN!J138="","",NOMENCLATURE_GEN!J138)</f>
        <v/>
      </c>
      <c r="K138" s="9" t="s">
        <v>494</v>
      </c>
      <c r="L138" s="10"/>
      <c r="M138" s="16"/>
      <c r="N138" s="16"/>
      <c r="O138" s="16"/>
      <c r="P138" s="14"/>
      <c r="Q138" s="16"/>
      <c r="R138" s="16"/>
      <c r="S138" s="16"/>
      <c r="T138" s="16"/>
      <c r="U138" s="16"/>
      <c r="V138" s="16"/>
      <c r="W138" s="16"/>
      <c r="X138" s="16"/>
      <c r="Y138" s="647"/>
      <c r="Z138" s="17"/>
      <c r="AA138" s="7"/>
    </row>
    <row r="139" spans="2:27" s="3" customFormat="1" ht="39.950000000000003" hidden="1" customHeight="1">
      <c r="B139" s="129" t="str">
        <f>IF(NOMENCLATURE_GEN!B139="","",NOMENCLATURE_GEN!B139)</f>
        <v/>
      </c>
      <c r="C139" s="4" t="str">
        <f>IF(NOMENCLATURE_GEN!C139="","",NOMENCLATURE_GEN!C139)</f>
        <v/>
      </c>
      <c r="D139" s="4">
        <f>IF(NOMENCLATURE_GEN!D139="","",NOMENCLATURE_GEN!D139)</f>
        <v>231</v>
      </c>
      <c r="E139" s="4" t="str">
        <f ca="1">IF(NOMENCLATURE_GEN!E139="","",NOMENCLATURE_GEN!E139)</f>
        <v>A</v>
      </c>
      <c r="F139" s="4" t="str">
        <f>IF(NOMENCLATURE_GEN!F139="","",NOMENCLATURE_GEN!F139)</f>
        <v>DIV</v>
      </c>
      <c r="G139" s="310" t="str">
        <f>IF(NOMENCLATURE_GEN!G139="","",NOMENCLATURE_GEN!G139)</f>
        <v>lot de pièces de premières urgences</v>
      </c>
      <c r="H139" s="4" t="str">
        <f>IF(NOMENCLATURE_GEN!H139="","",NOMENCLATURE_GEN!H139)</f>
        <v/>
      </c>
      <c r="I139" s="4" t="str">
        <f>IF(NOMENCLATURE_GEN!I139="","",NOMENCLATURE_GEN!I139)</f>
        <v/>
      </c>
      <c r="J139" s="130" t="str">
        <f>IF(NOMENCLATURE_GEN!J139="","",NOMENCLATURE_GEN!J139)</f>
        <v/>
      </c>
      <c r="K139" s="9" t="s">
        <v>494</v>
      </c>
      <c r="L139" s="10"/>
      <c r="M139" s="16"/>
      <c r="N139" s="16"/>
      <c r="O139" s="16"/>
      <c r="P139" s="14"/>
      <c r="Q139" s="16"/>
      <c r="R139" s="16"/>
      <c r="S139" s="16"/>
      <c r="T139" s="16"/>
      <c r="U139" s="16"/>
      <c r="V139" s="16"/>
      <c r="W139" s="16"/>
      <c r="X139" s="16"/>
      <c r="Y139" s="647"/>
      <c r="Z139" s="17"/>
      <c r="AA139" s="7"/>
    </row>
    <row r="140" spans="2:27" s="3" customFormat="1" ht="39.950000000000003" hidden="1" customHeight="1" thickBot="1">
      <c r="B140" s="284" t="str">
        <f>IF(NOMENCLATURE_GEN!B140="","",NOMENCLATURE_GEN!B140)</f>
        <v/>
      </c>
      <c r="C140" s="286" t="str">
        <f>IF(NOMENCLATURE_GEN!C140="","",NOMENCLATURE_GEN!C140)</f>
        <v/>
      </c>
      <c r="D140" s="286" t="str">
        <f>IF(NOMENCLATURE_GEN!D140="","",NOMENCLATURE_GEN!D140)</f>
        <v/>
      </c>
      <c r="E140" s="286" t="str">
        <f ca="1">IF(NOMENCLATURE_GEN!E140="","",NOMENCLATURE_GEN!E140)</f>
        <v>A</v>
      </c>
      <c r="F140" s="286" t="str">
        <f>IF(NOMENCLATURE_GEN!F140="","",NOMENCLATURE_GEN!F140)</f>
        <v/>
      </c>
      <c r="G140" s="311" t="str">
        <f>IF(NOMENCLATURE_GEN!G140="","",NOMENCLATURE_GEN!G140)</f>
        <v/>
      </c>
      <c r="H140" s="286" t="str">
        <f>IF(NOMENCLATURE_GEN!H140="","",NOMENCLATURE_GEN!H140)</f>
        <v/>
      </c>
      <c r="I140" s="286" t="str">
        <f>IF(NOMENCLATURE_GEN!I140="","",NOMENCLATURE_GEN!I140)</f>
        <v/>
      </c>
      <c r="J140" s="287" t="str">
        <f>IF(NOMENCLATURE_GEN!J140="","",NOMENCLATURE_GEN!J140)</f>
        <v/>
      </c>
      <c r="K140" s="270" t="s">
        <v>494</v>
      </c>
      <c r="L140" s="271"/>
      <c r="M140" s="155"/>
      <c r="N140" s="155"/>
      <c r="O140" s="155"/>
      <c r="P140" s="156"/>
      <c r="Q140" s="155"/>
      <c r="R140" s="155"/>
      <c r="S140" s="155"/>
      <c r="T140" s="155"/>
      <c r="U140" s="155"/>
      <c r="V140" s="155"/>
      <c r="W140" s="155"/>
      <c r="X140" s="155"/>
      <c r="Y140" s="648"/>
      <c r="Z140" s="157"/>
      <c r="AA140" s="7"/>
    </row>
    <row r="141" spans="2:27" s="49" customFormat="1" ht="15" customHeight="1" thickBot="1">
      <c r="B141" s="8"/>
      <c r="C141" s="8"/>
      <c r="D141" s="8"/>
      <c r="E141" s="8"/>
      <c r="F141" s="8"/>
      <c r="G141" s="8"/>
      <c r="H141" s="152"/>
      <c r="I141" s="152"/>
      <c r="J141" s="152"/>
      <c r="N141" s="51"/>
      <c r="O141" s="51"/>
      <c r="P141" s="51"/>
      <c r="Q141" s="51"/>
      <c r="R141" s="51"/>
      <c r="S141" s="51"/>
      <c r="T141" s="51"/>
      <c r="U141" s="51"/>
      <c r="V141" s="51"/>
      <c r="W141" s="51"/>
    </row>
    <row r="142" spans="2:27" s="49" customFormat="1" ht="30" customHeight="1" thickBot="1">
      <c r="B142" s="266" t="s">
        <v>311</v>
      </c>
      <c r="C142" s="267" t="s">
        <v>100</v>
      </c>
      <c r="D142" s="267" t="s">
        <v>312</v>
      </c>
      <c r="E142" s="695" t="s">
        <v>313</v>
      </c>
      <c r="F142" s="695"/>
      <c r="G142" s="695"/>
      <c r="H142" s="695"/>
      <c r="I142" s="695"/>
      <c r="J142" s="695"/>
      <c r="K142" s="430" t="s">
        <v>365</v>
      </c>
      <c r="M142" s="713" t="s">
        <v>532</v>
      </c>
      <c r="N142" s="714"/>
      <c r="O142" s="714"/>
      <c r="P142" s="714"/>
      <c r="Q142" s="714"/>
      <c r="R142" s="714"/>
      <c r="S142" s="714"/>
      <c r="T142" s="714"/>
      <c r="U142" s="715"/>
      <c r="V142" s="51"/>
      <c r="W142" s="51"/>
    </row>
    <row r="143" spans="2:27" s="49" customFormat="1" ht="30" customHeight="1">
      <c r="B143" s="268" t="s">
        <v>518</v>
      </c>
      <c r="C143" s="269" t="s">
        <v>10</v>
      </c>
      <c r="D143" s="433">
        <v>45365</v>
      </c>
      <c r="E143" s="694" t="s">
        <v>517</v>
      </c>
      <c r="F143" s="694"/>
      <c r="G143" s="694"/>
      <c r="H143" s="694"/>
      <c r="I143" s="694"/>
      <c r="J143" s="694"/>
      <c r="K143" s="434">
        <v>45373</v>
      </c>
      <c r="M143" s="716" t="s">
        <v>533</v>
      </c>
      <c r="N143" s="717"/>
      <c r="O143" s="717"/>
      <c r="P143" s="717"/>
      <c r="Q143" s="717"/>
      <c r="R143" s="717"/>
      <c r="S143" s="717"/>
      <c r="T143" s="717"/>
      <c r="U143" s="718"/>
      <c r="V143" s="51"/>
      <c r="W143" s="51"/>
    </row>
    <row r="144" spans="2:27" s="49" customFormat="1" ht="30" customHeight="1">
      <c r="B144" s="9" t="s">
        <v>500</v>
      </c>
      <c r="C144" s="10" t="s">
        <v>501</v>
      </c>
      <c r="D144" s="422">
        <v>45376</v>
      </c>
      <c r="E144" s="692" t="s">
        <v>519</v>
      </c>
      <c r="F144" s="692"/>
      <c r="G144" s="692"/>
      <c r="H144" s="692"/>
      <c r="I144" s="692"/>
      <c r="J144" s="692"/>
      <c r="K144" s="439">
        <v>45377</v>
      </c>
      <c r="M144" s="719"/>
      <c r="N144" s="720"/>
      <c r="O144" s="720"/>
      <c r="P144" s="720"/>
      <c r="Q144" s="720"/>
      <c r="R144" s="720"/>
      <c r="S144" s="720"/>
      <c r="T144" s="720"/>
      <c r="U144" s="721"/>
      <c r="V144" s="51"/>
      <c r="W144" s="51"/>
    </row>
    <row r="145" spans="2:23" s="49" customFormat="1" ht="30" customHeight="1">
      <c r="B145" s="9" t="s">
        <v>537</v>
      </c>
      <c r="C145" s="10" t="s">
        <v>556</v>
      </c>
      <c r="D145" s="422">
        <v>45427</v>
      </c>
      <c r="E145" s="692" t="s">
        <v>641</v>
      </c>
      <c r="F145" s="692"/>
      <c r="G145" s="692"/>
      <c r="H145" s="692"/>
      <c r="I145" s="692"/>
      <c r="J145" s="692"/>
      <c r="K145" s="439">
        <v>45428</v>
      </c>
      <c r="M145" s="719"/>
      <c r="N145" s="720"/>
      <c r="O145" s="720"/>
      <c r="P145" s="720"/>
      <c r="Q145" s="720"/>
      <c r="R145" s="720"/>
      <c r="S145" s="720"/>
      <c r="T145" s="720"/>
      <c r="U145" s="721"/>
      <c r="V145" s="51"/>
      <c r="W145" s="51"/>
    </row>
    <row r="146" spans="2:23" s="49" customFormat="1" ht="30" customHeight="1">
      <c r="B146" s="9" t="s">
        <v>537</v>
      </c>
      <c r="C146" s="10" t="s">
        <v>684</v>
      </c>
      <c r="D146" s="422">
        <v>45440</v>
      </c>
      <c r="E146" s="692" t="s">
        <v>717</v>
      </c>
      <c r="F146" s="692"/>
      <c r="G146" s="692"/>
      <c r="H146" s="692"/>
      <c r="I146" s="692"/>
      <c r="J146" s="692"/>
      <c r="K146" s="439">
        <v>45440</v>
      </c>
      <c r="M146" s="719"/>
      <c r="N146" s="720"/>
      <c r="O146" s="720"/>
      <c r="P146" s="720"/>
      <c r="Q146" s="720"/>
      <c r="R146" s="720"/>
      <c r="S146" s="720"/>
      <c r="T146" s="720"/>
      <c r="U146" s="721"/>
      <c r="V146" s="51"/>
      <c r="W146" s="51"/>
    </row>
    <row r="147" spans="2:23" s="49" customFormat="1" ht="30" customHeight="1">
      <c r="B147" s="9" t="s">
        <v>537</v>
      </c>
      <c r="C147" s="10" t="s">
        <v>742</v>
      </c>
      <c r="D147" s="422">
        <v>45441</v>
      </c>
      <c r="E147" s="692" t="s">
        <v>743</v>
      </c>
      <c r="F147" s="692"/>
      <c r="G147" s="692"/>
      <c r="H147" s="692"/>
      <c r="I147" s="692"/>
      <c r="J147" s="692"/>
      <c r="K147" s="439">
        <v>45441</v>
      </c>
      <c r="M147" s="719"/>
      <c r="N147" s="720"/>
      <c r="O147" s="720"/>
      <c r="P147" s="720"/>
      <c r="Q147" s="720"/>
      <c r="R147" s="720"/>
      <c r="S147" s="720"/>
      <c r="T147" s="720"/>
      <c r="U147" s="721"/>
      <c r="V147" s="51"/>
      <c r="W147" s="51"/>
    </row>
    <row r="148" spans="2:23" s="49" customFormat="1" ht="30" customHeight="1">
      <c r="B148" s="9"/>
      <c r="C148" s="10"/>
      <c r="D148" s="10"/>
      <c r="E148" s="692"/>
      <c r="F148" s="692"/>
      <c r="G148" s="692"/>
      <c r="H148" s="692"/>
      <c r="I148" s="692"/>
      <c r="J148" s="692"/>
      <c r="K148" s="11"/>
      <c r="M148" s="719"/>
      <c r="N148" s="720"/>
      <c r="O148" s="720"/>
      <c r="P148" s="720"/>
      <c r="Q148" s="720"/>
      <c r="R148" s="720"/>
      <c r="S148" s="720"/>
      <c r="T148" s="720"/>
      <c r="U148" s="721"/>
      <c r="V148" s="51"/>
      <c r="W148" s="51"/>
    </row>
    <row r="149" spans="2:23" s="49" customFormat="1" ht="30" customHeight="1">
      <c r="B149" s="9"/>
      <c r="C149" s="10"/>
      <c r="D149" s="10"/>
      <c r="E149" s="692"/>
      <c r="F149" s="692"/>
      <c r="G149" s="692"/>
      <c r="H149" s="692"/>
      <c r="I149" s="692"/>
      <c r="J149" s="692"/>
      <c r="K149" s="11"/>
      <c r="M149" s="719"/>
      <c r="N149" s="720"/>
      <c r="O149" s="720"/>
      <c r="P149" s="720"/>
      <c r="Q149" s="720"/>
      <c r="R149" s="720"/>
      <c r="S149" s="720"/>
      <c r="T149" s="720"/>
      <c r="U149" s="721"/>
      <c r="V149" s="51"/>
      <c r="W149" s="51"/>
    </row>
    <row r="150" spans="2:23" s="49" customFormat="1" ht="30" customHeight="1" thickBot="1">
      <c r="B150" s="9"/>
      <c r="C150" s="10"/>
      <c r="D150" s="10"/>
      <c r="E150" s="692"/>
      <c r="F150" s="692"/>
      <c r="G150" s="692"/>
      <c r="H150" s="692"/>
      <c r="I150" s="692"/>
      <c r="J150" s="692"/>
      <c r="K150" s="11"/>
      <c r="M150" s="722"/>
      <c r="N150" s="723"/>
      <c r="O150" s="723"/>
      <c r="P150" s="723"/>
      <c r="Q150" s="723"/>
      <c r="R150" s="723"/>
      <c r="S150" s="723"/>
      <c r="T150" s="723"/>
      <c r="U150" s="724"/>
      <c r="V150" s="51"/>
      <c r="W150" s="51"/>
    </row>
    <row r="151" spans="2:23" s="49" customFormat="1" ht="30" customHeight="1">
      <c r="B151" s="9"/>
      <c r="C151" s="10"/>
      <c r="D151" s="10"/>
      <c r="E151" s="692"/>
      <c r="F151" s="692"/>
      <c r="G151" s="692"/>
      <c r="H151" s="692"/>
      <c r="I151" s="692"/>
      <c r="J151" s="692"/>
      <c r="K151" s="11"/>
      <c r="N151" s="51"/>
      <c r="O151" s="51"/>
      <c r="P151" s="51"/>
      <c r="Q151" s="51"/>
      <c r="R151" s="51"/>
      <c r="S151" s="51"/>
      <c r="T151" s="51"/>
      <c r="U151" s="51"/>
      <c r="V151" s="51"/>
      <c r="W151" s="51"/>
    </row>
    <row r="152" spans="2:23" s="49" customFormat="1" ht="30" customHeight="1" thickBot="1">
      <c r="B152" s="270"/>
      <c r="C152" s="271"/>
      <c r="D152" s="271"/>
      <c r="E152" s="693"/>
      <c r="F152" s="693"/>
      <c r="G152" s="693"/>
      <c r="H152" s="693"/>
      <c r="I152" s="693"/>
      <c r="J152" s="693"/>
      <c r="K152" s="431"/>
      <c r="N152" s="51"/>
      <c r="O152" s="51"/>
      <c r="P152" s="51"/>
      <c r="Q152" s="51"/>
      <c r="R152" s="51"/>
      <c r="S152" s="51"/>
      <c r="T152" s="51"/>
      <c r="U152" s="51"/>
      <c r="V152" s="51"/>
      <c r="W152" s="51"/>
    </row>
  </sheetData>
  <sheetProtection algorithmName="SHA-512" hashValue="Aa9CKafKLKN9GE/25RpCIrrFSi8EVj23wiWTKNGiupUIouYStsssplmtmkDiI8Qumi+v35ytkZP6eIzR3cm7ZA==" saltValue="sI2LdtU4wCtm5pYF66Cxmg==" spinCount="100000" sheet="1" objects="1" scenarios="1" formatCells="0" formatColumns="0" formatRows="0" insertHyperlinks="0" autoFilter="0" pivotTables="0"/>
  <autoFilter ref="B7:Z140" xr:uid="{00000000-0009-0000-0000-000003000000}">
    <filterColumn colId="9">
      <filters>
        <filter val="a"/>
        <filter val="b"/>
      </filters>
    </filterColumn>
  </autoFilter>
  <mergeCells count="23">
    <mergeCell ref="E142:J142"/>
    <mergeCell ref="E152:J152"/>
    <mergeCell ref="E151:J151"/>
    <mergeCell ref="E150:J150"/>
    <mergeCell ref="E149:J149"/>
    <mergeCell ref="E148:J148"/>
    <mergeCell ref="E147:J147"/>
    <mergeCell ref="E146:J146"/>
    <mergeCell ref="E145:J145"/>
    <mergeCell ref="E144:J144"/>
    <mergeCell ref="E143:J143"/>
    <mergeCell ref="B2:C2"/>
    <mergeCell ref="B3:C3"/>
    <mergeCell ref="J4:J5"/>
    <mergeCell ref="D2:E2"/>
    <mergeCell ref="D3:E3"/>
    <mergeCell ref="B4:E4"/>
    <mergeCell ref="B5:E5"/>
    <mergeCell ref="M142:U142"/>
    <mergeCell ref="M143:U150"/>
    <mergeCell ref="K6:Z6"/>
    <mergeCell ref="P2:AD2"/>
    <mergeCell ref="K3:AD3"/>
  </mergeCells>
  <dataValidations disablePrompts="1" count="6">
    <dataValidation allowBlank="1" showInputMessage="1" sqref="J153:J1048576 J6:J7 J1:J4 J141 J9" xr:uid="{00000000-0002-0000-0300-000000000000}"/>
    <dataValidation type="list" allowBlank="1" showInputMessage="1" sqref="B9" xr:uid="{00000000-0002-0000-0300-000001000000}">
      <formula1>"NVX,SUP,MOD"</formula1>
    </dataValidation>
    <dataValidation type="list" allowBlank="1" showInputMessage="1" showErrorMessage="1" sqref="L9" xr:uid="{00000000-0002-0000-0300-000002000000}">
      <formula1>"OUI,NON"</formula1>
    </dataValidation>
    <dataValidation type="list" allowBlank="1" showInputMessage="1" showErrorMessage="1" sqref="R9" xr:uid="{00000000-0002-0000-0300-000003000000}">
      <formula1>"Droite, Gauche"</formula1>
    </dataValidation>
    <dataValidation type="list" allowBlank="1" showInputMessage="1" showErrorMessage="1" sqref="Q9" xr:uid="{00000000-0002-0000-0300-000004000000}">
      <formula1>"Tete, Pied"</formula1>
    </dataValidation>
    <dataValidation type="list" allowBlank="1" showInputMessage="1" showErrorMessage="1" sqref="U9" xr:uid="{00000000-0002-0000-0300-000005000000}">
      <formula1>"0,1"</formula1>
    </dataValidation>
  </dataValidations>
  <printOptions horizontalCentered="1"/>
  <pageMargins left="0.25" right="0.25" top="0.75" bottom="0.75" header="0.3" footer="0.3"/>
  <pageSetup paperSize="8" scale="32" fitToHeight="0" orientation="landscape" r:id="rId1"/>
  <rowBreaks count="1" manualBreakCount="1">
    <brk id="96" max="26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300-000006000000}">
          <x14:formula1>
            <xm:f>données!$B$4:$B$30</xm:f>
          </x14:formula1>
          <xm:sqref>F9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 filterMode="1">
    <tabColor rgb="FF92D050"/>
    <pageSetUpPr fitToPage="1"/>
  </sheetPr>
  <dimension ref="A1:AD152"/>
  <sheetViews>
    <sheetView showGridLines="0" view="pageBreakPreview" topLeftCell="E1" zoomScale="85" zoomScaleNormal="70" zoomScaleSheetLayoutView="85" workbookViewId="0">
      <selection activeCell="M18" sqref="M18"/>
    </sheetView>
  </sheetViews>
  <sheetFormatPr baseColWidth="10" defaultColWidth="11.42578125" defaultRowHeight="14.25"/>
  <cols>
    <col min="1" max="1" width="3.5703125" style="1" customWidth="1"/>
    <col min="2" max="2" width="12.5703125" style="1" customWidth="1"/>
    <col min="3" max="4" width="14.28515625" style="1" customWidth="1"/>
    <col min="5" max="5" width="7.140625" style="1" customWidth="1"/>
    <col min="6" max="6" width="13.5703125" style="1" customWidth="1"/>
    <col min="7" max="7" width="75.140625" style="5" bestFit="1" customWidth="1"/>
    <col min="8" max="8" width="23.42578125" style="2" bestFit="1" customWidth="1"/>
    <col min="9" max="9" width="25.5703125" style="2" customWidth="1"/>
    <col min="10" max="10" width="19.85546875" style="2" customWidth="1"/>
    <col min="11" max="11" width="24.28515625" style="6" customWidth="1"/>
    <col min="12" max="12" width="20.28515625" style="6" customWidth="1"/>
    <col min="13" max="13" width="25.42578125" style="6" customWidth="1"/>
    <col min="14" max="14" width="21.42578125" style="6" customWidth="1"/>
    <col min="15" max="15" width="22.5703125" style="6" customWidth="1"/>
    <col min="16" max="16" width="17.5703125" style="6" customWidth="1"/>
    <col min="17" max="17" width="20.85546875" style="6" customWidth="1"/>
    <col min="18" max="18" width="23.5703125" style="6" customWidth="1"/>
    <col min="19" max="21" width="21.5703125" style="6" customWidth="1"/>
    <col min="22" max="22" width="91.42578125" style="6" customWidth="1"/>
    <col min="23" max="23" width="3.5703125" style="6" customWidth="1"/>
    <col min="24" max="16384" width="11.42578125" style="6"/>
  </cols>
  <sheetData>
    <row r="1" spans="1:30" s="49" customFormat="1" ht="18.75" customHeight="1" thickBot="1">
      <c r="H1" s="51"/>
      <c r="I1" s="51"/>
      <c r="J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</row>
    <row r="2" spans="1:30" s="49" customFormat="1" ht="19.5" customHeight="1" thickBot="1">
      <c r="B2" s="696" t="s">
        <v>0</v>
      </c>
      <c r="C2" s="697"/>
      <c r="D2" s="696" t="s">
        <v>100</v>
      </c>
      <c r="E2" s="697"/>
      <c r="H2" s="51" t="s">
        <v>23</v>
      </c>
      <c r="I2" s="51"/>
      <c r="J2" s="51"/>
      <c r="K2" s="731" t="str">
        <f>IF(données!$P$11="","Veuillez saisir une valeur d'angle pour les tasseaux dans l'onglet 'données'","")</f>
        <v/>
      </c>
      <c r="L2" s="731"/>
      <c r="M2" s="731"/>
      <c r="N2" s="51"/>
      <c r="O2" s="711"/>
      <c r="P2" s="711"/>
      <c r="Q2" s="711"/>
      <c r="R2" s="711"/>
      <c r="S2" s="711"/>
      <c r="T2" s="711"/>
      <c r="U2" s="711"/>
      <c r="V2" s="711"/>
      <c r="W2" s="711"/>
      <c r="X2" s="711"/>
      <c r="Y2" s="711"/>
      <c r="Z2" s="711"/>
      <c r="AA2" s="711"/>
      <c r="AB2" s="711"/>
      <c r="AC2" s="711"/>
      <c r="AD2" s="711"/>
    </row>
    <row r="3" spans="1:30" s="49" customFormat="1" ht="30" customHeight="1" thickBot="1">
      <c r="B3" s="706">
        <f>NOMENCLATURE_GEN!B3</f>
        <v>224102</v>
      </c>
      <c r="C3" s="664"/>
      <c r="D3" s="706" t="str">
        <f>LOOKUP(2,1/(C:C&lt;&gt;""),C:C)</f>
        <v>C</v>
      </c>
      <c r="E3" s="664"/>
      <c r="H3" s="52" t="s">
        <v>13</v>
      </c>
      <c r="I3" s="51"/>
      <c r="J3" s="51"/>
      <c r="K3" s="731"/>
      <c r="L3" s="731"/>
      <c r="M3" s="731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</row>
    <row r="4" spans="1:30" s="49" customFormat="1" ht="19.5" customHeight="1" thickBot="1">
      <c r="B4" s="696" t="s">
        <v>159</v>
      </c>
      <c r="C4" s="705"/>
      <c r="D4" s="705"/>
      <c r="E4" s="697"/>
      <c r="H4" s="51"/>
      <c r="I4" s="51"/>
      <c r="J4" s="703"/>
      <c r="K4" s="731"/>
      <c r="L4" s="731"/>
      <c r="M4" s="731"/>
    </row>
    <row r="5" spans="1:30" s="49" customFormat="1" ht="25.15" customHeight="1" thickBot="1">
      <c r="B5" s="706" t="str">
        <f>NOMENCLATURE_GEN!B5</f>
        <v>PAPREC - CHAGNY</v>
      </c>
      <c r="C5" s="663"/>
      <c r="D5" s="663"/>
      <c r="E5" s="664"/>
      <c r="H5" s="51"/>
      <c r="I5" s="51"/>
      <c r="J5" s="703"/>
    </row>
    <row r="6" spans="1:30" ht="32.25" customHeight="1" thickBot="1">
      <c r="K6" s="728" t="s">
        <v>22</v>
      </c>
      <c r="L6" s="729"/>
      <c r="M6" s="729"/>
      <c r="N6" s="729"/>
      <c r="O6" s="729"/>
      <c r="P6" s="729"/>
      <c r="Q6" s="729"/>
      <c r="R6" s="729"/>
      <c r="S6" s="729"/>
      <c r="T6" s="729"/>
      <c r="U6" s="729"/>
      <c r="V6" s="730"/>
    </row>
    <row r="7" spans="1:30" ht="53.25" customHeight="1" thickBot="1">
      <c r="B7" s="249" t="str">
        <f>NOMENCLATURE_GEN!B7</f>
        <v>NVX /
SUP /
MOD /</v>
      </c>
      <c r="C7" s="245" t="str">
        <f>NOMENCLATURE_GEN!C7</f>
        <v>REPERE CLIENT</v>
      </c>
      <c r="D7" s="246" t="str">
        <f>NOMENCLATURE_GEN!D7</f>
        <v>REPERE VAUCHE</v>
      </c>
      <c r="E7" s="173" t="s">
        <v>353</v>
      </c>
      <c r="F7" s="246" t="str">
        <f>NOMENCLATURE_GEN!F7</f>
        <v xml:space="preserve">TYPE </v>
      </c>
      <c r="G7" s="246" t="str">
        <f>NOMENCLATURE_GEN!G7</f>
        <v>DESIGNATION</v>
      </c>
      <c r="H7" s="246" t="str">
        <f>NOMENCLATURE_GEN!H7</f>
        <v>LARGEUR 
DE BANDE (mm)</v>
      </c>
      <c r="I7" s="246" t="str">
        <f>NOMENCLATURE_GEN!I7</f>
        <v>LONGEUR HORS TOUT (mm)</v>
      </c>
      <c r="J7" s="250" t="str">
        <f>NOMENCLATURE_GEN!J7</f>
        <v>INCLINAISON (°)</v>
      </c>
      <c r="K7" s="172" t="s">
        <v>141</v>
      </c>
      <c r="L7" s="173" t="s">
        <v>142</v>
      </c>
      <c r="M7" s="173" t="s">
        <v>143</v>
      </c>
      <c r="N7" s="173" t="s">
        <v>20</v>
      </c>
      <c r="O7" s="173" t="s">
        <v>21</v>
      </c>
      <c r="P7" s="173" t="s">
        <v>144</v>
      </c>
      <c r="Q7" s="325" t="s">
        <v>146</v>
      </c>
      <c r="R7" s="173" t="s">
        <v>90</v>
      </c>
      <c r="S7" s="173" t="s">
        <v>19</v>
      </c>
      <c r="T7" s="176" t="s">
        <v>349</v>
      </c>
      <c r="U7" s="176" t="s">
        <v>350</v>
      </c>
      <c r="V7" s="174" t="s">
        <v>145</v>
      </c>
    </row>
    <row r="8" spans="1:30" s="8" customFormat="1" ht="39.950000000000003" hidden="1" customHeight="1">
      <c r="A8" s="3"/>
      <c r="B8" s="288" t="str">
        <f>IF(NOMENCLATURE_GEN!B8="","",NOMENCLATURE_GEN!B8)</f>
        <v/>
      </c>
      <c r="C8" s="127" t="str">
        <f>IF(NOMENCLATURE_GEN!C8="","",NOMENCLATURE_GEN!C8)</f>
        <v/>
      </c>
      <c r="D8" s="127">
        <f>IF(NOMENCLATURE_GEN!D8="","",NOMENCLATURE_GEN!D8)</f>
        <v>101</v>
      </c>
      <c r="E8" s="127" t="str">
        <f ca="1">IF(NOMENCLATURE_GEN!E8="","",NOMENCLATURE_GEN!E8)</f>
        <v>A</v>
      </c>
      <c r="F8" s="127" t="str">
        <f>IF(NOMENCLATURE_GEN!F8="","",NOMENCLATURE_GEN!F8)</f>
        <v>EAB</v>
      </c>
      <c r="G8" s="309" t="str">
        <f>IF(NOMENCLATURE_GEN!G8="","",NOMENCLATURE_GEN!G8)</f>
        <v>Convoyeur à bande et chaines de reprise des BRS</v>
      </c>
      <c r="H8" s="127">
        <f>IF(NOMENCLATURE_GEN!H8="","",IF(NOMENCLATURE_GEN!F8="ACO",NOMENCLATURE_GEN!H8+160,NOMENCLATURE_GEN!H8))</f>
        <v>1600</v>
      </c>
      <c r="I8" s="623">
        <f>IF(NOMENCLATURE_GEN!I8="","",NOMENCLATURE_GEN!I8)</f>
        <v>33400</v>
      </c>
      <c r="J8" s="127">
        <f>IF(NOMENCLATURE_GEN!J8="","",NOMENCLATURE_GEN!J8)</f>
        <v>35</v>
      </c>
      <c r="K8" s="282">
        <f>IFERROR(400/VLOOKUP(F8,données!$B$3:$D$30,3,FALSE),"")</f>
        <v>400</v>
      </c>
      <c r="L8" s="283">
        <f>IFERROR(3/VLOOKUP(F8,données!$B$3:$D$30,3,FALSE),"")</f>
        <v>3</v>
      </c>
      <c r="M8" s="283" t="str">
        <f>IF(L8="","",VLOOKUP(F8,données!$B$4:$I$30,8,FALSE))</f>
        <v>4+2</v>
      </c>
      <c r="N8" s="283" t="str">
        <f>IF(L8="","","CAOUTCHOUC")</f>
        <v>CAOUTCHOUC</v>
      </c>
      <c r="O8" s="513" t="str">
        <f t="shared" ref="O8:O9" si="0">IF(L8="","","G2 Haute resistance aux huiles")</f>
        <v>G2 Haute resistance aux huiles</v>
      </c>
      <c r="P8" s="283" t="str">
        <f>IF(L8="","","Ouverte")</f>
        <v>Ouverte</v>
      </c>
      <c r="Q8" s="553">
        <f>IF(K8="","",INT(((I8*2-VLOOKUP(F8,données!$B$4:$I$30,4,FALSE)+VLOOKUP(F8,données!$B$4:$I$30,5,FALSE)*NOMENCLATURE_GEN!O8+IF(OR(NOMENCLATURE_GEN!P8="",NOMENCLATURE_GEN!P8=0),0,2250)+NOMENCLATURE_GEN!Q8*2000)+0.3*H8+VLOOKUP(K8,données!$M$4:$Q$9,MATCH(L8,données!$M$3:$Q$3,0),FALSE)*(L8-1)+250)/1000)+1)</f>
        <v>73</v>
      </c>
      <c r="R8" s="283" t="str">
        <f>IF(K8="","",IF(OR(F8=données!$B$12,F8=données!$B$13),"Bande à bords",IF(J8&gt;données!$P$11,"Bande à chevrons","Bande lisse")))</f>
        <v>Bande à bords</v>
      </c>
      <c r="S8" s="283" t="str">
        <f>IFERROR(_xlfn.IFS(R8="Bande à bords",CONCATENATE("EAB",H8*100+350),R8="Bande à tasseaux",IF(H8&lt;1000,CONCATENATE("TBE0",H8,"048"),CONCATENATE("TBE",H8,"048"))),"")</f>
        <v>EAB160350</v>
      </c>
      <c r="T8" s="289" t="s">
        <v>26</v>
      </c>
      <c r="U8" s="289" t="s">
        <v>535</v>
      </c>
      <c r="V8" s="275"/>
    </row>
    <row r="9" spans="1:30" s="8" customFormat="1" ht="39.950000000000003" hidden="1" customHeight="1">
      <c r="A9" s="3"/>
      <c r="B9" s="25" t="str">
        <f>IF(NOMENCLATURE_GEN!B9="","",NOMENCLATURE_GEN!B9)</f>
        <v/>
      </c>
      <c r="C9" s="243" t="str">
        <f>IF(NOMENCLATURE_GEN!C9="","",NOMENCLATURE_GEN!C9)</f>
        <v/>
      </c>
      <c r="D9" s="4">
        <f>IF(NOMENCLATURE_GEN!D9="","",NOMENCLATURE_GEN!D9)</f>
        <v>101</v>
      </c>
      <c r="E9" s="4" t="str">
        <f ca="1">IF(NOMENCLATURE_GEN!E9="","",NOMENCLATURE_GEN!E9)</f>
        <v>B</v>
      </c>
      <c r="F9" s="4" t="str">
        <f>IF(NOMENCLATURE_GEN!F9="","",NOMENCLATURE_GEN!F9)</f>
        <v>GRA</v>
      </c>
      <c r="G9" s="310" t="str">
        <f>IF(NOMENCLATURE_GEN!G9="","",NOMENCLATURE_GEN!G9)</f>
        <v>Convoyeur à bande et chaines - Centrale de graissage</v>
      </c>
      <c r="H9" s="4" t="str">
        <f>IF(NOMENCLATURE_GEN!H9="","",IF(NOMENCLATURE_GEN!F9="ACO",NOMENCLATURE_GEN!H9+160,NOMENCLATURE_GEN!H9))</f>
        <v/>
      </c>
      <c r="I9" s="4" t="str">
        <f>IF(NOMENCLATURE_GEN!I9="","",NOMENCLATURE_GEN!I9)</f>
        <v/>
      </c>
      <c r="J9" s="4" t="str">
        <f>IF(NOMENCLATURE_GEN!J9="","",NOMENCLATURE_GEN!J9)</f>
        <v/>
      </c>
      <c r="K9" s="12" t="str">
        <f>IFERROR(400/VLOOKUP(F9,données!$B$3:$D$30,3,FALSE),"")</f>
        <v/>
      </c>
      <c r="L9" s="13" t="str">
        <f>IFERROR(3/VLOOKUP(F9,données!$B$3:$D$30,3,FALSE),"")</f>
        <v/>
      </c>
      <c r="M9" s="13" t="str">
        <f>IF(L9="","",VLOOKUP(F9,données!$B$4:$I$30,8,FALSE))</f>
        <v/>
      </c>
      <c r="N9" s="13" t="str">
        <f t="shared" ref="N9:N75" si="1">IF(L9="","","CAOUTCHOUC")</f>
        <v/>
      </c>
      <c r="O9" s="513" t="str">
        <f t="shared" si="0"/>
        <v/>
      </c>
      <c r="P9" s="13" t="str">
        <f t="shared" ref="P9:P75" si="2">IF(L9="","","Ouverte")</f>
        <v/>
      </c>
      <c r="Q9" s="326" t="str">
        <f>IF(K9="","",INT(((I9*2-VLOOKUP(F9,données!$B$4:$I$30,4,FALSE)+VLOOKUP(F9,données!$B$4:$I$30,5,FALSE)*NOMENCLATURE_GEN!O9+IF(OR(NOMENCLATURE_GEN!P9="",NOMENCLATURE_GEN!P9=0),0,2250)+NOMENCLATURE_GEN!Q9*2000)+0.3*H9+VLOOKUP(K9,données!$M$4:$Q$9,MATCH(L9,données!$M$3:$Q$3,0),FALSE)*(L9-1)+250)/1000)+1)</f>
        <v/>
      </c>
      <c r="R9" s="13" t="str">
        <f>IF(K9="","",IF(OR(F9=données!$B$12,F9=données!$B$13),"Bande à bords",IF(J9&gt;données!$P$11,"Bande à chevrons","Bande lisse")))</f>
        <v/>
      </c>
      <c r="S9" s="13" t="str">
        <f t="shared" ref="S9:S75" si="3">IFERROR(_xlfn.IFS(R9="Bande à bords",CONCATENATE("EAB",H9*100+350),R9="Bande à tasseaux",IF(H9&lt;1000,CONCATENATE("TBE0",H9,"048"),CONCATENATE("TBE",H9,"048"))),"")</f>
        <v/>
      </c>
      <c r="T9" s="109"/>
      <c r="U9" s="109"/>
      <c r="V9" s="11"/>
    </row>
    <row r="10" spans="1:30" s="8" customFormat="1" ht="39.950000000000003" customHeight="1">
      <c r="A10" s="3"/>
      <c r="B10" s="25" t="str">
        <f>IF(NOMENCLATURE_GEN!B10="","",NOMENCLATURE_GEN!B10)</f>
        <v/>
      </c>
      <c r="C10" s="243" t="str">
        <f>IF(NOMENCLATURE_GEN!C10="","",NOMENCLATURE_GEN!C10)</f>
        <v/>
      </c>
      <c r="D10" s="4">
        <f>IF(NOMENCLATURE_GEN!D10="","",NOMENCLATURE_GEN!D10)</f>
        <v>102</v>
      </c>
      <c r="E10" s="4" t="str">
        <f ca="1">IF(NOMENCLATURE_GEN!E10="","",NOMENCLATURE_GEN!E10)</f>
        <v>A</v>
      </c>
      <c r="F10" s="4" t="str">
        <f>IF(NOMENCLATURE_GEN!F10="","",NOMENCLATURE_GEN!F10)</f>
        <v>CBA</v>
      </c>
      <c r="G10" s="310" t="str">
        <f>IF(NOMENCLATURE_GEN!G10="","",NOMENCLATURE_GEN!G10)</f>
        <v>Convoyeur d'alimentation du trommel</v>
      </c>
      <c r="H10" s="4">
        <f>IF(NOMENCLATURE_GEN!H10="","",IF(NOMENCLATURE_GEN!F10="ACO",NOMENCLATURE_GEN!H10+160,NOMENCLATURE_GEN!H10))</f>
        <v>1400</v>
      </c>
      <c r="I10" s="4">
        <f>IF(NOMENCLATURE_GEN!I10="","",NOMENCLATURE_GEN!I10)</f>
        <v>7000</v>
      </c>
      <c r="J10" s="4">
        <f>IF(NOMENCLATURE_GEN!J10="","",NOMENCLATURE_GEN!J10)</f>
        <v>17</v>
      </c>
      <c r="K10" s="12">
        <f>IFERROR(400/VLOOKUP(F10,données!$B$3:$D$30,3,FALSE),"")</f>
        <v>400</v>
      </c>
      <c r="L10" s="13">
        <f>IFERROR(3/VLOOKUP(F10,données!$B$3:$D$30,3,FALSE),"")</f>
        <v>3</v>
      </c>
      <c r="M10" s="13" t="str">
        <f>IF(L10="","",VLOOKUP(F10,données!$B$4:$I$30,8,FALSE))</f>
        <v>4+2</v>
      </c>
      <c r="N10" s="13" t="str">
        <f t="shared" ref="N10" si="4">IF(L10="","","CAOUTCHOUC")</f>
        <v>CAOUTCHOUC</v>
      </c>
      <c r="O10" s="513" t="str">
        <f>IF(L10="","","G2 Haute resistance aux huiles")</f>
        <v>G2 Haute resistance aux huiles</v>
      </c>
      <c r="P10" s="13" t="str">
        <f t="shared" ref="P10" si="5">IF(L10="","","Ouverte")</f>
        <v>Ouverte</v>
      </c>
      <c r="Q10" s="326">
        <f>IF(K10="","",INT(((I10*2-VLOOKUP(F10,données!$B$4:$I$30,4,FALSE)+VLOOKUP(F10,données!$B$4:$I$30,5,FALSE)*NOMENCLATURE_GEN!O10+IF(OR(NOMENCLATURE_GEN!P10="",NOMENCLATURE_GEN!P10=0),0,2250)+NOMENCLATURE_GEN!Q10*2000)+0.3*H10+VLOOKUP(K10,données!$M$4:$Q$9,MATCH(L10,données!$M$3:$Q$3,0),FALSE)*(L10-1)+250)/1000)+1)</f>
        <v>16</v>
      </c>
      <c r="R10" s="13" t="s">
        <v>536</v>
      </c>
      <c r="S10" s="13" t="str">
        <f t="shared" ref="S10" si="6">IFERROR(_xlfn.IFS(R10="Bande à bords",CONCATENATE("EAB",H10*100+350),R10="Bande à tasseaux",IF(H10&lt;1000,CONCATENATE("TBE0",H10,"048"),CONCATENATE("TBE",H10,"048"))),"")</f>
        <v/>
      </c>
      <c r="T10" s="651" t="s">
        <v>542</v>
      </c>
      <c r="U10" s="651" t="s">
        <v>542</v>
      </c>
      <c r="V10" s="11"/>
    </row>
    <row r="11" spans="1:30" s="8" customFormat="1" ht="39.950000000000003" hidden="1" customHeight="1">
      <c r="A11" s="3"/>
      <c r="B11" s="25" t="str">
        <f>IF(NOMENCLATURE_GEN!B11="","",NOMENCLATURE_GEN!B11)</f>
        <v/>
      </c>
      <c r="C11" s="243" t="str">
        <f>IF(NOMENCLATURE_GEN!C11="","",NOMENCLATURE_GEN!C11)</f>
        <v/>
      </c>
      <c r="D11" s="4">
        <f>IF(NOMENCLATURE_GEN!D11="","",NOMENCLATURE_GEN!D11)</f>
        <v>103</v>
      </c>
      <c r="E11" s="4" t="str">
        <f ca="1">IF(NOMENCLATURE_GEN!E11="","",NOMENCLATURE_GEN!E11)</f>
        <v>A</v>
      </c>
      <c r="F11" s="4" t="str">
        <f>IF(NOMENCLATURE_GEN!F11="","",NOMENCLATURE_GEN!F11)</f>
        <v>TRO</v>
      </c>
      <c r="G11" s="310" t="str">
        <f>IF(NOMENCLATURE_GEN!G11="","",NOMENCLATURE_GEN!G11)</f>
        <v>Trommel cribleur, maille Ø150/180mm avec peignes</v>
      </c>
      <c r="H11" s="4">
        <f>IF(NOMENCLATURE_GEN!H11="","",IF(NOMENCLATURE_GEN!F11="ACO",NOMENCLATURE_GEN!H11+160,NOMENCLATURE_GEN!H11))</f>
        <v>2500</v>
      </c>
      <c r="I11" s="4">
        <f>IF(NOMENCLATURE_GEN!I11="","",NOMENCLATURE_GEN!I11)</f>
        <v>6000</v>
      </c>
      <c r="J11" s="4">
        <f>IF(NOMENCLATURE_GEN!J11="","",NOMENCLATURE_GEN!J11)</f>
        <v>3</v>
      </c>
      <c r="K11" s="12" t="str">
        <f>IFERROR(400/VLOOKUP(F11,données!$B$3:$D$30,3,FALSE),"")</f>
        <v/>
      </c>
      <c r="L11" s="13" t="str">
        <f>IFERROR(3/VLOOKUP(F11,données!$B$3:$D$30,3,FALSE),"")</f>
        <v/>
      </c>
      <c r="M11" s="13" t="str">
        <f>IF(L11="","",VLOOKUP(F11,données!$B$4:$I$30,8,FALSE))</f>
        <v/>
      </c>
      <c r="N11" s="13" t="str">
        <f t="shared" ref="N11" si="7">IF(L11="","","CAOUTCHOUC")</f>
        <v/>
      </c>
      <c r="O11" s="513" t="str">
        <f t="shared" ref="O11:O74" si="8">IF(L11="","","G2 Haute resistance aux huiles")</f>
        <v/>
      </c>
      <c r="P11" s="13" t="str">
        <f t="shared" ref="P11" si="9">IF(L11="","","Ouverte")</f>
        <v/>
      </c>
      <c r="Q11" s="326" t="str">
        <f>IF(K11="","",INT(((I11*2-VLOOKUP(F11,données!$B$4:$I$30,4,FALSE)+VLOOKUP(F11,données!$B$4:$I$30,5,FALSE)*NOMENCLATURE_GEN!O11+IF(OR(NOMENCLATURE_GEN!P11="",NOMENCLATURE_GEN!P11=0),0,2250)+NOMENCLATURE_GEN!Q11*2000)+0.3*H11+VLOOKUP(K11,données!$M$4:$Q$9,MATCH(L11,données!$M$3:$Q$3,0),FALSE)*(L11-1)+250)/1000)+1)</f>
        <v/>
      </c>
      <c r="R11" s="13" t="str">
        <f>IF(K11="","",IF(OR(F11=données!$B$12,F11=données!$B$13),"Bande à bords",IF(J11&gt;données!$P$11,"Bande à chevrons","Bande lisse")))</f>
        <v/>
      </c>
      <c r="S11" s="13" t="str">
        <f t="shared" ref="S11" si="10">IFERROR(_xlfn.IFS(R11="Bande à bords",CONCATENATE("EAB",H11*100+350),R11="Bande à tasseaux",IF(H11&lt;1000,CONCATENATE("TBE0",H11,"048"),CONCATENATE("TBE",H11,"048"))),"")</f>
        <v/>
      </c>
      <c r="T11" s="109"/>
      <c r="U11" s="109"/>
      <c r="V11" s="11"/>
    </row>
    <row r="12" spans="1:30" s="8" customFormat="1" ht="39.950000000000003" customHeight="1">
      <c r="A12" s="3"/>
      <c r="B12" s="25" t="str">
        <f>IF(NOMENCLATURE_GEN!B12="","",NOMENCLATURE_GEN!B12)</f>
        <v/>
      </c>
      <c r="C12" s="243" t="str">
        <f>IF(NOMENCLATURE_GEN!C12="","",NOMENCLATURE_GEN!C12)</f>
        <v/>
      </c>
      <c r="D12" s="4">
        <f>IF(NOMENCLATURE_GEN!D12="","",NOMENCLATURE_GEN!D12)</f>
        <v>104</v>
      </c>
      <c r="E12" s="4" t="str">
        <f ca="1">IF(NOMENCLATURE_GEN!E12="","",NOMENCLATURE_GEN!E12)</f>
        <v>A</v>
      </c>
      <c r="F12" s="4" t="str">
        <f>IF(NOMENCLATURE_GEN!F12="","",NOMENCLATURE_GEN!F12)</f>
        <v>CBA</v>
      </c>
      <c r="G12" s="310" t="str">
        <f>IF(NOMENCLATURE_GEN!G12="","",NOMENCLATURE_GEN!G12)</f>
        <v>Convoyeur de reprise de la fraction &gt; 180mm, tête inox</v>
      </c>
      <c r="H12" s="4">
        <f>IF(NOMENCLATURE_GEN!H12="","",IF(NOMENCLATURE_GEN!F12="ACO",NOMENCLATURE_GEN!H12+160,NOMENCLATURE_GEN!H12))</f>
        <v>1400</v>
      </c>
      <c r="I12" s="4">
        <f>IF(NOMENCLATURE_GEN!I12="","",NOMENCLATURE_GEN!I12)</f>
        <v>7000</v>
      </c>
      <c r="J12" s="4">
        <f>IF(NOMENCLATURE_GEN!J12="","",NOMENCLATURE_GEN!J12)</f>
        <v>0</v>
      </c>
      <c r="K12" s="12">
        <f>IFERROR(400/VLOOKUP(F12,données!$B$3:$D$30,3,FALSE),"")</f>
        <v>400</v>
      </c>
      <c r="L12" s="13">
        <f>IFERROR(3/VLOOKUP(F12,données!$B$3:$D$30,3,FALSE),"")</f>
        <v>3</v>
      </c>
      <c r="M12" s="13" t="str">
        <f>IF(L12="","",VLOOKUP(F12,données!$B$4:$I$30,8,FALSE))</f>
        <v>4+2</v>
      </c>
      <c r="N12" s="13" t="str">
        <f t="shared" si="1"/>
        <v>CAOUTCHOUC</v>
      </c>
      <c r="O12" s="513" t="str">
        <f t="shared" si="8"/>
        <v>G2 Haute resistance aux huiles</v>
      </c>
      <c r="P12" s="13" t="str">
        <f t="shared" si="2"/>
        <v>Ouverte</v>
      </c>
      <c r="Q12" s="326">
        <f>IF(K12="","",INT(((I12*2-VLOOKUP(F12,données!$B$4:$I$30,4,FALSE)+VLOOKUP(F12,données!$B$4:$I$30,5,FALSE)*NOMENCLATURE_GEN!O12+IF(OR(NOMENCLATURE_GEN!P12="",NOMENCLATURE_GEN!P12=0),0,2250)+NOMENCLATURE_GEN!Q12*2000)+0.3*H12+VLOOKUP(K12,données!$M$4:$Q$9,MATCH(L12,données!$M$3:$Q$3,0),FALSE)*(L12-1)+250)/1000)+1)</f>
        <v>16</v>
      </c>
      <c r="R12" s="13" t="str">
        <f>IF(K12="","",IF(OR(F12=données!$B$12,F12=données!$B$13),"Bande à bords",IF(J12&gt;données!$P$11,"Bande à chevrons","Bande lisse")))</f>
        <v>Bande lisse</v>
      </c>
      <c r="S12" s="13" t="str">
        <f t="shared" si="3"/>
        <v/>
      </c>
      <c r="T12" s="651" t="s">
        <v>542</v>
      </c>
      <c r="U12" s="651" t="s">
        <v>542</v>
      </c>
      <c r="V12" s="11"/>
    </row>
    <row r="13" spans="1:30" s="8" customFormat="1" ht="39.950000000000003" hidden="1" customHeight="1">
      <c r="A13" s="3"/>
      <c r="B13" s="25" t="str">
        <f>IF(NOMENCLATURE_GEN!B13="","",NOMENCLATURE_GEN!B13)</f>
        <v/>
      </c>
      <c r="C13" s="243" t="str">
        <f>IF(NOMENCLATURE_GEN!C13="","",NOMENCLATURE_GEN!C13)</f>
        <v/>
      </c>
      <c r="D13" s="4">
        <f>IF(NOMENCLATURE_GEN!D13="","",NOMENCLATURE_GEN!D13)</f>
        <v>105</v>
      </c>
      <c r="E13" s="4" t="str">
        <f ca="1">IF(NOMENCLATURE_GEN!E13="","",NOMENCLATURE_GEN!E13)</f>
        <v>A</v>
      </c>
      <c r="F13" s="4" t="str">
        <f>IF(NOMENCLATURE_GEN!F13="","",NOMENCLATURE_GEN!F13)</f>
        <v>OVB</v>
      </c>
      <c r="G13" s="310" t="str">
        <f>IF(NOMENCLATURE_GEN!G13="","",NOMENCLATURE_GEN!G13)</f>
        <v>Séparateur magnétique à aimant permament</v>
      </c>
      <c r="H13" s="4">
        <f>IF(NOMENCLATURE_GEN!H13="","",IF(NOMENCLATURE_GEN!F13="ACO",NOMENCLATURE_GEN!H13+160,NOMENCLATURE_GEN!H13))</f>
        <v>1200</v>
      </c>
      <c r="I13" s="4">
        <f>IF(NOMENCLATURE_GEN!I13="","",NOMENCLATURE_GEN!I13)</f>
        <v>1200</v>
      </c>
      <c r="J13" s="4" t="str">
        <f>IF(NOMENCLATURE_GEN!J13="","",NOMENCLATURE_GEN!J13)</f>
        <v/>
      </c>
      <c r="K13" s="12" t="str">
        <f>IFERROR(400/VLOOKUP(F13,données!$B$3:$D$30,3,FALSE),"")</f>
        <v/>
      </c>
      <c r="L13" s="13" t="str">
        <f>IFERROR(3/VLOOKUP(F13,données!$B$3:$D$30,3,FALSE),"")</f>
        <v/>
      </c>
      <c r="M13" s="13" t="str">
        <f>IF(L13="","",VLOOKUP(F13,données!$B$4:$I$30,8,FALSE))</f>
        <v/>
      </c>
      <c r="N13" s="13" t="str">
        <f t="shared" si="1"/>
        <v/>
      </c>
      <c r="O13" s="513" t="str">
        <f t="shared" si="8"/>
        <v/>
      </c>
      <c r="P13" s="13" t="str">
        <f t="shared" si="2"/>
        <v/>
      </c>
      <c r="Q13" s="326" t="str">
        <f>IF(K13="","",INT(((I13*2-VLOOKUP(F13,données!$B$4:$I$30,4,FALSE)+VLOOKUP(F13,données!$B$4:$I$30,5,FALSE)*NOMENCLATURE_GEN!O13+IF(OR(NOMENCLATURE_GEN!P13="",NOMENCLATURE_GEN!P13=0),0,2250)+NOMENCLATURE_GEN!Q13*2000)+0.3*H13+VLOOKUP(K13,données!$M$4:$Q$9,MATCH(L13,données!$M$3:$Q$3,0),FALSE)*(L13-1)+250)/1000)+1)</f>
        <v/>
      </c>
      <c r="R13" s="13" t="str">
        <f>IF(K13="","",IF(OR(F13=données!$B$12,F13=données!$B$13),"Bande à bords",IF(J13&gt;données!$P$11,"Bande à chevrons","Bande lisse")))</f>
        <v/>
      </c>
      <c r="S13" s="13" t="str">
        <f t="shared" si="3"/>
        <v/>
      </c>
      <c r="T13" s="109"/>
      <c r="U13" s="109"/>
      <c r="V13" s="11"/>
    </row>
    <row r="14" spans="1:30" s="8" customFormat="1" ht="39.950000000000003" hidden="1" customHeight="1">
      <c r="A14" s="3"/>
      <c r="B14" s="25" t="str">
        <f>IF(NOMENCLATURE_GEN!B14="","",NOMENCLATURE_GEN!B14)</f>
        <v/>
      </c>
      <c r="C14" s="243" t="str">
        <f>IF(NOMENCLATURE_GEN!C14="","",NOMENCLATURE_GEN!C14)</f>
        <v/>
      </c>
      <c r="D14" s="4">
        <f>IF(NOMENCLATURE_GEN!D14="","",NOMENCLATURE_GEN!D14)</f>
        <v>106</v>
      </c>
      <c r="E14" s="4" t="str">
        <f ca="1">IF(NOMENCLATURE_GEN!E14="","",NOMENCLATURE_GEN!E14)</f>
        <v>A</v>
      </c>
      <c r="F14" s="4" t="str">
        <f>IF(NOMENCLATURE_GEN!F14="","",NOMENCLATURE_GEN!F14)</f>
        <v>GLT</v>
      </c>
      <c r="G14" s="310" t="str">
        <f>IF(NOMENCLATURE_GEN!G14="","",NOMENCLATURE_GEN!G14)</f>
        <v>Goulotte de liaison vers le convoyeur des refus</v>
      </c>
      <c r="H14" s="4">
        <f>IF(NOMENCLATURE_GEN!H14="","",IF(NOMENCLATURE_GEN!F14="ACO",NOMENCLATURE_GEN!H14+160,NOMENCLATURE_GEN!H14))</f>
        <v>1200</v>
      </c>
      <c r="I14" s="4">
        <f>IF(NOMENCLATURE_GEN!I14="","",NOMENCLATURE_GEN!I14)</f>
        <v>1200</v>
      </c>
      <c r="J14" s="4">
        <f>IF(NOMENCLATURE_GEN!J14="","",NOMENCLATURE_GEN!J14)</f>
        <v>0</v>
      </c>
      <c r="K14" s="12" t="str">
        <f>IFERROR(400/VLOOKUP(F14,données!$B$3:$D$30,3,FALSE),"")</f>
        <v/>
      </c>
      <c r="L14" s="13" t="str">
        <f>IFERROR(3/VLOOKUP(F14,données!$B$3:$D$30,3,FALSE),"")</f>
        <v/>
      </c>
      <c r="M14" s="13" t="str">
        <f>IF(L14="","",VLOOKUP(F14,données!$B$4:$I$30,8,FALSE))</f>
        <v/>
      </c>
      <c r="N14" s="13" t="str">
        <f t="shared" si="1"/>
        <v/>
      </c>
      <c r="O14" s="513" t="str">
        <f t="shared" si="8"/>
        <v/>
      </c>
      <c r="P14" s="13" t="str">
        <f t="shared" si="2"/>
        <v/>
      </c>
      <c r="Q14" s="326" t="str">
        <f>IF(K14="","",INT(((I14*2-VLOOKUP(F14,données!$B$4:$I$30,4,FALSE)+VLOOKUP(F14,données!$B$4:$I$30,5,FALSE)*NOMENCLATURE_GEN!O14+IF(OR(NOMENCLATURE_GEN!P14="",NOMENCLATURE_GEN!P14=0),0,2250)+NOMENCLATURE_GEN!Q14*2000)+0.3*H14+VLOOKUP(K14,données!$M$4:$Q$9,MATCH(L14,données!$M$3:$Q$3,0),FALSE)*(L14-1)+250)/1000)+1)</f>
        <v/>
      </c>
      <c r="R14" s="14" t="str">
        <f>IF(K14="","",IF(OR(F14=données!$B$12,F14=données!$B$13),"Bande à bords",IF(J14&gt;données!$P$11,"Bande à chevrons","Bande lisse")))</f>
        <v/>
      </c>
      <c r="S14" s="14" t="str">
        <f t="shared" si="3"/>
        <v/>
      </c>
      <c r="T14" s="406"/>
      <c r="U14" s="406"/>
      <c r="V14" s="17"/>
    </row>
    <row r="15" spans="1:30" s="8" customFormat="1" ht="39.950000000000003" customHeight="1">
      <c r="A15" s="3"/>
      <c r="B15" s="25" t="str">
        <f>IF(NOMENCLATURE_GEN!B15="","",NOMENCLATURE_GEN!B15)</f>
        <v/>
      </c>
      <c r="C15" s="243" t="str">
        <f>IF(NOMENCLATURE_GEN!C15="","",NOMENCLATURE_GEN!C15)</f>
        <v/>
      </c>
      <c r="D15" s="4">
        <f>IF(NOMENCLATURE_GEN!D15="","",NOMENCLATURE_GEN!D15)</f>
        <v>107</v>
      </c>
      <c r="E15" s="4" t="str">
        <f ca="1">IF(NOMENCLATURE_GEN!E15="","",NOMENCLATURE_GEN!E15)</f>
        <v>A</v>
      </c>
      <c r="F15" s="4" t="str">
        <f>IF(NOMENCLATURE_GEN!F15="","",NOMENCLATURE_GEN!F15)</f>
        <v>CBA</v>
      </c>
      <c r="G15" s="310" t="str">
        <f>IF(NOMENCLATURE_GEN!G15="","",NOMENCLATURE_GEN!G15)</f>
        <v>Convoyeur de centralisation des refus</v>
      </c>
      <c r="H15" s="4">
        <f>IF(NOMENCLATURE_GEN!H15="","",IF(NOMENCLATURE_GEN!F15="ACO",NOMENCLATURE_GEN!H15+160,NOMENCLATURE_GEN!H15))</f>
        <v>1400</v>
      </c>
      <c r="I15" s="4">
        <f>IF(NOMENCLATURE_GEN!I15="","",NOMENCLATURE_GEN!I15)</f>
        <v>9250</v>
      </c>
      <c r="J15" s="4">
        <f>IF(NOMENCLATURE_GEN!J15="","",NOMENCLATURE_GEN!J15)</f>
        <v>4</v>
      </c>
      <c r="K15" s="12">
        <f>IFERROR(400/VLOOKUP(F15,données!$B$3:$D$30,3,FALSE),"")</f>
        <v>400</v>
      </c>
      <c r="L15" s="13">
        <f>IFERROR(3/VLOOKUP(F15,données!$B$3:$D$30,3,FALSE),"")</f>
        <v>3</v>
      </c>
      <c r="M15" s="13" t="str">
        <f>IF(L15="","",VLOOKUP(F15,données!$B$4:$I$30,8,FALSE))</f>
        <v>4+2</v>
      </c>
      <c r="N15" s="14" t="str">
        <f t="shared" si="1"/>
        <v>CAOUTCHOUC</v>
      </c>
      <c r="O15" s="514" t="str">
        <f t="shared" si="8"/>
        <v>G2 Haute resistance aux huiles</v>
      </c>
      <c r="P15" s="14" t="str">
        <f t="shared" si="2"/>
        <v>Ouverte</v>
      </c>
      <c r="Q15" s="326">
        <f>IF(K15="","",INT(((I15*2-VLOOKUP(F15,données!$B$4:$I$30,4,FALSE)+VLOOKUP(F15,données!$B$4:$I$30,5,FALSE)*NOMENCLATURE_GEN!O15+IF(OR(NOMENCLATURE_GEN!P15="",NOMENCLATURE_GEN!P15=0),0,2250)+NOMENCLATURE_GEN!Q15*2000)+0.3*H15+VLOOKUP(K15,données!$M$4:$Q$9,MATCH(L15,données!$M$3:$Q$3,0),FALSE)*(L15-1)+250)/1000)+1)</f>
        <v>20</v>
      </c>
      <c r="R15" s="14" t="str">
        <f>IF(K15="","",IF(OR(F15=données!$B$12,F15=données!$B$13),"Bande à bords",IF(J15&gt;données!$P$11,"Bande à chevrons","Bande lisse")))</f>
        <v>Bande lisse</v>
      </c>
      <c r="S15" s="14" t="str">
        <f t="shared" si="3"/>
        <v/>
      </c>
      <c r="T15" s="652" t="s">
        <v>542</v>
      </c>
      <c r="U15" s="652" t="s">
        <v>542</v>
      </c>
      <c r="V15" s="17"/>
    </row>
    <row r="16" spans="1:30" s="8" customFormat="1" ht="39.950000000000003" customHeight="1">
      <c r="A16" s="3"/>
      <c r="B16" s="25" t="str">
        <f>IF(NOMENCLATURE_GEN!B16="","",NOMENCLATURE_GEN!B16)</f>
        <v/>
      </c>
      <c r="C16" s="243" t="str">
        <f>IF(NOMENCLATURE_GEN!C16="","",NOMENCLATURE_GEN!C16)</f>
        <v/>
      </c>
      <c r="D16" s="4">
        <f>IF(NOMENCLATURE_GEN!D16="","",NOMENCLATURE_GEN!D16)</f>
        <v>108</v>
      </c>
      <c r="E16" s="4" t="str">
        <f ca="1">IF(NOMENCLATURE_GEN!E16="","",NOMENCLATURE_GEN!E16)</f>
        <v>A</v>
      </c>
      <c r="F16" s="4" t="str">
        <f>IF(NOMENCLATURE_GEN!F16="","",NOMENCLATURE_GEN!F16)</f>
        <v>CBA</v>
      </c>
      <c r="G16" s="310" t="str">
        <f>IF(NOMENCLATURE_GEN!G16="","",NOMENCLATURE_GEN!G16)</f>
        <v>Convoyeur de transfert des refus</v>
      </c>
      <c r="H16" s="4">
        <f>IF(NOMENCLATURE_GEN!H16="","",IF(NOMENCLATURE_GEN!F16="ACO",NOMENCLATURE_GEN!H16+160,NOMENCLATURE_GEN!H16))</f>
        <v>1400</v>
      </c>
      <c r="I16" s="4">
        <f>IF(NOMENCLATURE_GEN!I16="","",NOMENCLATURE_GEN!I16)</f>
        <v>14750</v>
      </c>
      <c r="J16" s="4">
        <f>IF(NOMENCLATURE_GEN!J16="","",NOMENCLATURE_GEN!J16)</f>
        <v>6</v>
      </c>
      <c r="K16" s="12">
        <f>IFERROR(400/VLOOKUP(F16,données!$B$3:$D$30,3,FALSE),"")</f>
        <v>400</v>
      </c>
      <c r="L16" s="13">
        <f>IFERROR(3/VLOOKUP(F16,données!$B$3:$D$30,3,FALSE),"")</f>
        <v>3</v>
      </c>
      <c r="M16" s="13" t="str">
        <f>IF(L16="","",VLOOKUP(F16,données!$B$4:$I$30,8,FALSE))</f>
        <v>4+2</v>
      </c>
      <c r="N16" s="14" t="str">
        <f t="shared" si="1"/>
        <v>CAOUTCHOUC</v>
      </c>
      <c r="O16" s="514" t="str">
        <f t="shared" si="8"/>
        <v>G2 Haute resistance aux huiles</v>
      </c>
      <c r="P16" s="14" t="str">
        <f t="shared" si="2"/>
        <v>Ouverte</v>
      </c>
      <c r="Q16" s="326">
        <f>IF(K16="","",INT(((I16*2-VLOOKUP(F16,données!$B$4:$I$30,4,FALSE)+VLOOKUP(F16,données!$B$4:$I$30,5,FALSE)*NOMENCLATURE_GEN!O16+IF(OR(NOMENCLATURE_GEN!P16="",NOMENCLATURE_GEN!P16=0),0,2250)+NOMENCLATURE_GEN!Q16*2000)+0.3*H16+VLOOKUP(K16,données!$M$4:$Q$9,MATCH(L16,données!$M$3:$Q$3,0),FALSE)*(L16-1)+250)/1000)+1)</f>
        <v>31</v>
      </c>
      <c r="R16" s="14" t="str">
        <f>IF(K16="","",IF(OR(F16=données!$B$12,F16=données!$B$13),"Bande à bords",IF(J16&gt;données!$P$11,"Bande à chevrons","Bande lisse")))</f>
        <v>Bande lisse</v>
      </c>
      <c r="S16" s="14" t="str">
        <f t="shared" si="3"/>
        <v/>
      </c>
      <c r="T16" s="109" t="s">
        <v>542</v>
      </c>
      <c r="U16" s="109" t="s">
        <v>542</v>
      </c>
      <c r="V16" s="17"/>
    </row>
    <row r="17" spans="1:22" s="8" customFormat="1" ht="39.950000000000003" customHeight="1">
      <c r="A17" s="3"/>
      <c r="B17" s="25" t="str">
        <f>IF(NOMENCLATURE_GEN!B17="","",NOMENCLATURE_GEN!B17)</f>
        <v/>
      </c>
      <c r="C17" s="243" t="str">
        <f>IF(NOMENCLATURE_GEN!C17="","",NOMENCLATURE_GEN!C17)</f>
        <v/>
      </c>
      <c r="D17" s="4">
        <f>IF(NOMENCLATURE_GEN!D17="","",NOMENCLATURE_GEN!D17)</f>
        <v>109</v>
      </c>
      <c r="E17" s="4" t="str">
        <f ca="1">IF(NOMENCLATURE_GEN!E17="","",NOMENCLATURE_GEN!E17)</f>
        <v>A</v>
      </c>
      <c r="F17" s="4" t="str">
        <f>IF(NOMENCLATURE_GEN!F17="","",NOMENCLATURE_GEN!F17)</f>
        <v>CBA</v>
      </c>
      <c r="G17" s="154" t="str">
        <f>IF(NOMENCLATURE_GEN!G17="","",NOMENCLATURE_GEN!G17)</f>
        <v>Convoyeur de transfert des refus</v>
      </c>
      <c r="H17" s="26">
        <f>IF(NOMENCLATURE_GEN!H17="","",IF(NOMENCLATURE_GEN!F17="ACO",NOMENCLATURE_GEN!H17+160,NOMENCLATURE_GEN!H17))</f>
        <v>1400</v>
      </c>
      <c r="I17" s="26">
        <f>IF(NOMENCLATURE_GEN!I17="","",NOMENCLATURE_GEN!I17)</f>
        <v>15250</v>
      </c>
      <c r="J17" s="56">
        <f>IF(NOMENCLATURE_GEN!J17="","",NOMENCLATURE_GEN!J17)</f>
        <v>14</v>
      </c>
      <c r="K17" s="12">
        <f>IFERROR(400/VLOOKUP(F17,données!$B$3:$D$30,3,FALSE),"")</f>
        <v>400</v>
      </c>
      <c r="L17" s="13">
        <f>IFERROR(3/VLOOKUP(F17,données!$B$3:$D$30,3,FALSE),"")</f>
        <v>3</v>
      </c>
      <c r="M17" s="13" t="str">
        <f>IF(L17="","",VLOOKUP(F17,données!$B$4:$I$30,8,FALSE))</f>
        <v>4+2</v>
      </c>
      <c r="N17" s="14" t="str">
        <f t="shared" si="1"/>
        <v>CAOUTCHOUC</v>
      </c>
      <c r="O17" s="514" t="str">
        <f t="shared" si="8"/>
        <v>G2 Haute resistance aux huiles</v>
      </c>
      <c r="P17" s="14" t="str">
        <f t="shared" si="2"/>
        <v>Ouverte</v>
      </c>
      <c r="Q17" s="326">
        <f>IF(K17="","",INT(((I17*2-VLOOKUP(F17,données!$B$4:$I$30,4,FALSE)+VLOOKUP(F17,données!$B$4:$I$30,5,FALSE)*NOMENCLATURE_GEN!O17+IF(OR(NOMENCLATURE_GEN!P17="",NOMENCLATURE_GEN!P17=0),0,2250)+NOMENCLATURE_GEN!Q17*2000)+0.3*H17+VLOOKUP(K17,données!$M$4:$Q$9,MATCH(L17,données!$M$3:$Q$3,0),FALSE)*(L17-1)+250)/1000)+1)</f>
        <v>32</v>
      </c>
      <c r="R17" s="14" t="str">
        <f>IF(K17="","",IF(OR(F17=données!$B$12,F17=données!$B$13),"Bande à bords",IF(J17&gt;données!$P$11,"Bande à chevrons","Bande lisse")))</f>
        <v>Bande lisse</v>
      </c>
      <c r="S17" s="14" t="str">
        <f t="shared" si="3"/>
        <v/>
      </c>
      <c r="T17" s="406" t="s">
        <v>542</v>
      </c>
      <c r="U17" s="406" t="s">
        <v>542</v>
      </c>
      <c r="V17" s="17"/>
    </row>
    <row r="18" spans="1:22" s="8" customFormat="1" ht="39.950000000000003" customHeight="1">
      <c r="A18" s="3"/>
      <c r="B18" s="25" t="str">
        <f>IF(NOMENCLATURE_GEN!B18="","",NOMENCLATURE_GEN!B18)</f>
        <v/>
      </c>
      <c r="C18" s="243" t="str">
        <f>IF(NOMENCLATURE_GEN!C18="","",NOMENCLATURE_GEN!C18)</f>
        <v/>
      </c>
      <c r="D18" s="4">
        <f>IF(NOMENCLATURE_GEN!D18="","",NOMENCLATURE_GEN!D18)</f>
        <v>110</v>
      </c>
      <c r="E18" s="4" t="str">
        <f ca="1">IF(NOMENCLATURE_GEN!E18="","",NOMENCLATURE_GEN!E18)</f>
        <v>A</v>
      </c>
      <c r="F18" s="4" t="str">
        <f>IF(NOMENCLATURE_GEN!F18="","",NOMENCLATURE_GEN!F18)</f>
        <v>CBA</v>
      </c>
      <c r="G18" s="154" t="str">
        <f>IF(NOMENCLATURE_GEN!G18="","",NOMENCLATURE_GEN!G18)</f>
        <v>Convoyeur de transfert des refus vers FMA</v>
      </c>
      <c r="H18" s="26">
        <f>IF(NOMENCLATURE_GEN!H18="","",IF(NOMENCLATURE_GEN!F18="ACO",NOMENCLATURE_GEN!H18+160,NOMENCLATURE_GEN!H18))</f>
        <v>1400</v>
      </c>
      <c r="I18" s="26">
        <f>IF(NOMENCLATURE_GEN!I18="","",NOMENCLATURE_GEN!I18)</f>
        <v>20000</v>
      </c>
      <c r="J18" s="56">
        <f>IF(NOMENCLATURE_GEN!J18="","",NOMENCLATURE_GEN!J18)</f>
        <v>25</v>
      </c>
      <c r="K18" s="12">
        <f>IFERROR(400/VLOOKUP(F18,données!$B$3:$D$30,3,FALSE),"")</f>
        <v>400</v>
      </c>
      <c r="L18" s="13">
        <f>IFERROR(3/VLOOKUP(F18,données!$B$3:$D$30,3,FALSE),"")</f>
        <v>3</v>
      </c>
      <c r="M18" s="13" t="str">
        <f>IF(L18="","",VLOOKUP(F18,données!$B$4:$I$30,8,FALSE))</f>
        <v>4+2</v>
      </c>
      <c r="N18" s="14" t="str">
        <f t="shared" si="1"/>
        <v>CAOUTCHOUC</v>
      </c>
      <c r="O18" s="514" t="str">
        <f t="shared" si="8"/>
        <v>G2 Haute resistance aux huiles</v>
      </c>
      <c r="P18" s="14" t="str">
        <f t="shared" si="2"/>
        <v>Ouverte</v>
      </c>
      <c r="Q18" s="326">
        <f>IF(K18="","",INT(((I18*2-VLOOKUP(F18,données!$B$4:$I$30,4,FALSE)+VLOOKUP(F18,données!$B$4:$I$30,5,FALSE)*NOMENCLATURE_GEN!O18+IF(OR(NOMENCLATURE_GEN!P18="",NOMENCLATURE_GEN!P18=0),0,2250)+NOMENCLATURE_GEN!Q18*2000)+0.3*H18+VLOOKUP(K18,données!$M$4:$Q$9,MATCH(L18,données!$M$3:$Q$3,0),FALSE)*(L18-1)+250)/1000)+1)</f>
        <v>42</v>
      </c>
      <c r="R18" s="14" t="str">
        <f>IF(K18="","",IF(OR(F18=données!$B$12,F18=données!$B$13),"Bande à bords",IF(J18&gt;données!$P$11,"Bande à chevrons","Bande lisse")))</f>
        <v>Bande à chevrons</v>
      </c>
      <c r="S18" s="654" t="s">
        <v>744</v>
      </c>
      <c r="T18" s="406" t="s">
        <v>542</v>
      </c>
      <c r="U18" s="406" t="s">
        <v>542</v>
      </c>
      <c r="V18" s="17"/>
    </row>
    <row r="19" spans="1:22" s="8" customFormat="1" ht="39.950000000000003" customHeight="1">
      <c r="A19" s="3"/>
      <c r="B19" s="25" t="str">
        <f>IF(NOMENCLATURE_GEN!B19="","",NOMENCLATURE_GEN!B19)</f>
        <v/>
      </c>
      <c r="C19" s="243" t="str">
        <f>IF(NOMENCLATURE_GEN!C19="","",NOMENCLATURE_GEN!C19)</f>
        <v/>
      </c>
      <c r="D19" s="4">
        <f>IF(NOMENCLATURE_GEN!D19="","",NOMENCLATURE_GEN!D19)</f>
        <v>111</v>
      </c>
      <c r="E19" s="4" t="str">
        <f ca="1">IF(NOMENCLATURE_GEN!E19="","",NOMENCLATURE_GEN!E19)</f>
        <v>A</v>
      </c>
      <c r="F19" s="4" t="str">
        <f>IF(NOMENCLATURE_GEN!F19="","",NOMENCLATURE_GEN!F19)</f>
        <v>CBA</v>
      </c>
      <c r="G19" s="154" t="str">
        <f>IF(NOMENCLATURE_GEN!G19="","",NOMENCLATURE_GEN!G19)</f>
        <v>Convoyeur by-pass des refus (FMA 1 OU 2)</v>
      </c>
      <c r="H19" s="26">
        <f>IF(NOMENCLATURE_GEN!H19="","",IF(NOMENCLATURE_GEN!F19="ACO",NOMENCLATURE_GEN!H19+160,NOMENCLATURE_GEN!H19))</f>
        <v>1400</v>
      </c>
      <c r="I19" s="26">
        <f>IF(NOMENCLATURE_GEN!I19="","",NOMENCLATURE_GEN!I19)</f>
        <v>4500</v>
      </c>
      <c r="J19" s="56">
        <f>IF(NOMENCLATURE_GEN!J19="","",NOMENCLATURE_GEN!J19)</f>
        <v>0</v>
      </c>
      <c r="K19" s="12">
        <f>IFERROR(400/VLOOKUP(F19,données!$B$3:$D$30,3,FALSE),"")</f>
        <v>400</v>
      </c>
      <c r="L19" s="13">
        <f>IFERROR(3/VLOOKUP(F19,données!$B$3:$D$30,3,FALSE),"")</f>
        <v>3</v>
      </c>
      <c r="M19" s="13" t="str">
        <f>IF(L19="","",VLOOKUP(F19,données!$B$4:$I$30,8,FALSE))</f>
        <v>4+2</v>
      </c>
      <c r="N19" s="14" t="str">
        <f t="shared" si="1"/>
        <v>CAOUTCHOUC</v>
      </c>
      <c r="O19" s="514" t="str">
        <f t="shared" si="8"/>
        <v>G2 Haute resistance aux huiles</v>
      </c>
      <c r="P19" s="14" t="str">
        <f t="shared" si="2"/>
        <v>Ouverte</v>
      </c>
      <c r="Q19" s="326">
        <f>IF(K19="","",INT(((I19*2-VLOOKUP(F19,données!$B$4:$I$30,4,FALSE)+VLOOKUP(F19,données!$B$4:$I$30,5,FALSE)*NOMENCLATURE_GEN!O19+IF(OR(NOMENCLATURE_GEN!P19="",NOMENCLATURE_GEN!P19=0),0,2250)+NOMENCLATURE_GEN!Q19*2000)+0.3*H19+VLOOKUP(K19,données!$M$4:$Q$9,MATCH(L19,données!$M$3:$Q$3,0),FALSE)*(L19-1)+250)/1000)+1)</f>
        <v>11</v>
      </c>
      <c r="R19" s="14" t="str">
        <f>IF(K19="","",IF(OR(F19=données!$B$12,F19=données!$B$13),"Bande à bords",IF(J19&gt;données!$P$11,"Bande à chevrons","Bande lisse")))</f>
        <v>Bande lisse</v>
      </c>
      <c r="S19" s="14" t="str">
        <f t="shared" si="3"/>
        <v/>
      </c>
      <c r="T19" s="652" t="s">
        <v>542</v>
      </c>
      <c r="U19" s="652" t="s">
        <v>542</v>
      </c>
      <c r="V19" s="17"/>
    </row>
    <row r="20" spans="1:22" s="8" customFormat="1" ht="39.950000000000003" customHeight="1">
      <c r="A20" s="3"/>
      <c r="B20" s="25" t="str">
        <f>IF(NOMENCLATURE_GEN!B20="","",NOMENCLATURE_GEN!B20)</f>
        <v/>
      </c>
      <c r="C20" s="243" t="str">
        <f>IF(NOMENCLATURE_GEN!C20="","",NOMENCLATURE_GEN!C20)</f>
        <v/>
      </c>
      <c r="D20" s="4" t="str">
        <f>IF(NOMENCLATURE_GEN!D20="","",NOMENCLATURE_GEN!D20)</f>
        <v>112-1</v>
      </c>
      <c r="E20" s="4" t="str">
        <f ca="1">IF(NOMENCLATURE_GEN!E20="","",NOMENCLATURE_GEN!E20)</f>
        <v>A</v>
      </c>
      <c r="F20" s="4" t="str">
        <f>IF(NOMENCLATURE_GEN!F20="","",NOMENCLATURE_GEN!F20)</f>
        <v>CBA</v>
      </c>
      <c r="G20" s="154" t="str">
        <f>IF(NOMENCLATURE_GEN!G20="","",NOMENCLATURE_GEN!G20)</f>
        <v>Convoyeur navette double sens de remplissage des bennes ou FMA</v>
      </c>
      <c r="H20" s="26">
        <f>IF(NOMENCLATURE_GEN!H20="","",IF(NOMENCLATURE_GEN!F20="ACO",NOMENCLATURE_GEN!H20+160,NOMENCLATURE_GEN!H20))</f>
        <v>1400</v>
      </c>
      <c r="I20" s="26">
        <f>IF(NOMENCLATURE_GEN!I20="","",NOMENCLATURE_GEN!I20)</f>
        <v>8250</v>
      </c>
      <c r="J20" s="56">
        <f>IF(NOMENCLATURE_GEN!J20="","",NOMENCLATURE_GEN!J20)</f>
        <v>0</v>
      </c>
      <c r="K20" s="12">
        <f>IFERROR(400/VLOOKUP(F20,données!$B$3:$D$30,3,FALSE),"")</f>
        <v>400</v>
      </c>
      <c r="L20" s="13">
        <f>IFERROR(3/VLOOKUP(F20,données!$B$3:$D$30,3,FALSE),"")</f>
        <v>3</v>
      </c>
      <c r="M20" s="13" t="str">
        <f>IF(L20="","",VLOOKUP(F20,données!$B$4:$I$30,8,FALSE))</f>
        <v>4+2</v>
      </c>
      <c r="N20" s="14" t="str">
        <f t="shared" si="1"/>
        <v>CAOUTCHOUC</v>
      </c>
      <c r="O20" s="514" t="str">
        <f t="shared" si="8"/>
        <v>G2 Haute resistance aux huiles</v>
      </c>
      <c r="P20" s="14" t="str">
        <f t="shared" si="2"/>
        <v>Ouverte</v>
      </c>
      <c r="Q20" s="326">
        <f>IF(K20="","",INT(((I20*2-VLOOKUP(F20,données!$B$4:$I$30,4,FALSE)+VLOOKUP(F20,données!$B$4:$I$30,5,FALSE)*NOMENCLATURE_GEN!O20+IF(OR(NOMENCLATURE_GEN!P20="",NOMENCLATURE_GEN!P20=0),0,2250)+NOMENCLATURE_GEN!Q20*2000)+0.3*H20+VLOOKUP(K20,données!$M$4:$Q$9,MATCH(L20,données!$M$3:$Q$3,0),FALSE)*(L20-1)+250)/1000)+1)</f>
        <v>18</v>
      </c>
      <c r="R20" s="14" t="str">
        <f>IF(K20="","",IF(OR(F20=données!$B$12,F20=données!$B$13),"Bande à bords",IF(J20&gt;données!$P$11,"Bande à chevrons","Bande lisse")))</f>
        <v>Bande lisse</v>
      </c>
      <c r="S20" s="14" t="str">
        <f t="shared" si="3"/>
        <v/>
      </c>
      <c r="T20" s="652" t="s">
        <v>542</v>
      </c>
      <c r="U20" s="652" t="s">
        <v>542</v>
      </c>
      <c r="V20" s="17"/>
    </row>
    <row r="21" spans="1:22" s="8" customFormat="1" ht="39.950000000000003" customHeight="1">
      <c r="A21" s="3"/>
      <c r="B21" s="25" t="str">
        <f>IF(NOMENCLATURE_GEN!B21="","",NOMENCLATURE_GEN!B21)</f>
        <v/>
      </c>
      <c r="C21" s="243" t="str">
        <f>IF(NOMENCLATURE_GEN!C21="","",NOMENCLATURE_GEN!C21)</f>
        <v/>
      </c>
      <c r="D21" s="4" t="str">
        <f>IF(NOMENCLATURE_GEN!D21="","",NOMENCLATURE_GEN!D21)</f>
        <v>112-2</v>
      </c>
      <c r="E21" s="4" t="str">
        <f ca="1">IF(NOMENCLATURE_GEN!E21="","",NOMENCLATURE_GEN!E21)</f>
        <v>A</v>
      </c>
      <c r="F21" s="4" t="str">
        <f>IF(NOMENCLATURE_GEN!F21="","",NOMENCLATURE_GEN!F21)</f>
        <v>CBA</v>
      </c>
      <c r="G21" s="154" t="str">
        <f>IF(NOMENCLATURE_GEN!G21="","",NOMENCLATURE_GEN!G21)</f>
        <v>Convoyeur navette double sens de remplissage des bennes ou FMA</v>
      </c>
      <c r="H21" s="26">
        <f>IF(NOMENCLATURE_GEN!H21="","",IF(NOMENCLATURE_GEN!F21="ACO",NOMENCLATURE_GEN!H21+160,NOMENCLATURE_GEN!H21))</f>
        <v>1400</v>
      </c>
      <c r="I21" s="26">
        <f>IF(NOMENCLATURE_GEN!I21="","",NOMENCLATURE_GEN!I21)</f>
        <v>8250</v>
      </c>
      <c r="J21" s="56">
        <f>IF(NOMENCLATURE_GEN!J21="","",NOMENCLATURE_GEN!J21)</f>
        <v>0</v>
      </c>
      <c r="K21" s="12">
        <f>IFERROR(400/VLOOKUP(F21,données!$B$3:$D$30,3,FALSE),"")</f>
        <v>400</v>
      </c>
      <c r="L21" s="13">
        <f>IFERROR(3/VLOOKUP(F21,données!$B$3:$D$30,3,FALSE),"")</f>
        <v>3</v>
      </c>
      <c r="M21" s="13" t="str">
        <f>IF(L21="","",VLOOKUP(F21,données!$B$4:$I$30,8,FALSE))</f>
        <v>4+2</v>
      </c>
      <c r="N21" s="14" t="str">
        <f t="shared" si="1"/>
        <v>CAOUTCHOUC</v>
      </c>
      <c r="O21" s="514" t="str">
        <f>IF(L21="","","G2 Haute resistance aux huiles")</f>
        <v>G2 Haute resistance aux huiles</v>
      </c>
      <c r="P21" s="14" t="str">
        <f t="shared" si="2"/>
        <v>Ouverte</v>
      </c>
      <c r="Q21" s="326">
        <f>IF(K21="","",INT(((I21*2-VLOOKUP(F21,données!$B$4:$I$30,4,FALSE)+VLOOKUP(F21,données!$B$4:$I$30,5,FALSE)*NOMENCLATURE_GEN!O21+IF(OR(NOMENCLATURE_GEN!P21="",NOMENCLATURE_GEN!P21=0),0,2250)+NOMENCLATURE_GEN!Q21*2000)+0.3*H21+VLOOKUP(K21,données!$M$4:$Q$9,MATCH(L21,données!$M$3:$Q$3,0),FALSE)*(L21-1)+250)/1000)+1)</f>
        <v>18</v>
      </c>
      <c r="R21" s="14" t="str">
        <f>IF(K21="","",IF(OR(F21=données!$B$12,F21=données!$B$13),"Bande à bords",IF(J21&gt;données!$P$11,"Bande à chevrons","Bande lisse")))</f>
        <v>Bande lisse</v>
      </c>
      <c r="S21" s="14" t="str">
        <f t="shared" si="3"/>
        <v/>
      </c>
      <c r="T21" s="652" t="s">
        <v>542</v>
      </c>
      <c r="U21" s="652" t="s">
        <v>542</v>
      </c>
      <c r="V21" s="17"/>
    </row>
    <row r="22" spans="1:22" s="8" customFormat="1" ht="39.950000000000003" hidden="1" customHeight="1">
      <c r="A22" s="3"/>
      <c r="B22" s="25" t="str">
        <f>IF(NOMENCLATURE_GEN!B22="","",NOMENCLATURE_GEN!B22)</f>
        <v/>
      </c>
      <c r="C22" s="243" t="str">
        <f>IF(NOMENCLATURE_GEN!C22="","",NOMENCLATURE_GEN!C22)</f>
        <v/>
      </c>
      <c r="D22" s="4" t="str">
        <f>IF(NOMENCLATURE_GEN!D22="","",NOMENCLATURE_GEN!D22)</f>
        <v>113-1</v>
      </c>
      <c r="E22" s="4" t="str">
        <f ca="1">IF(NOMENCLATURE_GEN!E22="","",NOMENCLATURE_GEN!E22)</f>
        <v>A</v>
      </c>
      <c r="F22" s="4" t="str">
        <f>IF(NOMENCLATURE_GEN!F22="","",NOMENCLATURE_GEN!F22)</f>
        <v>NAV</v>
      </c>
      <c r="G22" s="154" t="str">
        <f>IF(NOMENCLATURE_GEN!G22="","",NOMENCLATURE_GEN!G22)</f>
        <v>Système navette pour convoyeur mobile remplissage FMA ou bennes</v>
      </c>
      <c r="H22" s="26" t="str">
        <f>IF(NOMENCLATURE_GEN!H22="","",IF(NOMENCLATURE_GEN!F22="ACO",NOMENCLATURE_GEN!H22+160,NOMENCLATURE_GEN!H22))</f>
        <v/>
      </c>
      <c r="I22" s="26" t="str">
        <f>IF(NOMENCLATURE_GEN!I22="","",NOMENCLATURE_GEN!I22)</f>
        <v/>
      </c>
      <c r="J22" s="56" t="str">
        <f>IF(NOMENCLATURE_GEN!J22="","",NOMENCLATURE_GEN!J22)</f>
        <v/>
      </c>
      <c r="K22" s="12" t="str">
        <f>IFERROR(400/VLOOKUP(F22,données!$B$3:$D$30,3,FALSE),"")</f>
        <v/>
      </c>
      <c r="L22" s="13" t="str">
        <f>IFERROR(3/VLOOKUP(F22,données!$B$3:$D$30,3,FALSE),"")</f>
        <v/>
      </c>
      <c r="M22" s="13" t="str">
        <f>IF(L22="","",VLOOKUP(F22,données!$B$4:$I$30,8,FALSE))</f>
        <v/>
      </c>
      <c r="N22" s="14" t="str">
        <f t="shared" si="1"/>
        <v/>
      </c>
      <c r="O22" s="514" t="str">
        <f t="shared" si="8"/>
        <v/>
      </c>
      <c r="P22" s="14" t="str">
        <f t="shared" si="2"/>
        <v/>
      </c>
      <c r="Q22" s="326" t="str">
        <f>IF(K22="","",INT(((I22*2-VLOOKUP(F22,données!$B$4:$I$30,4,FALSE)+VLOOKUP(F22,données!$B$4:$I$30,5,FALSE)*NOMENCLATURE_GEN!O22+IF(OR(NOMENCLATURE_GEN!P22="",NOMENCLATURE_GEN!P22=0),0,2250)+NOMENCLATURE_GEN!Q22*2000)+0.3*H22+VLOOKUP(K22,données!$M$4:$Q$9,MATCH(L22,données!$M$3:$Q$3,0),FALSE)*(L22-1)+250)/1000)+1)</f>
        <v/>
      </c>
      <c r="R22" s="14" t="str">
        <f>IF(K22="","",IF(OR(F22=données!$B$12,F22=données!$B$13),"Bande à bords",IF(J22&gt;données!$P$11,"Bande à chevrons","Bande lisse")))</f>
        <v/>
      </c>
      <c r="S22" s="14" t="str">
        <f t="shared" si="3"/>
        <v/>
      </c>
      <c r="T22" s="406"/>
      <c r="U22" s="406"/>
      <c r="V22" s="17"/>
    </row>
    <row r="23" spans="1:22" s="8" customFormat="1" ht="39.950000000000003" hidden="1" customHeight="1">
      <c r="A23" s="3"/>
      <c r="B23" s="25" t="str">
        <f>IF(NOMENCLATURE_GEN!B23="","",NOMENCLATURE_GEN!B23)</f>
        <v/>
      </c>
      <c r="C23" s="243" t="str">
        <f>IF(NOMENCLATURE_GEN!C23="","",NOMENCLATURE_GEN!C23)</f>
        <v/>
      </c>
      <c r="D23" s="4" t="str">
        <f>IF(NOMENCLATURE_GEN!D23="","",NOMENCLATURE_GEN!D23)</f>
        <v>113-2</v>
      </c>
      <c r="E23" s="4" t="str">
        <f ca="1">IF(NOMENCLATURE_GEN!E23="","",NOMENCLATURE_GEN!E23)</f>
        <v>A</v>
      </c>
      <c r="F23" s="4" t="str">
        <f>IF(NOMENCLATURE_GEN!F23="","",NOMENCLATURE_GEN!F23)</f>
        <v>NAV</v>
      </c>
      <c r="G23" s="154" t="str">
        <f>IF(NOMENCLATURE_GEN!G23="","",NOMENCLATURE_GEN!G23)</f>
        <v>Système navette pour convoyeur mobile remplissage FMA ou bennes</v>
      </c>
      <c r="H23" s="26" t="str">
        <f>IF(NOMENCLATURE_GEN!H23="","",IF(NOMENCLATURE_GEN!F23="ACO",NOMENCLATURE_GEN!H23+160,NOMENCLATURE_GEN!H23))</f>
        <v/>
      </c>
      <c r="I23" s="26" t="str">
        <f>IF(NOMENCLATURE_GEN!I23="","",NOMENCLATURE_GEN!I23)</f>
        <v/>
      </c>
      <c r="J23" s="56" t="str">
        <f>IF(NOMENCLATURE_GEN!J23="","",NOMENCLATURE_GEN!J23)</f>
        <v/>
      </c>
      <c r="K23" s="12" t="str">
        <f>IFERROR(400/VLOOKUP(F23,données!$B$3:$D$30,3,FALSE),"")</f>
        <v/>
      </c>
      <c r="L23" s="13" t="str">
        <f>IFERROR(3/VLOOKUP(F23,données!$B$3:$D$30,3,FALSE),"")</f>
        <v/>
      </c>
      <c r="M23" s="13" t="str">
        <f>IF(L23="","",VLOOKUP(F23,données!$B$4:$I$30,8,FALSE))</f>
        <v/>
      </c>
      <c r="N23" s="14" t="str">
        <f t="shared" si="1"/>
        <v/>
      </c>
      <c r="O23" s="514" t="str">
        <f t="shared" si="8"/>
        <v/>
      </c>
      <c r="P23" s="14" t="str">
        <f t="shared" si="2"/>
        <v/>
      </c>
      <c r="Q23" s="326" t="str">
        <f>IF(K23="","",INT(((I23*2-VLOOKUP(F23,données!$B$4:$I$30,4,FALSE)+VLOOKUP(F23,données!$B$4:$I$30,5,FALSE)*NOMENCLATURE_GEN!O23+IF(OR(NOMENCLATURE_GEN!P23="",NOMENCLATURE_GEN!P23=0),0,2250)+NOMENCLATURE_GEN!Q23*2000)+0.3*H23+VLOOKUP(K23,données!$M$4:$Q$9,MATCH(L23,données!$M$3:$Q$3,0),FALSE)*(L23-1)+250)/1000)+1)</f>
        <v/>
      </c>
      <c r="R23" s="14" t="str">
        <f>IF(K23="","",IF(OR(F23=données!$B$12,F23=données!$B$13),"Bande à bords",IF(J23&gt;données!$P$11,"Bande à chevrons","Bande lisse")))</f>
        <v/>
      </c>
      <c r="S23" s="14" t="str">
        <f t="shared" si="3"/>
        <v/>
      </c>
      <c r="T23" s="406"/>
      <c r="U23" s="406"/>
      <c r="V23" s="17"/>
    </row>
    <row r="24" spans="1:22" s="8" customFormat="1" ht="39.950000000000003" hidden="1" customHeight="1">
      <c r="A24" s="3"/>
      <c r="B24" s="25" t="str">
        <f>IF(NOMENCLATURE_GEN!B24="","",NOMENCLATURE_GEN!B24)</f>
        <v>SUP</v>
      </c>
      <c r="C24" s="243" t="str">
        <f>IF(NOMENCLATURE_GEN!C24="","",NOMENCLATURE_GEN!C24)</f>
        <v/>
      </c>
      <c r="D24" s="4">
        <f>IF(NOMENCLATURE_GEN!D24="","",NOMENCLATURE_GEN!D24)</f>
        <v>114</v>
      </c>
      <c r="E24" s="4" t="str">
        <f ca="1">IF(NOMENCLATURE_GEN!E24="","",NOMENCLATURE_GEN!E24)</f>
        <v>A</v>
      </c>
      <c r="F24" s="4" t="str">
        <f>IF(NOMENCLATURE_GEN!F24="","",NOMENCLATURE_GEN!F24)</f>
        <v>TRE</v>
      </c>
      <c r="G24" s="154" t="str">
        <f>IF(NOMENCLATURE_GEN!G24="","",NOMENCLATURE_GEN!G24)</f>
        <v>Trémie des passants 0-180mm sous trommel</v>
      </c>
      <c r="H24" s="26" t="str">
        <f>IF(NOMENCLATURE_GEN!H24="","",IF(NOMENCLATURE_GEN!F24="ACO",NOMENCLATURE_GEN!H24+160,NOMENCLATURE_GEN!H24))</f>
        <v/>
      </c>
      <c r="I24" s="26" t="str">
        <f>IF(NOMENCLATURE_GEN!I24="","",NOMENCLATURE_GEN!I24)</f>
        <v/>
      </c>
      <c r="J24" s="56" t="str">
        <f>IF(NOMENCLATURE_GEN!J24="","",NOMENCLATURE_GEN!J24)</f>
        <v/>
      </c>
      <c r="K24" s="12" t="str">
        <f>IFERROR(400/VLOOKUP(F24,données!$B$3:$D$30,3,FALSE),"")</f>
        <v/>
      </c>
      <c r="L24" s="13" t="str">
        <f>IFERROR(3/VLOOKUP(F24,données!$B$3:$D$30,3,FALSE),"")</f>
        <v/>
      </c>
      <c r="M24" s="13" t="str">
        <f>IF(L24="","",VLOOKUP(F24,données!$B$4:$I$30,8,FALSE))</f>
        <v/>
      </c>
      <c r="N24" s="14" t="str">
        <f t="shared" si="1"/>
        <v/>
      </c>
      <c r="O24" s="514" t="str">
        <f t="shared" si="8"/>
        <v/>
      </c>
      <c r="P24" s="14" t="str">
        <f t="shared" si="2"/>
        <v/>
      </c>
      <c r="Q24" s="326" t="str">
        <f>IF(K24="","",INT(((I24*2-VLOOKUP(F24,données!$B$4:$I$30,4,FALSE)+VLOOKUP(F24,données!$B$4:$I$30,5,FALSE)*NOMENCLATURE_GEN!O24+IF(OR(NOMENCLATURE_GEN!P24="",NOMENCLATURE_GEN!P24=0),0,2250)+NOMENCLATURE_GEN!Q24*2000)+0.3*H24+VLOOKUP(K24,données!$M$4:$Q$9,MATCH(L24,données!$M$3:$Q$3,0),FALSE)*(L24-1)+250)/1000)+1)</f>
        <v/>
      </c>
      <c r="R24" s="14" t="str">
        <f>IF(K24="","",IF(OR(F24=données!$B$12,F24=données!$B$13),"Bande à bords",IF(J24&gt;données!$P$11,"Bande à chevrons","Bande lisse")))</f>
        <v/>
      </c>
      <c r="S24" s="14" t="str">
        <f t="shared" si="3"/>
        <v/>
      </c>
      <c r="T24" s="406"/>
      <c r="U24" s="406"/>
      <c r="V24" s="17"/>
    </row>
    <row r="25" spans="1:22" s="8" customFormat="1" ht="39.950000000000003" hidden="1" customHeight="1">
      <c r="A25" s="3"/>
      <c r="B25" s="25" t="str">
        <f>IF(NOMENCLATURE_GEN!B25="","",NOMENCLATURE_GEN!B25)</f>
        <v/>
      </c>
      <c r="C25" s="243" t="str">
        <f>IF(NOMENCLATURE_GEN!C25="","",NOMENCLATURE_GEN!C25)</f>
        <v/>
      </c>
      <c r="D25" s="4">
        <f>IF(NOMENCLATURE_GEN!D25="","",NOMENCLATURE_GEN!D25)</f>
        <v>115</v>
      </c>
      <c r="E25" s="4" t="str">
        <f ca="1">IF(NOMENCLATURE_GEN!E25="","",NOMENCLATURE_GEN!E25)</f>
        <v>A</v>
      </c>
      <c r="F25" s="4" t="str">
        <f>IF(NOMENCLATURE_GEN!F25="","",NOMENCLATURE_GEN!F25)</f>
        <v>EAB</v>
      </c>
      <c r="G25" s="154" t="str">
        <f>IF(NOMENCLATURE_GEN!G25="","",NOMENCLATURE_GEN!G25)</f>
        <v>Convoyeur de reprise de la fraction 0-180mm et transfert vers trommel</v>
      </c>
      <c r="H25" s="26">
        <f>IF(NOMENCLATURE_GEN!H25="","",IF(NOMENCLATURE_GEN!F25="ACO",NOMENCLATURE_GEN!H25+160,NOMENCLATURE_GEN!H25))</f>
        <v>1400</v>
      </c>
      <c r="I25" s="624">
        <f>IF(NOMENCLATURE_GEN!I25="","",NOMENCLATURE_GEN!I25)</f>
        <v>18400</v>
      </c>
      <c r="J25" s="56">
        <f>IF(NOMENCLATURE_GEN!J25="","",NOMENCLATURE_GEN!J25)</f>
        <v>35</v>
      </c>
      <c r="K25" s="12">
        <f>IFERROR(400/VLOOKUP(F25,données!$B$3:$D$30,3,FALSE),"")</f>
        <v>400</v>
      </c>
      <c r="L25" s="13">
        <f>IFERROR(3/VLOOKUP(F25,données!$B$3:$D$30,3,FALSE),"")</f>
        <v>3</v>
      </c>
      <c r="M25" s="13" t="str">
        <f>IF(L25="","",VLOOKUP(F25,données!$B$4:$I$30,8,FALSE))</f>
        <v>4+2</v>
      </c>
      <c r="N25" s="14" t="str">
        <f t="shared" si="1"/>
        <v>CAOUTCHOUC</v>
      </c>
      <c r="O25" s="514" t="str">
        <f t="shared" si="8"/>
        <v>G2 Haute resistance aux huiles</v>
      </c>
      <c r="P25" s="14" t="str">
        <f t="shared" si="2"/>
        <v>Ouverte</v>
      </c>
      <c r="Q25" s="326">
        <f>IF(K25="","",INT(((I25*2-VLOOKUP(F25,données!$B$4:$I$30,4,FALSE)+VLOOKUP(F25,données!$B$4:$I$30,5,FALSE)*NOMENCLATURE_GEN!O25+IF(OR(NOMENCLATURE_GEN!P25="",NOMENCLATURE_GEN!P25=0),0,2250)+NOMENCLATURE_GEN!Q25*2000)+0.3*H25+VLOOKUP(K25,données!$M$4:$Q$9,MATCH(L25,données!$M$3:$Q$3,0),FALSE)*(L25-1)+250)/1000)+1)</f>
        <v>43</v>
      </c>
      <c r="R25" s="14" t="str">
        <f>IF(K25="","",IF(OR(F25=données!$B$12,F25=données!$B$13),"Bande à bords",IF(J25&gt;données!$P$11,"Bande à chevrons","Bande lisse")))</f>
        <v>Bande à bords</v>
      </c>
      <c r="S25" s="14" t="str">
        <f t="shared" si="3"/>
        <v>EAB140350</v>
      </c>
      <c r="T25" s="109" t="s">
        <v>26</v>
      </c>
      <c r="U25" s="406" t="s">
        <v>535</v>
      </c>
      <c r="V25" s="17"/>
    </row>
    <row r="26" spans="1:22" s="8" customFormat="1" ht="39.950000000000003" hidden="1" customHeight="1">
      <c r="A26" s="3"/>
      <c r="B26" s="25" t="str">
        <f>IF(NOMENCLATURE_GEN!B26="","",NOMENCLATURE_GEN!B26)</f>
        <v/>
      </c>
      <c r="C26" s="243" t="str">
        <f>IF(NOMENCLATURE_GEN!C26="","",NOMENCLATURE_GEN!C26)</f>
        <v/>
      </c>
      <c r="D26" s="4">
        <f>IF(NOMENCLATURE_GEN!D26="","",NOMENCLATURE_GEN!D26)</f>
        <v>115</v>
      </c>
      <c r="E26" s="4" t="str">
        <f ca="1">IF(NOMENCLATURE_GEN!E26="","",NOMENCLATURE_GEN!E26)</f>
        <v>B</v>
      </c>
      <c r="F26" s="4" t="str">
        <f>IF(NOMENCLATURE_GEN!F26="","",NOMENCLATURE_GEN!F26)</f>
        <v>GRA</v>
      </c>
      <c r="G26" s="154" t="str">
        <f>IF(NOMENCLATURE_GEN!G26="","",NOMENCLATURE_GEN!G26)</f>
        <v>Convoyeur à bande et chaines - Centrale de graissage</v>
      </c>
      <c r="H26" s="26" t="str">
        <f>IF(NOMENCLATURE_GEN!H26="","",IF(NOMENCLATURE_GEN!F26="ACO",NOMENCLATURE_GEN!H26+160,NOMENCLATURE_GEN!H26))</f>
        <v/>
      </c>
      <c r="I26" s="26" t="str">
        <f>IF(NOMENCLATURE_GEN!I26="","",NOMENCLATURE_GEN!I26)</f>
        <v/>
      </c>
      <c r="J26" s="56" t="str">
        <f>IF(NOMENCLATURE_GEN!J26="","",NOMENCLATURE_GEN!J26)</f>
        <v/>
      </c>
      <c r="K26" s="12" t="str">
        <f>IFERROR(400/VLOOKUP(F26,données!$B$3:$D$30,3,FALSE),"")</f>
        <v/>
      </c>
      <c r="L26" s="13" t="str">
        <f>IFERROR(3/VLOOKUP(F26,données!$B$3:$D$30,3,FALSE),"")</f>
        <v/>
      </c>
      <c r="M26" s="13" t="str">
        <f>IF(L26="","",VLOOKUP(F26,données!$B$4:$I$30,8,FALSE))</f>
        <v/>
      </c>
      <c r="N26" s="14" t="str">
        <f t="shared" si="1"/>
        <v/>
      </c>
      <c r="O26" s="514" t="str">
        <f t="shared" si="8"/>
        <v/>
      </c>
      <c r="P26" s="14" t="str">
        <f t="shared" si="2"/>
        <v/>
      </c>
      <c r="Q26" s="326" t="str">
        <f>IF(K26="","",INT(((I26*2-VLOOKUP(F26,données!$B$4:$I$30,4,FALSE)+VLOOKUP(F26,données!$B$4:$I$30,5,FALSE)*NOMENCLATURE_GEN!O26+IF(OR(NOMENCLATURE_GEN!P26="",NOMENCLATURE_GEN!P26=0),0,2250)+NOMENCLATURE_GEN!Q26*2000)+0.3*H26+VLOOKUP(K26,données!$M$4:$Q$9,MATCH(L26,données!$M$3:$Q$3,0),FALSE)*(L26-1)+250)/1000)+1)</f>
        <v/>
      </c>
      <c r="R26" s="14" t="str">
        <f>IF(K26="","",IF(OR(F26=données!$B$12,F26=données!$B$13),"Bande à bords",IF(J26&gt;données!$P$11,"Bande à chevrons","Bande lisse")))</f>
        <v/>
      </c>
      <c r="S26" s="14" t="str">
        <f t="shared" si="3"/>
        <v/>
      </c>
      <c r="T26" s="406"/>
      <c r="U26" s="406"/>
      <c r="V26" s="17"/>
    </row>
    <row r="27" spans="1:22" s="8" customFormat="1" ht="39.950000000000003" hidden="1" customHeight="1">
      <c r="A27" s="3"/>
      <c r="B27" s="25" t="str">
        <f>IF(NOMENCLATURE_GEN!B27="","",NOMENCLATURE_GEN!B27)</f>
        <v/>
      </c>
      <c r="C27" s="243" t="str">
        <f>IF(NOMENCLATURE_GEN!C27="","",NOMENCLATURE_GEN!C27)</f>
        <v/>
      </c>
      <c r="D27" s="4">
        <f>IF(NOMENCLATURE_GEN!D27="","",NOMENCLATURE_GEN!D27)</f>
        <v>116</v>
      </c>
      <c r="E27" s="4" t="str">
        <f ca="1">IF(NOMENCLATURE_GEN!E27="","",NOMENCLATURE_GEN!E27)</f>
        <v>A</v>
      </c>
      <c r="F27" s="4" t="str">
        <f>IF(NOMENCLATURE_GEN!F27="","",NOMENCLATURE_GEN!F27)</f>
        <v>TRO</v>
      </c>
      <c r="G27" s="154" t="str">
        <f>IF(NOMENCLATURE_GEN!G27="","",NOMENCLATURE_GEN!G27)</f>
        <v>Trommel secondaire, maille Ø30mm, avec pales de brassage</v>
      </c>
      <c r="H27" s="26">
        <f>IF(NOMENCLATURE_GEN!H27="","",IF(NOMENCLATURE_GEN!F27="ACO",NOMENCLATURE_GEN!H27+160,NOMENCLATURE_GEN!H27))</f>
        <v>2500</v>
      </c>
      <c r="I27" s="26">
        <f>IF(NOMENCLATURE_GEN!I27="","",NOMENCLATURE_GEN!I27)</f>
        <v>6000</v>
      </c>
      <c r="J27" s="56">
        <f>IF(NOMENCLATURE_GEN!J27="","",NOMENCLATURE_GEN!J27)</f>
        <v>3</v>
      </c>
      <c r="K27" s="12" t="str">
        <f>IFERROR(400/VLOOKUP(F27,données!$B$3:$D$30,3,FALSE),"")</f>
        <v/>
      </c>
      <c r="L27" s="13" t="str">
        <f>IFERROR(3/VLOOKUP(F27,données!$B$3:$D$30,3,FALSE),"")</f>
        <v/>
      </c>
      <c r="M27" s="13" t="str">
        <f>IF(L27="","",VLOOKUP(F27,données!$B$4:$I$30,8,FALSE))</f>
        <v/>
      </c>
      <c r="N27" s="14" t="str">
        <f t="shared" si="1"/>
        <v/>
      </c>
      <c r="O27" s="514" t="str">
        <f t="shared" si="8"/>
        <v/>
      </c>
      <c r="P27" s="14" t="str">
        <f t="shared" si="2"/>
        <v/>
      </c>
      <c r="Q27" s="326" t="str">
        <f>IF(K27="","",INT(((I27*2-VLOOKUP(F27,données!$B$4:$I$30,4,FALSE)+VLOOKUP(F27,données!$B$4:$I$30,5,FALSE)*NOMENCLATURE_GEN!O27+IF(OR(NOMENCLATURE_GEN!P27="",NOMENCLATURE_GEN!P27=0),0,2250)+NOMENCLATURE_GEN!Q27*2000)+0.3*H27+VLOOKUP(K27,données!$M$4:$Q$9,MATCH(L27,données!$M$3:$Q$3,0),FALSE)*(L27-1)+250)/1000)+1)</f>
        <v/>
      </c>
      <c r="R27" s="14" t="str">
        <f>IF(K27="","",IF(OR(F27=données!$B$12,F27=données!$B$13),"Bande à bords",IF(J27&gt;données!$P$11,"Bande à chevrons","Bande lisse")))</f>
        <v/>
      </c>
      <c r="S27" s="14" t="str">
        <f t="shared" si="3"/>
        <v/>
      </c>
      <c r="T27" s="406"/>
      <c r="U27" s="406"/>
      <c r="V27" s="17"/>
    </row>
    <row r="28" spans="1:22" s="8" customFormat="1" ht="39.950000000000003" hidden="1" customHeight="1">
      <c r="A28" s="3"/>
      <c r="B28" s="25" t="str">
        <f>IF(NOMENCLATURE_GEN!B28="","",NOMENCLATURE_GEN!B28)</f>
        <v/>
      </c>
      <c r="C28" s="243" t="str">
        <f>IF(NOMENCLATURE_GEN!C28="","",NOMENCLATURE_GEN!C28)</f>
        <v/>
      </c>
      <c r="D28" s="4">
        <f>IF(NOMENCLATURE_GEN!D28="","",NOMENCLATURE_GEN!D28)</f>
        <v>117</v>
      </c>
      <c r="E28" s="4" t="str">
        <f ca="1">IF(NOMENCLATURE_GEN!E28="","",NOMENCLATURE_GEN!E28)</f>
        <v>A</v>
      </c>
      <c r="F28" s="4" t="str">
        <f>IF(NOMENCLATURE_GEN!F28="","",NOMENCLATURE_GEN!F28)</f>
        <v>NET</v>
      </c>
      <c r="G28" s="154" t="str">
        <f>IF(NOMENCLATURE_GEN!G28="","",NOMENCLATURE_GEN!G28)</f>
        <v>Nettoyage pneumatique haute pression maille Ø30mm</v>
      </c>
      <c r="H28" s="26" t="str">
        <f>IF(NOMENCLATURE_GEN!H28="","",IF(NOMENCLATURE_GEN!F28="ACO",NOMENCLATURE_GEN!H28+160,NOMENCLATURE_GEN!H28))</f>
        <v/>
      </c>
      <c r="I28" s="26" t="str">
        <f>IF(NOMENCLATURE_GEN!I28="","",NOMENCLATURE_GEN!I28)</f>
        <v/>
      </c>
      <c r="J28" s="56" t="str">
        <f>IF(NOMENCLATURE_GEN!J28="","",NOMENCLATURE_GEN!J28)</f>
        <v/>
      </c>
      <c r="K28" s="12" t="str">
        <f>IFERROR(400/VLOOKUP(F28,données!$B$3:$D$30,3,FALSE),"")</f>
        <v/>
      </c>
      <c r="L28" s="13" t="str">
        <f>IFERROR(3/VLOOKUP(F28,données!$B$3:$D$30,3,FALSE),"")</f>
        <v/>
      </c>
      <c r="M28" s="13" t="str">
        <f>IF(L28="","",VLOOKUP(F28,données!$B$4:$I$30,8,FALSE))</f>
        <v/>
      </c>
      <c r="N28" s="14" t="str">
        <f t="shared" si="1"/>
        <v/>
      </c>
      <c r="O28" s="514" t="str">
        <f t="shared" si="8"/>
        <v/>
      </c>
      <c r="P28" s="14" t="str">
        <f t="shared" si="2"/>
        <v/>
      </c>
      <c r="Q28" s="326" t="str">
        <f>IF(K28="","",INT(((I28*2-VLOOKUP(F28,données!$B$4:$I$30,4,FALSE)+VLOOKUP(F28,données!$B$4:$I$30,5,FALSE)*NOMENCLATURE_GEN!O28+IF(OR(NOMENCLATURE_GEN!P28="",NOMENCLATURE_GEN!P28=0),0,2250)+NOMENCLATURE_GEN!Q28*2000)+0.3*H28+VLOOKUP(K28,données!$M$4:$Q$9,MATCH(L28,données!$M$3:$Q$3,0),FALSE)*(L28-1)+250)/1000)+1)</f>
        <v/>
      </c>
      <c r="R28" s="14" t="str">
        <f>IF(K28="","",IF(OR(F28=données!$B$12,F28=données!$B$13),"Bande à bords",IF(J28&gt;données!$P$11,"Bande à chevrons","Bande lisse")))</f>
        <v/>
      </c>
      <c r="S28" s="14" t="str">
        <f t="shared" si="3"/>
        <v/>
      </c>
      <c r="T28" s="406"/>
      <c r="U28" s="406"/>
      <c r="V28" s="17"/>
    </row>
    <row r="29" spans="1:22" s="8" customFormat="1" ht="39.950000000000003" customHeight="1">
      <c r="A29" s="3"/>
      <c r="B29" s="25" t="str">
        <f>IF(NOMENCLATURE_GEN!B29="","",NOMENCLATURE_GEN!B29)</f>
        <v/>
      </c>
      <c r="C29" s="243" t="str">
        <f>IF(NOMENCLATURE_GEN!C29="","",NOMENCLATURE_GEN!C29)</f>
        <v/>
      </c>
      <c r="D29" s="4">
        <f>IF(NOMENCLATURE_GEN!D29="","",NOMENCLATURE_GEN!D29)</f>
        <v>118</v>
      </c>
      <c r="E29" s="4" t="str">
        <f ca="1">IF(NOMENCLATURE_GEN!E29="","",NOMENCLATURE_GEN!E29)</f>
        <v>A</v>
      </c>
      <c r="F29" s="4" t="str">
        <f>IF(NOMENCLATURE_GEN!F29="","",NOMENCLATURE_GEN!F29)</f>
        <v>CBA</v>
      </c>
      <c r="G29" s="154" t="str">
        <f>IF(NOMENCLATURE_GEN!G29="","",NOMENCLATURE_GEN!G29)</f>
        <v xml:space="preserve">Convoyeur de reprise de la fraction 30-180mm avec tête inox + zone inox </v>
      </c>
      <c r="H29" s="26">
        <f>IF(NOMENCLATURE_GEN!H29="","",IF(NOMENCLATURE_GEN!F29="ACO",NOMENCLATURE_GEN!H29+160,NOMENCLATURE_GEN!H29))</f>
        <v>1200</v>
      </c>
      <c r="I29" s="26">
        <f>IF(NOMENCLATURE_GEN!I29="","",NOMENCLATURE_GEN!I29)</f>
        <v>9000</v>
      </c>
      <c r="J29" s="56">
        <f>IF(NOMENCLATURE_GEN!J29="","",NOMENCLATURE_GEN!J29)</f>
        <v>5</v>
      </c>
      <c r="K29" s="12">
        <f>IFERROR(400/VLOOKUP(F29,données!$B$3:$D$30,3,FALSE),"")</f>
        <v>400</v>
      </c>
      <c r="L29" s="13">
        <f>IFERROR(3/VLOOKUP(F29,données!$B$3:$D$30,3,FALSE),"")</f>
        <v>3</v>
      </c>
      <c r="M29" s="13" t="str">
        <f>IF(L29="","",VLOOKUP(F29,données!$B$4:$I$30,8,FALSE))</f>
        <v>4+2</v>
      </c>
      <c r="N29" s="14" t="str">
        <f t="shared" si="1"/>
        <v>CAOUTCHOUC</v>
      </c>
      <c r="O29" s="514" t="str">
        <f t="shared" si="8"/>
        <v>G2 Haute resistance aux huiles</v>
      </c>
      <c r="P29" s="14" t="str">
        <f t="shared" si="2"/>
        <v>Ouverte</v>
      </c>
      <c r="Q29" s="326">
        <f>IF(K29="","",INT(((I29*2-VLOOKUP(F29,données!$B$4:$I$30,4,FALSE)+VLOOKUP(F29,données!$B$4:$I$30,5,FALSE)*NOMENCLATURE_GEN!O29+IF(OR(NOMENCLATURE_GEN!P29="",NOMENCLATURE_GEN!P29=0),0,2250)+NOMENCLATURE_GEN!Q29*2000)+0.3*H29+VLOOKUP(K29,données!$M$4:$Q$9,MATCH(L29,données!$M$3:$Q$3,0),FALSE)*(L29-1)+250)/1000)+1)</f>
        <v>20</v>
      </c>
      <c r="R29" s="14" t="str">
        <f>IF(K29="","",IF(OR(F29=données!$B$12,F29=données!$B$13),"Bande à bords",IF(J29&gt;données!$P$11,"Bande à chevrons","Bande lisse")))</f>
        <v>Bande lisse</v>
      </c>
      <c r="S29" s="14" t="str">
        <f t="shared" si="3"/>
        <v/>
      </c>
      <c r="T29" s="652" t="s">
        <v>542</v>
      </c>
      <c r="U29" s="652" t="s">
        <v>542</v>
      </c>
      <c r="V29" s="17"/>
    </row>
    <row r="30" spans="1:22" s="8" customFormat="1" ht="39.950000000000003" hidden="1" customHeight="1">
      <c r="A30" s="3"/>
      <c r="B30" s="25" t="str">
        <f>IF(NOMENCLATURE_GEN!B30="","",NOMENCLATURE_GEN!B30)</f>
        <v/>
      </c>
      <c r="C30" s="243" t="str">
        <f>IF(NOMENCLATURE_GEN!C30="","",NOMENCLATURE_GEN!C30)</f>
        <v/>
      </c>
      <c r="D30" s="4">
        <f>IF(NOMENCLATURE_GEN!D30="","",NOMENCLATURE_GEN!D30)</f>
        <v>119</v>
      </c>
      <c r="E30" s="4" t="str">
        <f ca="1">IF(NOMENCLATURE_GEN!E30="","",NOMENCLATURE_GEN!E30)</f>
        <v>A</v>
      </c>
      <c r="F30" s="4" t="str">
        <f>IF(NOMENCLATURE_GEN!F30="","",NOMENCLATURE_GEN!F30)</f>
        <v>OVB</v>
      </c>
      <c r="G30" s="154" t="str">
        <f>IF(NOMENCLATURE_GEN!G30="","",NOMENCLATURE_GEN!G30)</f>
        <v>Séparateur magnétique à aimant permament</v>
      </c>
      <c r="H30" s="26">
        <f>IF(NOMENCLATURE_GEN!H30="","",IF(NOMENCLATURE_GEN!F30="ACO",NOMENCLATURE_GEN!H30+160,NOMENCLATURE_GEN!H30))</f>
        <v>1200</v>
      </c>
      <c r="I30" s="26">
        <f>IF(NOMENCLATURE_GEN!I30="","",NOMENCLATURE_GEN!I30)</f>
        <v>1200</v>
      </c>
      <c r="J30" s="56" t="str">
        <f>IF(NOMENCLATURE_GEN!J30="","",NOMENCLATURE_GEN!J30)</f>
        <v/>
      </c>
      <c r="K30" s="12" t="str">
        <f>IFERROR(400/VLOOKUP(F30,données!$B$3:$D$30,3,FALSE),"")</f>
        <v/>
      </c>
      <c r="L30" s="13" t="str">
        <f>IFERROR(3/VLOOKUP(F30,données!$B$3:$D$30,3,FALSE),"")</f>
        <v/>
      </c>
      <c r="M30" s="13" t="str">
        <f>IF(L30="","",VLOOKUP(F30,données!$B$4:$I$30,8,FALSE))</f>
        <v/>
      </c>
      <c r="N30" s="14" t="str">
        <f t="shared" si="1"/>
        <v/>
      </c>
      <c r="O30" s="514" t="str">
        <f t="shared" si="8"/>
        <v/>
      </c>
      <c r="P30" s="14" t="str">
        <f t="shared" si="2"/>
        <v/>
      </c>
      <c r="Q30" s="326" t="str">
        <f>IF(K30="","",INT(((I30*2-VLOOKUP(F30,données!$B$4:$I$30,4,FALSE)+VLOOKUP(F30,données!$B$4:$I$30,5,FALSE)*NOMENCLATURE_GEN!O30+IF(OR(NOMENCLATURE_GEN!P30="",NOMENCLATURE_GEN!P30=0),0,2250)+NOMENCLATURE_GEN!Q30*2000)+0.3*H30+VLOOKUP(K30,données!$M$4:$Q$9,MATCH(L30,données!$M$3:$Q$3,0),FALSE)*(L30-1)+250)/1000)+1)</f>
        <v/>
      </c>
      <c r="R30" s="14" t="str">
        <f>IF(K30="","",IF(OR(F30=données!$B$12,F30=données!$B$13),"Bande à bords",IF(J30&gt;données!$P$11,"Bande à chevrons","Bande lisse")))</f>
        <v/>
      </c>
      <c r="S30" s="14" t="str">
        <f t="shared" si="3"/>
        <v/>
      </c>
      <c r="T30" s="406"/>
      <c r="U30" s="406"/>
      <c r="V30" s="17"/>
    </row>
    <row r="31" spans="1:22" s="8" customFormat="1" ht="39.950000000000003" hidden="1" customHeight="1">
      <c r="A31" s="3"/>
      <c r="B31" s="25" t="str">
        <f>IF(NOMENCLATURE_GEN!B31="","",NOMENCLATURE_GEN!B31)</f>
        <v/>
      </c>
      <c r="C31" s="243" t="str">
        <f>IF(NOMENCLATURE_GEN!C31="","",NOMENCLATURE_GEN!C31)</f>
        <v/>
      </c>
      <c r="D31" s="4">
        <f>IF(NOMENCLATURE_GEN!D31="","",NOMENCLATURE_GEN!D31)</f>
        <v>120</v>
      </c>
      <c r="E31" s="4" t="str">
        <f ca="1">IF(NOMENCLATURE_GEN!E31="","",NOMENCLATURE_GEN!E31)</f>
        <v>A</v>
      </c>
      <c r="F31" s="4" t="str">
        <f>IF(NOMENCLATURE_GEN!F31="","",NOMENCLATURE_GEN!F31)</f>
        <v>PMP</v>
      </c>
      <c r="G31" s="154" t="str">
        <f>IF(NOMENCLATURE_GEN!G31="","",NOMENCLATURE_GEN!G31)</f>
        <v>Poulie magnétique</v>
      </c>
      <c r="H31" s="26">
        <f>IF(NOMENCLATURE_GEN!H31="","",IF(NOMENCLATURE_GEN!F31="ACO",NOMENCLATURE_GEN!H31+160,NOMENCLATURE_GEN!H31))</f>
        <v>1200</v>
      </c>
      <c r="I31" s="26" t="str">
        <f>IF(NOMENCLATURE_GEN!I31="","",NOMENCLATURE_GEN!I31)</f>
        <v/>
      </c>
      <c r="J31" s="56" t="str">
        <f>IF(NOMENCLATURE_GEN!J31="","",NOMENCLATURE_GEN!J31)</f>
        <v/>
      </c>
      <c r="K31" s="12" t="str">
        <f>IFERROR(400/VLOOKUP(F31,données!$B$3:$D$30,3,FALSE),"")</f>
        <v/>
      </c>
      <c r="L31" s="13" t="str">
        <f>IFERROR(3/VLOOKUP(F31,données!$B$3:$D$30,3,FALSE),"")</f>
        <v/>
      </c>
      <c r="M31" s="13" t="str">
        <f>IF(L31="","",VLOOKUP(F31,données!$B$4:$I$30,8,FALSE))</f>
        <v/>
      </c>
      <c r="N31" s="14" t="str">
        <f t="shared" si="1"/>
        <v/>
      </c>
      <c r="O31" s="514" t="str">
        <f t="shared" si="8"/>
        <v/>
      </c>
      <c r="P31" s="14" t="str">
        <f t="shared" si="2"/>
        <v/>
      </c>
      <c r="Q31" s="326" t="str">
        <f>IF(K31="","",INT(((I31*2-VLOOKUP(F31,données!$B$4:$I$30,4,FALSE)+VLOOKUP(F31,données!$B$4:$I$30,5,FALSE)*NOMENCLATURE_GEN!O31+IF(OR(NOMENCLATURE_GEN!P31="",NOMENCLATURE_GEN!P31=0),0,2250)+NOMENCLATURE_GEN!Q31*2000)+0.3*H31+VLOOKUP(K31,données!$M$4:$Q$9,MATCH(L31,données!$M$3:$Q$3,0),FALSE)*(L31-1)+250)/1000)+1)</f>
        <v/>
      </c>
      <c r="R31" s="14" t="str">
        <f>IF(K31="","",IF(OR(F31=données!$B$12,F31=données!$B$13),"Bande à bords",IF(J31&gt;données!$P$11,"Bande à chevrons","Bande lisse")))</f>
        <v/>
      </c>
      <c r="S31" s="14" t="str">
        <f t="shared" si="3"/>
        <v/>
      </c>
      <c r="T31" s="406"/>
      <c r="U31" s="406"/>
      <c r="V31" s="17"/>
    </row>
    <row r="32" spans="1:22" s="8" customFormat="1" ht="39.950000000000003" hidden="1" customHeight="1">
      <c r="A32" s="3"/>
      <c r="B32" s="25" t="str">
        <f>IF(NOMENCLATURE_GEN!B32="","",NOMENCLATURE_GEN!B32)</f>
        <v/>
      </c>
      <c r="C32" s="243" t="str">
        <f>IF(NOMENCLATURE_GEN!C32="","",NOMENCLATURE_GEN!C32)</f>
        <v/>
      </c>
      <c r="D32" s="4">
        <f>IF(NOMENCLATURE_GEN!D32="","",NOMENCLATURE_GEN!D32)</f>
        <v>121</v>
      </c>
      <c r="E32" s="4" t="str">
        <f ca="1">IF(NOMENCLATURE_GEN!E32="","",NOMENCLATURE_GEN!E32)</f>
        <v>A</v>
      </c>
      <c r="F32" s="4" t="str">
        <f>IF(NOMENCLATURE_GEN!F32="","",NOMENCLATURE_GEN!F32)</f>
        <v>SNF</v>
      </c>
      <c r="G32" s="154" t="str">
        <f>IF(NOMENCLATURE_GEN!G32="","",NOMENCLATURE_GEN!G32)</f>
        <v>Séparateur de non ferreux EDX - ROUE POLAIRE</v>
      </c>
      <c r="H32" s="26">
        <f>IF(NOMENCLATURE_GEN!H32="","",IF(NOMENCLATURE_GEN!F32="ACO",NOMENCLATURE_GEN!H32+160,NOMENCLATURE_GEN!H32))</f>
        <v>1200</v>
      </c>
      <c r="I32" s="26">
        <f>IF(NOMENCLATURE_GEN!I32="","",NOMENCLATURE_GEN!I32)</f>
        <v>2500</v>
      </c>
      <c r="J32" s="56" t="str">
        <f>IF(NOMENCLATURE_GEN!J32="","",NOMENCLATURE_GEN!J32)</f>
        <v/>
      </c>
      <c r="K32" s="12" t="str">
        <f>IFERROR(400/VLOOKUP(F32,données!$B$3:$D$30,3,FALSE),"")</f>
        <v/>
      </c>
      <c r="L32" s="13" t="str">
        <f>IFERROR(3/VLOOKUP(F32,données!$B$3:$D$30,3,FALSE),"")</f>
        <v/>
      </c>
      <c r="M32" s="13" t="str">
        <f>IF(L32="","",VLOOKUP(F32,données!$B$4:$I$30,8,FALSE))</f>
        <v/>
      </c>
      <c r="N32" s="14" t="str">
        <f t="shared" si="1"/>
        <v/>
      </c>
      <c r="O32" s="514" t="str">
        <f t="shared" si="8"/>
        <v/>
      </c>
      <c r="P32" s="14" t="str">
        <f t="shared" si="2"/>
        <v/>
      </c>
      <c r="Q32" s="326" t="str">
        <f>IF(K32="","",INT(((I32*2-VLOOKUP(F32,données!$B$4:$I$30,4,FALSE)+VLOOKUP(F32,données!$B$4:$I$30,5,FALSE)*NOMENCLATURE_GEN!O32+IF(OR(NOMENCLATURE_GEN!P32="",NOMENCLATURE_GEN!P32=0),0,2250)+NOMENCLATURE_GEN!Q32*2000)+0.3*H32+VLOOKUP(K32,données!$M$4:$Q$9,MATCH(L32,données!$M$3:$Q$3,0),FALSE)*(L32-1)+250)/1000)+1)</f>
        <v/>
      </c>
      <c r="R32" s="14" t="str">
        <f>IF(K32="","",IF(OR(F32=données!$B$12,F32=données!$B$13),"Bande à bords",IF(J32&gt;données!$P$11,"Bande à chevrons","Bande lisse")))</f>
        <v/>
      </c>
      <c r="S32" s="14" t="str">
        <f t="shared" si="3"/>
        <v/>
      </c>
      <c r="T32" s="406"/>
      <c r="U32" s="406"/>
      <c r="V32" s="17"/>
    </row>
    <row r="33" spans="1:22" s="8" customFormat="1" ht="39.950000000000003" hidden="1" customHeight="1">
      <c r="A33" s="3"/>
      <c r="B33" s="25" t="str">
        <f>IF(NOMENCLATURE_GEN!B33="","",NOMENCLATURE_GEN!B33)</f>
        <v/>
      </c>
      <c r="C33" s="243" t="str">
        <f>IF(NOMENCLATURE_GEN!C33="","",NOMENCLATURE_GEN!C33)</f>
        <v/>
      </c>
      <c r="D33" s="4">
        <f>IF(NOMENCLATURE_GEN!D33="","",NOMENCLATURE_GEN!D33)</f>
        <v>121</v>
      </c>
      <c r="E33" s="4" t="str">
        <f ca="1">IF(NOMENCLATURE_GEN!E33="","",NOMENCLATURE_GEN!E33)</f>
        <v>B</v>
      </c>
      <c r="F33" s="4" t="str">
        <f>IF(NOMENCLATURE_GEN!F33="","",NOMENCLATURE_GEN!F33)</f>
        <v>SNF</v>
      </c>
      <c r="G33" s="154" t="str">
        <f>IF(NOMENCLATURE_GEN!G33="","",NOMENCLATURE_GEN!G33)</f>
        <v>Séparateur de non ferreux EDX - CONVOYEUR</v>
      </c>
      <c r="H33" s="26" t="str">
        <f>IF(NOMENCLATURE_GEN!H33="","",IF(NOMENCLATURE_GEN!F33="ACO",NOMENCLATURE_GEN!H33+160,NOMENCLATURE_GEN!H33))</f>
        <v/>
      </c>
      <c r="I33" s="26" t="str">
        <f>IF(NOMENCLATURE_GEN!I33="","",NOMENCLATURE_GEN!I33)</f>
        <v/>
      </c>
      <c r="J33" s="56" t="str">
        <f>IF(NOMENCLATURE_GEN!J33="","",NOMENCLATURE_GEN!J33)</f>
        <v/>
      </c>
      <c r="K33" s="12" t="str">
        <f>IFERROR(400/VLOOKUP(F33,données!$B$3:$D$30,3,FALSE),"")</f>
        <v/>
      </c>
      <c r="L33" s="13" t="str">
        <f>IFERROR(3/VLOOKUP(F33,données!$B$3:$D$30,3,FALSE),"")</f>
        <v/>
      </c>
      <c r="M33" s="13" t="str">
        <f>IF(L33="","",VLOOKUP(F33,données!$B$4:$I$30,8,FALSE))</f>
        <v/>
      </c>
      <c r="N33" s="14" t="str">
        <f t="shared" si="1"/>
        <v/>
      </c>
      <c r="O33" s="514" t="str">
        <f t="shared" si="8"/>
        <v/>
      </c>
      <c r="P33" s="14" t="str">
        <f t="shared" si="2"/>
        <v/>
      </c>
      <c r="Q33" s="326" t="str">
        <f>IF(K33="","",INT(((I33*2-VLOOKUP(F33,données!$B$4:$I$30,4,FALSE)+VLOOKUP(F33,données!$B$4:$I$30,5,FALSE)*NOMENCLATURE_GEN!O33+IF(OR(NOMENCLATURE_GEN!P33="",NOMENCLATURE_GEN!P33=0),0,2250)+NOMENCLATURE_GEN!Q33*2000)+0.3*H33+VLOOKUP(K33,données!$M$4:$Q$9,MATCH(L33,données!$M$3:$Q$3,0),FALSE)*(L33-1)+250)/1000)+1)</f>
        <v/>
      </c>
      <c r="R33" s="14" t="str">
        <f>IF(K33="","",IF(OR(F33=données!$B$12,F33=données!$B$13),"Bande à bords",IF(J33&gt;données!$P$11,"Bande à chevrons","Bande lisse")))</f>
        <v/>
      </c>
      <c r="S33" s="14" t="str">
        <f t="shared" si="3"/>
        <v/>
      </c>
      <c r="T33" s="406"/>
      <c r="U33" s="406"/>
      <c r="V33" s="17"/>
    </row>
    <row r="34" spans="1:22" s="8" customFormat="1" ht="39.950000000000003" hidden="1" customHeight="1">
      <c r="A34" s="3"/>
      <c r="B34" s="25" t="str">
        <f>IF(NOMENCLATURE_GEN!B34="","",NOMENCLATURE_GEN!B34)</f>
        <v/>
      </c>
      <c r="C34" s="243" t="str">
        <f>IF(NOMENCLATURE_GEN!C34="","",NOMENCLATURE_GEN!C34)</f>
        <v/>
      </c>
      <c r="D34" s="4">
        <f>IF(NOMENCLATURE_GEN!D34="","",NOMENCLATURE_GEN!D34)</f>
        <v>122</v>
      </c>
      <c r="E34" s="4" t="str">
        <f ca="1">IF(NOMENCLATURE_GEN!E34="","",NOMENCLATURE_GEN!E34)</f>
        <v>A</v>
      </c>
      <c r="F34" s="4" t="str">
        <f>IF(NOMENCLATURE_GEN!F34="","",NOMENCLATURE_GEN!F34)</f>
        <v>TBE</v>
      </c>
      <c r="G34" s="154" t="str">
        <f>IF(NOMENCLATURE_GEN!G34="","",NOMENCLATURE_GEN!G34)</f>
        <v>Convoyeur de reprise des non ferreux</v>
      </c>
      <c r="H34" s="26">
        <f>IF(NOMENCLATURE_GEN!H34="","",IF(NOMENCLATURE_GEN!F34="ACO",NOMENCLATURE_GEN!H34+160,NOMENCLATURE_GEN!H34))</f>
        <v>600</v>
      </c>
      <c r="I34" s="26">
        <f>IF(NOMENCLATURE_GEN!I34="","",NOMENCLATURE_GEN!I34)</f>
        <v>3000</v>
      </c>
      <c r="J34" s="56">
        <f>IF(NOMENCLATURE_GEN!J34="","",NOMENCLATURE_GEN!J34)</f>
        <v>0</v>
      </c>
      <c r="K34" s="12">
        <f>IFERROR(400/VLOOKUP(F34,données!$B$3:$D$30,3,FALSE),"")</f>
        <v>400</v>
      </c>
      <c r="L34" s="13">
        <f>IFERROR(3/VLOOKUP(F34,données!$B$3:$D$30,3,FALSE),"")</f>
        <v>3</v>
      </c>
      <c r="M34" s="13" t="str">
        <f>IF(L34="","",VLOOKUP(F34,données!$B$4:$I$30,8,FALSE))</f>
        <v>4+0</v>
      </c>
      <c r="N34" s="14" t="str">
        <f t="shared" si="1"/>
        <v>CAOUTCHOUC</v>
      </c>
      <c r="O34" s="514" t="str">
        <f t="shared" si="8"/>
        <v>G2 Haute resistance aux huiles</v>
      </c>
      <c r="P34" s="14" t="str">
        <f t="shared" si="2"/>
        <v>Ouverte</v>
      </c>
      <c r="Q34" s="326">
        <f>IF(K34="","",INT(((I34*2-VLOOKUP(F34,données!$B$4:$I$30,4,FALSE)+VLOOKUP(F34,données!$B$4:$I$30,5,FALSE)*NOMENCLATURE_GEN!O34+IF(OR(NOMENCLATURE_GEN!P34="",NOMENCLATURE_GEN!P34=0),0,2250)+NOMENCLATURE_GEN!Q34*2000)+0.3*H34+VLOOKUP(K34,données!$M$4:$Q$9,MATCH(L34,données!$M$3:$Q$3,0),FALSE)*(L34-1)+250)/1000)+1)</f>
        <v>7</v>
      </c>
      <c r="R34" s="14" t="str">
        <f>IF(K34="","",IF(OR(F34=données!$B$12,F34=données!$B$13),"Bande à bords",IF(J34&gt;données!$P$11,"Bande à chevrons","Bande lisse")))</f>
        <v>Bande lisse</v>
      </c>
      <c r="S34" s="14" t="str">
        <f t="shared" si="3"/>
        <v/>
      </c>
      <c r="T34" s="652" t="s">
        <v>542</v>
      </c>
      <c r="U34" s="652" t="s">
        <v>542</v>
      </c>
      <c r="V34" s="17"/>
    </row>
    <row r="35" spans="1:22" s="8" customFormat="1" ht="39.950000000000003" hidden="1" customHeight="1">
      <c r="A35" s="3"/>
      <c r="B35" s="25" t="str">
        <f>IF(NOMENCLATURE_GEN!B35="","",NOMENCLATURE_GEN!B35)</f>
        <v/>
      </c>
      <c r="C35" s="243" t="str">
        <f>IF(NOMENCLATURE_GEN!C35="","",NOMENCLATURE_GEN!C35)</f>
        <v/>
      </c>
      <c r="D35" s="4">
        <f>IF(NOMENCLATURE_GEN!D35="","",NOMENCLATURE_GEN!D35)</f>
        <v>123</v>
      </c>
      <c r="E35" s="4" t="str">
        <f ca="1">IF(NOMENCLATURE_GEN!E35="","",NOMENCLATURE_GEN!E35)</f>
        <v>A</v>
      </c>
      <c r="F35" s="4" t="str">
        <f>IF(NOMENCLATURE_GEN!F35="","",NOMENCLATURE_GEN!F35)</f>
        <v>TBE</v>
      </c>
      <c r="G35" s="154" t="str">
        <f>IF(NOMENCLATURE_GEN!G35="","",NOMENCLATURE_GEN!G35)</f>
        <v>Convoyeur de centralisation des non ferreux et transfert vers benne</v>
      </c>
      <c r="H35" s="26">
        <f>IF(NOMENCLATURE_GEN!H35="","",IF(NOMENCLATURE_GEN!F35="ACO",NOMENCLATURE_GEN!H35+160,NOMENCLATURE_GEN!H35))</f>
        <v>800</v>
      </c>
      <c r="I35" s="26">
        <f>IF(NOMENCLATURE_GEN!I35="","",NOMENCLATURE_GEN!I35)</f>
        <v>10000</v>
      </c>
      <c r="J35" s="56">
        <f>IF(NOMENCLATURE_GEN!J35="","",NOMENCLATURE_GEN!J35)</f>
        <v>20</v>
      </c>
      <c r="K35" s="12">
        <f>IFERROR(400/VLOOKUP(F35,données!$B$3:$D$30,3,FALSE),"")</f>
        <v>400</v>
      </c>
      <c r="L35" s="13">
        <f>IFERROR(3/VLOOKUP(F35,données!$B$3:$D$30,3,FALSE),"")</f>
        <v>3</v>
      </c>
      <c r="M35" s="13" t="str">
        <f>IF(L35="","",VLOOKUP(F35,données!$B$4:$I$30,8,FALSE))</f>
        <v>4+0</v>
      </c>
      <c r="N35" s="14" t="str">
        <f t="shared" si="1"/>
        <v>CAOUTCHOUC</v>
      </c>
      <c r="O35" s="514" t="str">
        <f t="shared" si="8"/>
        <v>G2 Haute resistance aux huiles</v>
      </c>
      <c r="P35" s="14" t="str">
        <f t="shared" si="2"/>
        <v>Ouverte</v>
      </c>
      <c r="Q35" s="326">
        <f>IF(K35="","",INT(((I35*2-VLOOKUP(F35,données!$B$4:$I$30,4,FALSE)+VLOOKUP(F35,données!$B$4:$I$30,5,FALSE)*NOMENCLATURE_GEN!O35+IF(OR(NOMENCLATURE_GEN!P35="",NOMENCLATURE_GEN!P35=0),0,2250)+NOMENCLATURE_GEN!Q35*2000)+0.3*H35+VLOOKUP(K35,données!$M$4:$Q$9,MATCH(L35,données!$M$3:$Q$3,0),FALSE)*(L35-1)+250)/1000)+1)</f>
        <v>24</v>
      </c>
      <c r="R35" s="14" t="str">
        <f>IF(K35="","",IF(OR(F35=données!$B$12,F35=données!$B$13),"Bande à bords",IF(J35&gt;données!$P$11,"Bande à chevrons","Bande lisse")))</f>
        <v>Bande à chevrons</v>
      </c>
      <c r="S35" s="654" t="s">
        <v>745</v>
      </c>
      <c r="T35" s="406" t="s">
        <v>542</v>
      </c>
      <c r="U35" s="406" t="s">
        <v>542</v>
      </c>
      <c r="V35" s="17"/>
    </row>
    <row r="36" spans="1:22" s="8" customFormat="1" ht="39.950000000000003" hidden="1" customHeight="1">
      <c r="A36" s="3"/>
      <c r="B36" s="25" t="str">
        <f>IF(NOMENCLATURE_GEN!B36="","",NOMENCLATURE_GEN!B36)</f>
        <v/>
      </c>
      <c r="C36" s="243" t="str">
        <f>IF(NOMENCLATURE_GEN!C36="","",NOMENCLATURE_GEN!C36)</f>
        <v/>
      </c>
      <c r="D36" s="4">
        <f>IF(NOMENCLATURE_GEN!D36="","",NOMENCLATURE_GEN!D36)</f>
        <v>124</v>
      </c>
      <c r="E36" s="4" t="str">
        <f ca="1">IF(NOMENCLATURE_GEN!E36="","",NOMENCLATURE_GEN!E36)</f>
        <v>A</v>
      </c>
      <c r="F36" s="4" t="str">
        <f>IF(NOMENCLATURE_GEN!F36="","",NOMENCLATURE_GEN!F36)</f>
        <v>TBE</v>
      </c>
      <c r="G36" s="154" t="str">
        <f>IF(NOMENCLATURE_GEN!G36="","",NOMENCLATURE_GEN!G36)</f>
        <v>Convoyeur navette double sens de remplissage de la benne</v>
      </c>
      <c r="H36" s="26">
        <f>IF(NOMENCLATURE_GEN!H36="","",IF(NOMENCLATURE_GEN!F36="ACO",NOMENCLATURE_GEN!H36+160,NOMENCLATURE_GEN!H36))</f>
        <v>800</v>
      </c>
      <c r="I36" s="26">
        <f>IF(NOMENCLATURE_GEN!I36="","",NOMENCLATURE_GEN!I36)</f>
        <v>3000</v>
      </c>
      <c r="J36" s="56">
        <f>IF(NOMENCLATURE_GEN!J36="","",NOMENCLATURE_GEN!J36)</f>
        <v>0</v>
      </c>
      <c r="K36" s="12">
        <f>IFERROR(400/VLOOKUP(F36,données!$B$3:$D$30,3,FALSE),"")</f>
        <v>400</v>
      </c>
      <c r="L36" s="13">
        <f>IFERROR(3/VLOOKUP(F36,données!$B$3:$D$30,3,FALSE),"")</f>
        <v>3</v>
      </c>
      <c r="M36" s="13" t="str">
        <f>IF(L36="","",VLOOKUP(F36,données!$B$4:$I$30,8,FALSE))</f>
        <v>4+0</v>
      </c>
      <c r="N36" s="14" t="str">
        <f t="shared" si="1"/>
        <v>CAOUTCHOUC</v>
      </c>
      <c r="O36" s="514" t="str">
        <f t="shared" si="8"/>
        <v>G2 Haute resistance aux huiles</v>
      </c>
      <c r="P36" s="14" t="str">
        <f t="shared" si="2"/>
        <v>Ouverte</v>
      </c>
      <c r="Q36" s="326">
        <f>IF(K36="","",INT(((I36*2-VLOOKUP(F36,données!$B$4:$I$30,4,FALSE)+VLOOKUP(F36,données!$B$4:$I$30,5,FALSE)*NOMENCLATURE_GEN!O36+IF(OR(NOMENCLATURE_GEN!P36="",NOMENCLATURE_GEN!P36=0),0,2250)+NOMENCLATURE_GEN!Q36*2000)+0.3*H36+VLOOKUP(K36,données!$M$4:$Q$9,MATCH(L36,données!$M$3:$Q$3,0),FALSE)*(L36-1)+250)/1000)+1)</f>
        <v>7</v>
      </c>
      <c r="R36" s="14" t="str">
        <f>IF(K36="","",IF(OR(F36=données!$B$12,F36=données!$B$13),"Bande à bords",IF(J36&gt;données!$P$11,"Bande à chevrons","Bande lisse")))</f>
        <v>Bande lisse</v>
      </c>
      <c r="S36" s="14" t="str">
        <f t="shared" si="3"/>
        <v/>
      </c>
      <c r="T36" s="652" t="s">
        <v>542</v>
      </c>
      <c r="U36" s="652" t="s">
        <v>542</v>
      </c>
      <c r="V36" s="17"/>
    </row>
    <row r="37" spans="1:22" s="8" customFormat="1" ht="39.950000000000003" customHeight="1">
      <c r="A37" s="3"/>
      <c r="B37" s="25" t="str">
        <f>IF(NOMENCLATURE_GEN!B37="","",NOMENCLATURE_GEN!B37)</f>
        <v/>
      </c>
      <c r="C37" s="243" t="str">
        <f>IF(NOMENCLATURE_GEN!C37="","",NOMENCLATURE_GEN!C37)</f>
        <v/>
      </c>
      <c r="D37" s="4">
        <f>IF(NOMENCLATURE_GEN!D37="","",NOMENCLATURE_GEN!D37)</f>
        <v>125</v>
      </c>
      <c r="E37" s="4" t="str">
        <f ca="1">IF(NOMENCLATURE_GEN!E37="","",NOMENCLATURE_GEN!E37)</f>
        <v>A</v>
      </c>
      <c r="F37" s="4" t="str">
        <f>IF(NOMENCLATURE_GEN!F37="","",NOMENCLATURE_GEN!F37)</f>
        <v>CBA</v>
      </c>
      <c r="G37" s="154" t="str">
        <f>IF(NOMENCLATURE_GEN!G37="","",NOMENCLATURE_GEN!G37)</f>
        <v>Convoyeur de reprise des refus 30-180mm sous snf</v>
      </c>
      <c r="H37" s="26">
        <f>IF(NOMENCLATURE_GEN!H37="","",IF(NOMENCLATURE_GEN!F37="ACO",NOMENCLATURE_GEN!H37+160,NOMENCLATURE_GEN!H37))</f>
        <v>1000</v>
      </c>
      <c r="I37" s="26">
        <f>IF(NOMENCLATURE_GEN!I37="","",NOMENCLATURE_GEN!I37)</f>
        <v>7500</v>
      </c>
      <c r="J37" s="56">
        <f>IF(NOMENCLATURE_GEN!J37="","",NOMENCLATURE_GEN!J37)</f>
        <v>14</v>
      </c>
      <c r="K37" s="12">
        <f>IFERROR(400/VLOOKUP(F37,données!$B$3:$D$30,3,FALSE),"")</f>
        <v>400</v>
      </c>
      <c r="L37" s="13">
        <f>IFERROR(3/VLOOKUP(F37,données!$B$3:$D$30,3,FALSE),"")</f>
        <v>3</v>
      </c>
      <c r="M37" s="13" t="str">
        <f>IF(L37="","",VLOOKUP(F37,données!$B$4:$I$30,8,FALSE))</f>
        <v>4+2</v>
      </c>
      <c r="N37" s="14" t="str">
        <f t="shared" si="1"/>
        <v>CAOUTCHOUC</v>
      </c>
      <c r="O37" s="514" t="str">
        <f t="shared" si="8"/>
        <v>G2 Haute resistance aux huiles</v>
      </c>
      <c r="P37" s="14" t="str">
        <f t="shared" si="2"/>
        <v>Ouverte</v>
      </c>
      <c r="Q37" s="326">
        <f>IF(K37="","",INT(((I37*2-VLOOKUP(F37,données!$B$4:$I$30,4,FALSE)+VLOOKUP(F37,données!$B$4:$I$30,5,FALSE)*NOMENCLATURE_GEN!O37+IF(OR(NOMENCLATURE_GEN!P37="",NOMENCLATURE_GEN!P37=0),0,2250)+NOMENCLATURE_GEN!Q37*2000)+0.3*H37+VLOOKUP(K37,données!$M$4:$Q$9,MATCH(L37,données!$M$3:$Q$3,0),FALSE)*(L37-1)+250)/1000)+1)</f>
        <v>17</v>
      </c>
      <c r="R37" s="14" t="str">
        <f>IF(K37="","",IF(OR(F37=données!$B$12,F37=données!$B$13),"Bande à bords",IF(J37&gt;données!$P$11,"Bande à chevrons","Bande lisse")))</f>
        <v>Bande lisse</v>
      </c>
      <c r="S37" s="14" t="str">
        <f t="shared" si="3"/>
        <v/>
      </c>
      <c r="T37" s="652" t="s">
        <v>542</v>
      </c>
      <c r="U37" s="652" t="s">
        <v>542</v>
      </c>
      <c r="V37" s="17"/>
    </row>
    <row r="38" spans="1:22" s="8" customFormat="1" ht="39.950000000000003" customHeight="1">
      <c r="A38" s="3"/>
      <c r="B38" s="25" t="str">
        <f>IF(NOMENCLATURE_GEN!B38="","",NOMENCLATURE_GEN!B38)</f>
        <v/>
      </c>
      <c r="C38" s="243" t="str">
        <f>IF(NOMENCLATURE_GEN!C38="","",NOMENCLATURE_GEN!C38)</f>
        <v/>
      </c>
      <c r="D38" s="4">
        <f>IF(NOMENCLATURE_GEN!D38="","",NOMENCLATURE_GEN!D38)</f>
        <v>126</v>
      </c>
      <c r="E38" s="4" t="str">
        <f ca="1">IF(NOMENCLATURE_GEN!E38="","",NOMENCLATURE_GEN!E38)</f>
        <v>A</v>
      </c>
      <c r="F38" s="4" t="str">
        <f>IF(NOMENCLATURE_GEN!F38="","",NOMENCLATURE_GEN!F38)</f>
        <v>CBA</v>
      </c>
      <c r="G38" s="154" t="str">
        <f>IF(NOMENCLATURE_GEN!G38="","",NOMENCLATURE_GEN!G38)</f>
        <v>Convoyeur de transfert des refus 30-180mm</v>
      </c>
      <c r="H38" s="26">
        <f>IF(NOMENCLATURE_GEN!H38="","",IF(NOMENCLATURE_GEN!F38="ACO",NOMENCLATURE_GEN!H38+160,NOMENCLATURE_GEN!H38))</f>
        <v>1000</v>
      </c>
      <c r="I38" s="26">
        <f>IF(NOMENCLATURE_GEN!I38="","",NOMENCLATURE_GEN!I38)</f>
        <v>14250</v>
      </c>
      <c r="J38" s="56">
        <f>IF(NOMENCLATURE_GEN!J38="","",NOMENCLATURE_GEN!J38)</f>
        <v>10</v>
      </c>
      <c r="K38" s="12">
        <f>IFERROR(400/VLOOKUP(F38,données!$B$3:$D$30,3,FALSE),"")</f>
        <v>400</v>
      </c>
      <c r="L38" s="13">
        <f>IFERROR(3/VLOOKUP(F38,données!$B$3:$D$30,3,FALSE),"")</f>
        <v>3</v>
      </c>
      <c r="M38" s="13" t="str">
        <f>IF(L38="","",VLOOKUP(F38,données!$B$4:$I$30,8,FALSE))</f>
        <v>4+2</v>
      </c>
      <c r="N38" s="14" t="str">
        <f t="shared" si="1"/>
        <v>CAOUTCHOUC</v>
      </c>
      <c r="O38" s="514" t="str">
        <f t="shared" si="8"/>
        <v>G2 Haute resistance aux huiles</v>
      </c>
      <c r="P38" s="14" t="str">
        <f t="shared" si="2"/>
        <v>Ouverte</v>
      </c>
      <c r="Q38" s="326">
        <f>IF(K38="","",INT(((I38*2-VLOOKUP(F38,données!$B$4:$I$30,4,FALSE)+VLOOKUP(F38,données!$B$4:$I$30,5,FALSE)*NOMENCLATURE_GEN!O38+IF(OR(NOMENCLATURE_GEN!P38="",NOMENCLATURE_GEN!P38=0),0,2250)+NOMENCLATURE_GEN!Q38*2000)+0.3*H38+VLOOKUP(K38,données!$M$4:$Q$9,MATCH(L38,données!$M$3:$Q$3,0),FALSE)*(L38-1)+250)/1000)+1)</f>
        <v>30</v>
      </c>
      <c r="R38" s="14" t="str">
        <f>IF(K38="","",IF(OR(F38=données!$B$12,F38=données!$B$13),"Bande à bords",IF(J38&gt;données!$P$11,"Bande à chevrons","Bande lisse")))</f>
        <v>Bande lisse</v>
      </c>
      <c r="S38" s="14" t="str">
        <f t="shared" si="3"/>
        <v/>
      </c>
      <c r="T38" s="406" t="s">
        <v>542</v>
      </c>
      <c r="U38" s="406" t="s">
        <v>542</v>
      </c>
      <c r="V38" s="17"/>
    </row>
    <row r="39" spans="1:22" s="8" customFormat="1" ht="39.950000000000003" hidden="1" customHeight="1">
      <c r="A39" s="3"/>
      <c r="B39" s="25" t="str">
        <f>IF(NOMENCLATURE_GEN!B39="","",NOMENCLATURE_GEN!B39)</f>
        <v/>
      </c>
      <c r="C39" s="243" t="str">
        <f>IF(NOMENCLATURE_GEN!C39="","",NOMENCLATURE_GEN!C39)</f>
        <v/>
      </c>
      <c r="D39" s="4">
        <f>IF(NOMENCLATURE_GEN!D39="","",NOMENCLATURE_GEN!D39)</f>
        <v>127</v>
      </c>
      <c r="E39" s="4" t="str">
        <f ca="1">IF(NOMENCLATURE_GEN!E39="","",NOMENCLATURE_GEN!E39)</f>
        <v>A</v>
      </c>
      <c r="F39" s="4" t="str">
        <f>IF(NOMENCLATURE_GEN!F39="","",NOMENCLATURE_GEN!F39)</f>
        <v>TBE</v>
      </c>
      <c r="G39" s="154" t="str">
        <f>IF(NOMENCLATURE_GEN!G39="","",NOMENCLATURE_GEN!G39)</f>
        <v>Convoyeur de reprise des aciers 30-180mm</v>
      </c>
      <c r="H39" s="26">
        <f>IF(NOMENCLATURE_GEN!H39="","",IF(NOMENCLATURE_GEN!F39="ACO",NOMENCLATURE_GEN!H39+160,NOMENCLATURE_GEN!H39))</f>
        <v>600</v>
      </c>
      <c r="I39" s="624">
        <f>IF(NOMENCLATURE_GEN!I39="","",NOMENCLATURE_GEN!I39)</f>
        <v>3750</v>
      </c>
      <c r="J39" s="56">
        <f>IF(NOMENCLATURE_GEN!J39="","",NOMENCLATURE_GEN!J39)</f>
        <v>10</v>
      </c>
      <c r="K39" s="12">
        <f>IFERROR(400/VLOOKUP(F39,données!$B$3:$D$30,3,FALSE),"")</f>
        <v>400</v>
      </c>
      <c r="L39" s="13">
        <f>IFERROR(3/VLOOKUP(F39,données!$B$3:$D$30,3,FALSE),"")</f>
        <v>3</v>
      </c>
      <c r="M39" s="13" t="str">
        <f>IF(L39="","",VLOOKUP(F39,données!$B$4:$I$30,8,FALSE))</f>
        <v>4+0</v>
      </c>
      <c r="N39" s="14" t="str">
        <f t="shared" si="1"/>
        <v>CAOUTCHOUC</v>
      </c>
      <c r="O39" s="514" t="str">
        <f t="shared" si="8"/>
        <v>G2 Haute resistance aux huiles</v>
      </c>
      <c r="P39" s="14" t="str">
        <f t="shared" si="2"/>
        <v>Ouverte</v>
      </c>
      <c r="Q39" s="326">
        <f>IF(K39="","",INT(((I39*2-VLOOKUP(F39,données!$B$4:$I$30,4,FALSE)+VLOOKUP(F39,données!$B$4:$I$30,5,FALSE)*NOMENCLATURE_GEN!O39+IF(OR(NOMENCLATURE_GEN!P39="",NOMENCLATURE_GEN!P39=0),0,2250)+NOMENCLATURE_GEN!Q39*2000)+0.3*H39+VLOOKUP(K39,données!$M$4:$Q$9,MATCH(L39,données!$M$3:$Q$3,0),FALSE)*(L39-1)+250)/1000)+1)</f>
        <v>9</v>
      </c>
      <c r="R39" s="14" t="str">
        <f>IF(K39="","",IF(OR(F39=données!$B$12,F39=données!$B$13),"Bande à bords",IF(J39&gt;données!$P$11,"Bande à chevrons","Bande lisse")))</f>
        <v>Bande lisse</v>
      </c>
      <c r="S39" s="14" t="str">
        <f t="shared" si="3"/>
        <v/>
      </c>
      <c r="T39" s="652" t="s">
        <v>542</v>
      </c>
      <c r="U39" s="652" t="s">
        <v>542</v>
      </c>
      <c r="V39" s="17"/>
    </row>
    <row r="40" spans="1:22" s="8" customFormat="1" ht="39.950000000000003" hidden="1" customHeight="1">
      <c r="A40" s="3"/>
      <c r="B40" s="25" t="str">
        <f>IF(NOMENCLATURE_GEN!B40="","",NOMENCLATURE_GEN!B40)</f>
        <v/>
      </c>
      <c r="C40" s="243" t="str">
        <f>IF(NOMENCLATURE_GEN!C40="","",NOMENCLATURE_GEN!C40)</f>
        <v/>
      </c>
      <c r="D40" s="4">
        <f>IF(NOMENCLATURE_GEN!D40="","",NOMENCLATURE_GEN!D40)</f>
        <v>128</v>
      </c>
      <c r="E40" s="4" t="str">
        <f ca="1">IF(NOMENCLATURE_GEN!E40="","",NOMENCLATURE_GEN!E40)</f>
        <v>A</v>
      </c>
      <c r="F40" s="4" t="str">
        <f>IF(NOMENCLATURE_GEN!F40="","",NOMENCLATURE_GEN!F40)</f>
        <v>GLT</v>
      </c>
      <c r="G40" s="154" t="str">
        <f>IF(NOMENCLATURE_GEN!G40="","",NOMENCLATURE_GEN!G40)</f>
        <v>Goulotte by-pass (ligne de broyage des fe ou benne de stokage)</v>
      </c>
      <c r="H40" s="26" t="str">
        <f>IF(NOMENCLATURE_GEN!H40="","",IF(NOMENCLATURE_GEN!F40="ACO",NOMENCLATURE_GEN!H40+160,NOMENCLATURE_GEN!H40))</f>
        <v/>
      </c>
      <c r="I40" s="26" t="str">
        <f>IF(NOMENCLATURE_GEN!I40="","",NOMENCLATURE_GEN!I40)</f>
        <v/>
      </c>
      <c r="J40" s="56" t="str">
        <f>IF(NOMENCLATURE_GEN!J40="","",NOMENCLATURE_GEN!J40)</f>
        <v/>
      </c>
      <c r="K40" s="12" t="str">
        <f>IFERROR(400/VLOOKUP(F40,données!$B$3:$D$30,3,FALSE),"")</f>
        <v/>
      </c>
      <c r="L40" s="13" t="str">
        <f>IFERROR(3/VLOOKUP(F40,données!$B$3:$D$30,3,FALSE),"")</f>
        <v/>
      </c>
      <c r="M40" s="13" t="str">
        <f>IF(L40="","",VLOOKUP(F40,données!$B$4:$I$30,8,FALSE))</f>
        <v/>
      </c>
      <c r="N40" s="14" t="str">
        <f t="shared" si="1"/>
        <v/>
      </c>
      <c r="O40" s="514" t="str">
        <f t="shared" si="8"/>
        <v/>
      </c>
      <c r="P40" s="14" t="str">
        <f t="shared" si="2"/>
        <v/>
      </c>
      <c r="Q40" s="326" t="str">
        <f>IF(K40="","",INT(((I40*2-VLOOKUP(F40,données!$B$4:$I$30,4,FALSE)+VLOOKUP(F40,données!$B$4:$I$30,5,FALSE)*NOMENCLATURE_GEN!O40+IF(OR(NOMENCLATURE_GEN!P40="",NOMENCLATURE_GEN!P40=0),0,2250)+NOMENCLATURE_GEN!Q40*2000)+0.3*H40+VLOOKUP(K40,données!$M$4:$Q$9,MATCH(L40,données!$M$3:$Q$3,0),FALSE)*(L40-1)+250)/1000)+1)</f>
        <v/>
      </c>
      <c r="R40" s="14" t="str">
        <f>IF(K40="","",IF(OR(F40=données!$B$12,F40=données!$B$13),"Bande à bords",IF(J40&gt;données!$P$11,"Bande à chevrons","Bande lisse")))</f>
        <v/>
      </c>
      <c r="S40" s="14" t="str">
        <f t="shared" si="3"/>
        <v/>
      </c>
      <c r="T40" s="406"/>
      <c r="U40" s="406"/>
      <c r="V40" s="17"/>
    </row>
    <row r="41" spans="1:22" s="8" customFormat="1" ht="39.950000000000003" hidden="1" customHeight="1">
      <c r="A41" s="3"/>
      <c r="B41" s="25" t="str">
        <f>IF(NOMENCLATURE_GEN!B41="","",NOMENCLATURE_GEN!B41)</f>
        <v>SUP</v>
      </c>
      <c r="C41" s="243" t="str">
        <f>IF(NOMENCLATURE_GEN!C41="","",NOMENCLATURE_GEN!C41)</f>
        <v/>
      </c>
      <c r="D41" s="4">
        <f>IF(NOMENCLATURE_GEN!D41="","",NOMENCLATURE_GEN!D41)</f>
        <v>129</v>
      </c>
      <c r="E41" s="4" t="str">
        <f ca="1">IF(NOMENCLATURE_GEN!E41="","",NOMENCLATURE_GEN!E41)</f>
        <v>A</v>
      </c>
      <c r="F41" s="4" t="str">
        <f>IF(NOMENCLATURE_GEN!F41="","",NOMENCLATURE_GEN!F41)</f>
        <v>TRE</v>
      </c>
      <c r="G41" s="154" t="str">
        <f>IF(NOMENCLATURE_GEN!G41="","",NOMENCLATURE_GEN!G41)</f>
        <v>Trémie des passants sous trommel secondaire</v>
      </c>
      <c r="H41" s="26" t="str">
        <f>IF(NOMENCLATURE_GEN!H41="","",IF(NOMENCLATURE_GEN!F41="ACO",NOMENCLATURE_GEN!H41+160,NOMENCLATURE_GEN!H41))</f>
        <v/>
      </c>
      <c r="I41" s="26" t="str">
        <f>IF(NOMENCLATURE_GEN!I41="","",NOMENCLATURE_GEN!I41)</f>
        <v/>
      </c>
      <c r="J41" s="56" t="str">
        <f>IF(NOMENCLATURE_GEN!J41="","",NOMENCLATURE_GEN!J41)</f>
        <v/>
      </c>
      <c r="K41" s="12" t="str">
        <f>IFERROR(400/VLOOKUP(F41,données!$B$3:$D$30,3,FALSE),"")</f>
        <v/>
      </c>
      <c r="L41" s="13" t="str">
        <f>IFERROR(3/VLOOKUP(F41,données!$B$3:$D$30,3,FALSE),"")</f>
        <v/>
      </c>
      <c r="M41" s="13" t="str">
        <f>IF(L41="","",VLOOKUP(F41,données!$B$4:$I$30,8,FALSE))</f>
        <v/>
      </c>
      <c r="N41" s="14" t="str">
        <f t="shared" si="1"/>
        <v/>
      </c>
      <c r="O41" s="514" t="str">
        <f t="shared" si="8"/>
        <v/>
      </c>
      <c r="P41" s="14" t="str">
        <f t="shared" si="2"/>
        <v/>
      </c>
      <c r="Q41" s="326" t="str">
        <f>IF(K41="","",INT(((I41*2-VLOOKUP(F41,données!$B$4:$I$30,4,FALSE)+VLOOKUP(F41,données!$B$4:$I$30,5,FALSE)*NOMENCLATURE_GEN!O41+IF(OR(NOMENCLATURE_GEN!P41="",NOMENCLATURE_GEN!P41=0),0,2250)+NOMENCLATURE_GEN!Q41*2000)+0.3*H41+VLOOKUP(K41,données!$M$4:$Q$9,MATCH(L41,données!$M$3:$Q$3,0),FALSE)*(L41-1)+250)/1000)+1)</f>
        <v/>
      </c>
      <c r="R41" s="14" t="str">
        <f>IF(K41="","",IF(OR(F41=données!$B$12,F41=données!$B$13),"Bande à bords",IF(J41&gt;données!$P$11,"Bande à chevrons","Bande lisse")))</f>
        <v/>
      </c>
      <c r="S41" s="14" t="str">
        <f t="shared" si="3"/>
        <v/>
      </c>
      <c r="T41" s="406"/>
      <c r="U41" s="406"/>
      <c r="V41" s="17"/>
    </row>
    <row r="42" spans="1:22" s="8" customFormat="1" ht="39.950000000000003" customHeight="1">
      <c r="A42" s="3"/>
      <c r="B42" s="25" t="str">
        <f>IF(NOMENCLATURE_GEN!B42="","",NOMENCLATURE_GEN!B42)</f>
        <v/>
      </c>
      <c r="C42" s="243" t="str">
        <f>IF(NOMENCLATURE_GEN!C42="","",NOMENCLATURE_GEN!C42)</f>
        <v/>
      </c>
      <c r="D42" s="4">
        <f>IF(NOMENCLATURE_GEN!D42="","",NOMENCLATURE_GEN!D42)</f>
        <v>130</v>
      </c>
      <c r="E42" s="4" t="str">
        <f ca="1">IF(NOMENCLATURE_GEN!E42="","",NOMENCLATURE_GEN!E42)</f>
        <v>A</v>
      </c>
      <c r="F42" s="4" t="str">
        <f>IF(NOMENCLATURE_GEN!F42="","",NOMENCLATURE_GEN!F42)</f>
        <v>CBA</v>
      </c>
      <c r="G42" s="154" t="str">
        <f>IF(NOMENCLATURE_GEN!G42="","",NOMENCLATURE_GEN!G42)</f>
        <v>Convoyeur de reprise de la fraction 0-30mm</v>
      </c>
      <c r="H42" s="26">
        <f>IF(NOMENCLATURE_GEN!H42="","",IF(NOMENCLATURE_GEN!F42="ACO",NOMENCLATURE_GEN!H42+160,NOMENCLATURE_GEN!H42))</f>
        <v>1400</v>
      </c>
      <c r="I42" s="26">
        <f>IF(NOMENCLATURE_GEN!I42="","",NOMENCLATURE_GEN!I42)</f>
        <v>7750</v>
      </c>
      <c r="J42" s="56">
        <f>IF(NOMENCLATURE_GEN!J42="","",NOMENCLATURE_GEN!J42)</f>
        <v>0</v>
      </c>
      <c r="K42" s="12">
        <f>IFERROR(400/VLOOKUP(F42,données!$B$3:$D$30,3,FALSE),"")</f>
        <v>400</v>
      </c>
      <c r="L42" s="13">
        <f>IFERROR(3/VLOOKUP(F42,données!$B$3:$D$30,3,FALSE),"")</f>
        <v>3</v>
      </c>
      <c r="M42" s="13" t="str">
        <f>IF(L42="","",VLOOKUP(F42,données!$B$4:$I$30,8,FALSE))</f>
        <v>4+2</v>
      </c>
      <c r="N42" s="14" t="str">
        <f t="shared" si="1"/>
        <v>CAOUTCHOUC</v>
      </c>
      <c r="O42" s="514" t="str">
        <f t="shared" si="8"/>
        <v>G2 Haute resistance aux huiles</v>
      </c>
      <c r="P42" s="14" t="str">
        <f t="shared" si="2"/>
        <v>Ouverte</v>
      </c>
      <c r="Q42" s="326">
        <f>IF(K42="","",INT(((I42*2-VLOOKUP(F42,données!$B$4:$I$30,4,FALSE)+VLOOKUP(F42,données!$B$4:$I$30,5,FALSE)*NOMENCLATURE_GEN!O42+IF(OR(NOMENCLATURE_GEN!P42="",NOMENCLATURE_GEN!P42=0),0,2250)+NOMENCLATURE_GEN!Q42*2000)+0.3*H42+VLOOKUP(K42,données!$M$4:$Q$9,MATCH(L42,données!$M$3:$Q$3,0),FALSE)*(L42-1)+250)/1000)+1)</f>
        <v>17</v>
      </c>
      <c r="R42" s="14" t="str">
        <f>IF(K42="","",IF(OR(F42=données!$B$12,F42=données!$B$13),"Bande à bords",IF(J42&gt;données!$P$11,"Bande à chevrons","Bande lisse")))</f>
        <v>Bande lisse</v>
      </c>
      <c r="S42" s="14" t="str">
        <f t="shared" si="3"/>
        <v/>
      </c>
      <c r="T42" s="652" t="s">
        <v>542</v>
      </c>
      <c r="U42" s="652" t="s">
        <v>542</v>
      </c>
      <c r="V42" s="17"/>
    </row>
    <row r="43" spans="1:22" s="8" customFormat="1" ht="39.950000000000003" customHeight="1">
      <c r="A43" s="3"/>
      <c r="B43" s="25" t="str">
        <f>IF(NOMENCLATURE_GEN!B43="","",NOMENCLATURE_GEN!B43)</f>
        <v/>
      </c>
      <c r="C43" s="243" t="str">
        <f>IF(NOMENCLATURE_GEN!C43="","",NOMENCLATURE_GEN!C43)</f>
        <v/>
      </c>
      <c r="D43" s="4">
        <f>IF(NOMENCLATURE_GEN!D43="","",NOMENCLATURE_GEN!D43)</f>
        <v>131</v>
      </c>
      <c r="E43" s="4" t="str">
        <f ca="1">IF(NOMENCLATURE_GEN!E43="","",NOMENCLATURE_GEN!E43)</f>
        <v>A</v>
      </c>
      <c r="F43" s="4" t="str">
        <f>IF(NOMENCLATURE_GEN!F43="","",NOMENCLATURE_GEN!F43)</f>
        <v>CBA</v>
      </c>
      <c r="G43" s="154" t="str">
        <f>IF(NOMENCLATURE_GEN!G43="","",NOMENCLATURE_GEN!G43)</f>
        <v>Convoyeur de reprise de la fraction 0-30mm, tête inox + zone inox</v>
      </c>
      <c r="H43" s="26">
        <f>IF(NOMENCLATURE_GEN!H43="","",IF(NOMENCLATURE_GEN!F43="ACO",NOMENCLATURE_GEN!H43+160,NOMENCLATURE_GEN!H43))</f>
        <v>1200</v>
      </c>
      <c r="I43" s="26">
        <f>IF(NOMENCLATURE_GEN!I43="","",NOMENCLATURE_GEN!I43)</f>
        <v>8250</v>
      </c>
      <c r="J43" s="56">
        <f>IF(NOMENCLATURE_GEN!J43="","",NOMENCLATURE_GEN!J43)</f>
        <v>19</v>
      </c>
      <c r="K43" s="12">
        <f>IFERROR(400/VLOOKUP(F43,données!$B$3:$D$30,3,FALSE),"")</f>
        <v>400</v>
      </c>
      <c r="L43" s="13">
        <f>IFERROR(3/VLOOKUP(F43,données!$B$3:$D$30,3,FALSE),"")</f>
        <v>3</v>
      </c>
      <c r="M43" s="13" t="str">
        <f>IF(L43="","",VLOOKUP(F43,données!$B$4:$I$30,8,FALSE))</f>
        <v>4+2</v>
      </c>
      <c r="N43" s="14" t="str">
        <f t="shared" si="1"/>
        <v>CAOUTCHOUC</v>
      </c>
      <c r="O43" s="514" t="str">
        <f t="shared" si="8"/>
        <v>G2 Haute resistance aux huiles</v>
      </c>
      <c r="P43" s="14" t="str">
        <f t="shared" si="2"/>
        <v>Ouverte</v>
      </c>
      <c r="Q43" s="326">
        <f>IF(K43="","",INT(((I43*2-VLOOKUP(F43,données!$B$4:$I$30,4,FALSE)+VLOOKUP(F43,données!$B$4:$I$30,5,FALSE)*NOMENCLATURE_GEN!O43+IF(OR(NOMENCLATURE_GEN!P43="",NOMENCLATURE_GEN!P43=0),0,2250)+NOMENCLATURE_GEN!Q43*2000)+0.3*H43+VLOOKUP(K43,données!$M$4:$Q$9,MATCH(L43,données!$M$3:$Q$3,0),FALSE)*(L43-1)+250)/1000)+1)</f>
        <v>18</v>
      </c>
      <c r="R43" s="14" t="s">
        <v>536</v>
      </c>
      <c r="S43" s="14" t="str">
        <f t="shared" si="3"/>
        <v/>
      </c>
      <c r="T43" s="652" t="s">
        <v>542</v>
      </c>
      <c r="U43" s="652" t="s">
        <v>542</v>
      </c>
      <c r="V43" s="17"/>
    </row>
    <row r="44" spans="1:22" s="8" customFormat="1" ht="39.950000000000003" hidden="1" customHeight="1">
      <c r="A44" s="3"/>
      <c r="B44" s="25" t="str">
        <f>IF(NOMENCLATURE_GEN!B44="","",NOMENCLATURE_GEN!B44)</f>
        <v/>
      </c>
      <c r="C44" s="243" t="str">
        <f>IF(NOMENCLATURE_GEN!C44="","",NOMENCLATURE_GEN!C44)</f>
        <v/>
      </c>
      <c r="D44" s="4">
        <f>IF(NOMENCLATURE_GEN!D44="","",NOMENCLATURE_GEN!D44)</f>
        <v>132</v>
      </c>
      <c r="E44" s="4" t="str">
        <f ca="1">IF(NOMENCLATURE_GEN!E44="","",NOMENCLATURE_GEN!E44)</f>
        <v>A</v>
      </c>
      <c r="F44" s="4" t="str">
        <f>IF(NOMENCLATURE_GEN!F44="","",NOMENCLATURE_GEN!F44)</f>
        <v>OVB</v>
      </c>
      <c r="G44" s="154" t="str">
        <f>IF(NOMENCLATURE_GEN!G44="","",NOMENCLATURE_GEN!G44)</f>
        <v>Séparateur magnétique à aimant permament</v>
      </c>
      <c r="H44" s="26">
        <f>IF(NOMENCLATURE_GEN!H44="","",IF(NOMENCLATURE_GEN!F44="ACO",NOMENCLATURE_GEN!H44+160,NOMENCLATURE_GEN!H44))</f>
        <v>1200</v>
      </c>
      <c r="I44" s="26">
        <f>IF(NOMENCLATURE_GEN!I44="","",NOMENCLATURE_GEN!I44)</f>
        <v>1200</v>
      </c>
      <c r="J44" s="56" t="str">
        <f>IF(NOMENCLATURE_GEN!J44="","",NOMENCLATURE_GEN!J44)</f>
        <v/>
      </c>
      <c r="K44" s="12" t="str">
        <f>IFERROR(400/VLOOKUP(F44,données!$B$3:$D$30,3,FALSE),"")</f>
        <v/>
      </c>
      <c r="L44" s="13" t="str">
        <f>IFERROR(3/VLOOKUP(F44,données!$B$3:$D$30,3,FALSE),"")</f>
        <v/>
      </c>
      <c r="M44" s="13" t="str">
        <f>IF(L44="","",VLOOKUP(F44,données!$B$4:$I$30,8,FALSE))</f>
        <v/>
      </c>
      <c r="N44" s="14" t="str">
        <f t="shared" si="1"/>
        <v/>
      </c>
      <c r="O44" s="514" t="str">
        <f t="shared" si="8"/>
        <v/>
      </c>
      <c r="P44" s="14" t="str">
        <f t="shared" si="2"/>
        <v/>
      </c>
      <c r="Q44" s="326" t="str">
        <f>IF(K44="","",INT(((I44*2-VLOOKUP(F44,données!$B$4:$I$30,4,FALSE)+VLOOKUP(F44,données!$B$4:$I$30,5,FALSE)*NOMENCLATURE_GEN!O44+IF(OR(NOMENCLATURE_GEN!P44="",NOMENCLATURE_GEN!P44=0),0,2250)+NOMENCLATURE_GEN!Q44*2000)+0.3*H44+VLOOKUP(K44,données!$M$4:$Q$9,MATCH(L44,données!$M$3:$Q$3,0),FALSE)*(L44-1)+250)/1000)+1)</f>
        <v/>
      </c>
      <c r="R44" s="14" t="str">
        <f>IF(K44="","",IF(OR(F44=données!$B$12,F44=données!$B$13),"Bande à bords",IF(J44&gt;données!$P$11,"Bande à chevrons","Bande lisse")))</f>
        <v/>
      </c>
      <c r="S44" s="14" t="str">
        <f t="shared" si="3"/>
        <v/>
      </c>
      <c r="T44" s="406"/>
      <c r="U44" s="406"/>
      <c r="V44" s="17"/>
    </row>
    <row r="45" spans="1:22" s="8" customFormat="1" ht="39.950000000000003" hidden="1" customHeight="1">
      <c r="A45" s="3"/>
      <c r="B45" s="25" t="str">
        <f>IF(NOMENCLATURE_GEN!B45="","",NOMENCLATURE_GEN!B45)</f>
        <v/>
      </c>
      <c r="C45" s="243" t="str">
        <f>IF(NOMENCLATURE_GEN!C45="","",NOMENCLATURE_GEN!C45)</f>
        <v/>
      </c>
      <c r="D45" s="4">
        <f>IF(NOMENCLATURE_GEN!D45="","",NOMENCLATURE_GEN!D45)</f>
        <v>133</v>
      </c>
      <c r="E45" s="4" t="str">
        <f ca="1">IF(NOMENCLATURE_GEN!E45="","",NOMENCLATURE_GEN!E45)</f>
        <v>A</v>
      </c>
      <c r="F45" s="4" t="str">
        <f>IF(NOMENCLATURE_GEN!F45="","",NOMENCLATURE_GEN!F45)</f>
        <v>PMP</v>
      </c>
      <c r="G45" s="154" t="str">
        <f>IF(NOMENCLATURE_GEN!G45="","",NOMENCLATURE_GEN!G45)</f>
        <v>Poulie magnétique</v>
      </c>
      <c r="H45" s="26">
        <f>IF(NOMENCLATURE_GEN!H45="","",IF(NOMENCLATURE_GEN!F45="ACO",NOMENCLATURE_GEN!H45+160,NOMENCLATURE_GEN!H45))</f>
        <v>1200</v>
      </c>
      <c r="I45" s="26" t="str">
        <f>IF(NOMENCLATURE_GEN!I45="","",NOMENCLATURE_GEN!I45)</f>
        <v/>
      </c>
      <c r="J45" s="56" t="str">
        <f>IF(NOMENCLATURE_GEN!J45="","",NOMENCLATURE_GEN!J45)</f>
        <v/>
      </c>
      <c r="K45" s="12" t="str">
        <f>IFERROR(400/VLOOKUP(F45,données!$B$3:$D$30,3,FALSE),"")</f>
        <v/>
      </c>
      <c r="L45" s="13" t="str">
        <f>IFERROR(3/VLOOKUP(F45,données!$B$3:$D$30,3,FALSE),"")</f>
        <v/>
      </c>
      <c r="M45" s="13" t="str">
        <f>IF(L45="","",VLOOKUP(F45,données!$B$4:$I$30,8,FALSE))</f>
        <v/>
      </c>
      <c r="N45" s="14" t="str">
        <f t="shared" si="1"/>
        <v/>
      </c>
      <c r="O45" s="514" t="str">
        <f t="shared" si="8"/>
        <v/>
      </c>
      <c r="P45" s="14" t="str">
        <f t="shared" si="2"/>
        <v/>
      </c>
      <c r="Q45" s="326" t="str">
        <f>IF(K45="","",INT(((I45*2-VLOOKUP(F45,données!$B$4:$I$30,4,FALSE)+VLOOKUP(F45,données!$B$4:$I$30,5,FALSE)*NOMENCLATURE_GEN!O45+IF(OR(NOMENCLATURE_GEN!P45="",NOMENCLATURE_GEN!P45=0),0,2250)+NOMENCLATURE_GEN!Q45*2000)+0.3*H45+VLOOKUP(K45,données!$M$4:$Q$9,MATCH(L45,données!$M$3:$Q$3,0),FALSE)*(L45-1)+250)/1000)+1)</f>
        <v/>
      </c>
      <c r="R45" s="14" t="str">
        <f>IF(K45="","",IF(OR(F45=données!$B$12,F45=données!$B$13),"Bande à bords",IF(J45&gt;données!$P$11,"Bande à chevrons","Bande lisse")))</f>
        <v/>
      </c>
      <c r="S45" s="14" t="str">
        <f t="shared" si="3"/>
        <v/>
      </c>
      <c r="T45" s="406"/>
      <c r="U45" s="406"/>
      <c r="V45" s="17"/>
    </row>
    <row r="46" spans="1:22" s="8" customFormat="1" ht="39.950000000000003" hidden="1" customHeight="1">
      <c r="A46" s="3"/>
      <c r="B46" s="25" t="str">
        <f>IF(NOMENCLATURE_GEN!B46="","",NOMENCLATURE_GEN!B46)</f>
        <v/>
      </c>
      <c r="C46" s="243" t="str">
        <f>IF(NOMENCLATURE_GEN!C46="","",NOMENCLATURE_GEN!C46)</f>
        <v/>
      </c>
      <c r="D46" s="4">
        <f>IF(NOMENCLATURE_GEN!D46="","",NOMENCLATURE_GEN!D46)</f>
        <v>134</v>
      </c>
      <c r="E46" s="4" t="str">
        <f ca="1">IF(NOMENCLATURE_GEN!E46="","",NOMENCLATURE_GEN!E46)</f>
        <v>A</v>
      </c>
      <c r="F46" s="4" t="str">
        <f>IF(NOMENCLATURE_GEN!F46="","",NOMENCLATURE_GEN!F46)</f>
        <v>SNF</v>
      </c>
      <c r="G46" s="154" t="str">
        <f>IF(NOMENCLATURE_GEN!G46="","",NOMENCLATURE_GEN!G46)</f>
        <v>Séparateur de non ferreux type SMAR - ROUE POLAIRE</v>
      </c>
      <c r="H46" s="26">
        <f>IF(NOMENCLATURE_GEN!H46="","",IF(NOMENCLATURE_GEN!F46="ACO",NOMENCLATURE_GEN!H46+160,NOMENCLATURE_GEN!H46))</f>
        <v>1200</v>
      </c>
      <c r="I46" s="26">
        <f>IF(NOMENCLATURE_GEN!I46="","",NOMENCLATURE_GEN!I46)</f>
        <v>2500</v>
      </c>
      <c r="J46" s="56" t="str">
        <f>IF(NOMENCLATURE_GEN!J46="","",NOMENCLATURE_GEN!J46)</f>
        <v/>
      </c>
      <c r="K46" s="12" t="str">
        <f>IFERROR(400/VLOOKUP(F46,données!$B$3:$D$30,3,FALSE),"")</f>
        <v/>
      </c>
      <c r="L46" s="13" t="str">
        <f>IFERROR(3/VLOOKUP(F46,données!$B$3:$D$30,3,FALSE),"")</f>
        <v/>
      </c>
      <c r="M46" s="13" t="str">
        <f>IF(L46="","",VLOOKUP(F46,données!$B$4:$I$30,8,FALSE))</f>
        <v/>
      </c>
      <c r="N46" s="14" t="str">
        <f t="shared" si="1"/>
        <v/>
      </c>
      <c r="O46" s="514" t="str">
        <f t="shared" si="8"/>
        <v/>
      </c>
      <c r="P46" s="14" t="str">
        <f t="shared" si="2"/>
        <v/>
      </c>
      <c r="Q46" s="326" t="str">
        <f>IF(K46="","",INT(((I46*2-VLOOKUP(F46,données!$B$4:$I$30,4,FALSE)+VLOOKUP(F46,données!$B$4:$I$30,5,FALSE)*NOMENCLATURE_GEN!O46+IF(OR(NOMENCLATURE_GEN!P46="",NOMENCLATURE_GEN!P46=0),0,2250)+NOMENCLATURE_GEN!Q46*2000)+0.3*H46+VLOOKUP(K46,données!$M$4:$Q$9,MATCH(L46,données!$M$3:$Q$3,0),FALSE)*(L46-1)+250)/1000)+1)</f>
        <v/>
      </c>
      <c r="R46" s="14" t="str">
        <f>IF(K46="","",IF(OR(F46=données!$B$12,F46=données!$B$13),"Bande à bords",IF(J46&gt;données!$P$11,"Bande à chevrons","Bande lisse")))</f>
        <v/>
      </c>
      <c r="S46" s="14" t="str">
        <f t="shared" si="3"/>
        <v/>
      </c>
      <c r="T46" s="406"/>
      <c r="U46" s="406"/>
      <c r="V46" s="17"/>
    </row>
    <row r="47" spans="1:22" s="8" customFormat="1" ht="39.950000000000003" hidden="1" customHeight="1">
      <c r="A47" s="3"/>
      <c r="B47" s="25" t="str">
        <f>IF(NOMENCLATURE_GEN!B47="","",NOMENCLATURE_GEN!B47)</f>
        <v/>
      </c>
      <c r="C47" s="243" t="str">
        <f>IF(NOMENCLATURE_GEN!C47="","",NOMENCLATURE_GEN!C47)</f>
        <v/>
      </c>
      <c r="D47" s="4">
        <f>IF(NOMENCLATURE_GEN!D47="","",NOMENCLATURE_GEN!D47)</f>
        <v>134</v>
      </c>
      <c r="E47" s="4" t="str">
        <f ca="1">IF(NOMENCLATURE_GEN!E47="","",NOMENCLATURE_GEN!E47)</f>
        <v>B</v>
      </c>
      <c r="F47" s="4" t="str">
        <f>IF(NOMENCLATURE_GEN!F47="","",NOMENCLATURE_GEN!F47)</f>
        <v>SNF</v>
      </c>
      <c r="G47" s="154" t="str">
        <f>IF(NOMENCLATURE_GEN!G47="","",NOMENCLATURE_GEN!G47)</f>
        <v>Séparateur de non ferreux type SMAR - CONVOYEUR</v>
      </c>
      <c r="H47" s="26" t="str">
        <f>IF(NOMENCLATURE_GEN!H47="","",IF(NOMENCLATURE_GEN!F47="ACO",NOMENCLATURE_GEN!H47+160,NOMENCLATURE_GEN!H47))</f>
        <v/>
      </c>
      <c r="I47" s="26" t="str">
        <f>IF(NOMENCLATURE_GEN!I47="","",NOMENCLATURE_GEN!I47)</f>
        <v/>
      </c>
      <c r="J47" s="56" t="str">
        <f>IF(NOMENCLATURE_GEN!J47="","",NOMENCLATURE_GEN!J47)</f>
        <v/>
      </c>
      <c r="K47" s="12" t="str">
        <f>IFERROR(400/VLOOKUP(F47,données!$B$3:$D$30,3,FALSE),"")</f>
        <v/>
      </c>
      <c r="L47" s="13" t="str">
        <f>IFERROR(3/VLOOKUP(F47,données!$B$3:$D$30,3,FALSE),"")</f>
        <v/>
      </c>
      <c r="M47" s="13" t="str">
        <f>IF(L47="","",VLOOKUP(F47,données!$B$4:$I$30,8,FALSE))</f>
        <v/>
      </c>
      <c r="N47" s="14" t="str">
        <f t="shared" si="1"/>
        <v/>
      </c>
      <c r="O47" s="514" t="str">
        <f t="shared" si="8"/>
        <v/>
      </c>
      <c r="P47" s="14" t="str">
        <f t="shared" si="2"/>
        <v/>
      </c>
      <c r="Q47" s="326" t="str">
        <f>IF(K47="","",INT(((I47*2-VLOOKUP(F47,données!$B$4:$I$30,4,FALSE)+VLOOKUP(F47,données!$B$4:$I$30,5,FALSE)*NOMENCLATURE_GEN!O47+IF(OR(NOMENCLATURE_GEN!P47="",NOMENCLATURE_GEN!P47=0),0,2250)+NOMENCLATURE_GEN!Q47*2000)+0.3*H47+VLOOKUP(K47,données!$M$4:$Q$9,MATCH(L47,données!$M$3:$Q$3,0),FALSE)*(L47-1)+250)/1000)+1)</f>
        <v/>
      </c>
      <c r="R47" s="14" t="str">
        <f>IF(K47="","",IF(OR(F47=données!$B$12,F47=données!$B$13),"Bande à bords",IF(J47&gt;données!$P$11,"Bande à chevrons","Bande lisse")))</f>
        <v/>
      </c>
      <c r="S47" s="14" t="str">
        <f t="shared" si="3"/>
        <v/>
      </c>
      <c r="T47" s="406"/>
      <c r="U47" s="406"/>
      <c r="V47" s="17"/>
    </row>
    <row r="48" spans="1:22" s="8" customFormat="1" ht="39.950000000000003" hidden="1" customHeight="1">
      <c r="A48" s="3"/>
      <c r="B48" s="25" t="str">
        <f>IF(NOMENCLATURE_GEN!B48="","",NOMENCLATURE_GEN!B48)</f>
        <v/>
      </c>
      <c r="C48" s="243" t="str">
        <f>IF(NOMENCLATURE_GEN!C48="","",NOMENCLATURE_GEN!C48)</f>
        <v/>
      </c>
      <c r="D48" s="4">
        <f>IF(NOMENCLATURE_GEN!D48="","",NOMENCLATURE_GEN!D48)</f>
        <v>135</v>
      </c>
      <c r="E48" s="4" t="str">
        <f ca="1">IF(NOMENCLATURE_GEN!E48="","",NOMENCLATURE_GEN!E48)</f>
        <v>A</v>
      </c>
      <c r="F48" s="4" t="str">
        <f>IF(NOMENCLATURE_GEN!F48="","",NOMENCLATURE_GEN!F48)</f>
        <v>TBE</v>
      </c>
      <c r="G48" s="154" t="str">
        <f>IF(NOMENCLATURE_GEN!G48="","",NOMENCLATURE_GEN!G48)</f>
        <v>Convoyeur de reprise des non ferreux</v>
      </c>
      <c r="H48" s="26">
        <f>IF(NOMENCLATURE_GEN!H48="","",IF(NOMENCLATURE_GEN!F48="ACO",NOMENCLATURE_GEN!H48+160,NOMENCLATURE_GEN!H48))</f>
        <v>600</v>
      </c>
      <c r="I48" s="26">
        <f>IF(NOMENCLATURE_GEN!I48="","",NOMENCLATURE_GEN!I48)</f>
        <v>3750</v>
      </c>
      <c r="J48" s="56">
        <f>IF(NOMENCLATURE_GEN!J48="","",NOMENCLATURE_GEN!J48)</f>
        <v>0</v>
      </c>
      <c r="K48" s="12">
        <f>IFERROR(400/VLOOKUP(F48,données!$B$3:$D$30,3,FALSE),"")</f>
        <v>400</v>
      </c>
      <c r="L48" s="13">
        <f>IFERROR(3/VLOOKUP(F48,données!$B$3:$D$30,3,FALSE),"")</f>
        <v>3</v>
      </c>
      <c r="M48" s="13" t="str">
        <f>IF(L48="","",VLOOKUP(F48,données!$B$4:$I$30,8,FALSE))</f>
        <v>4+0</v>
      </c>
      <c r="N48" s="14" t="str">
        <f t="shared" si="1"/>
        <v>CAOUTCHOUC</v>
      </c>
      <c r="O48" s="514" t="str">
        <f t="shared" si="8"/>
        <v>G2 Haute resistance aux huiles</v>
      </c>
      <c r="P48" s="14" t="str">
        <f t="shared" si="2"/>
        <v>Ouverte</v>
      </c>
      <c r="Q48" s="326">
        <f>IF(K48="","",INT(((I48*2-VLOOKUP(F48,données!$B$4:$I$30,4,FALSE)+VLOOKUP(F48,données!$B$4:$I$30,5,FALSE)*NOMENCLATURE_GEN!O48+IF(OR(NOMENCLATURE_GEN!P48="",NOMENCLATURE_GEN!P48=0),0,2250)+NOMENCLATURE_GEN!Q48*2000)+0.3*H48+VLOOKUP(K48,données!$M$4:$Q$9,MATCH(L48,données!$M$3:$Q$3,0),FALSE)*(L48-1)+250)/1000)+1)</f>
        <v>9</v>
      </c>
      <c r="R48" s="14" t="str">
        <f>IF(K48="","",IF(OR(F48=données!$B$12,F48=données!$B$13),"Bande à bords",IF(J48&gt;données!$P$11,"Bande à chevrons","Bande lisse")))</f>
        <v>Bande lisse</v>
      </c>
      <c r="S48" s="14" t="str">
        <f t="shared" si="3"/>
        <v/>
      </c>
      <c r="T48" s="652" t="s">
        <v>542</v>
      </c>
      <c r="U48" s="652" t="s">
        <v>542</v>
      </c>
      <c r="V48" s="17"/>
    </row>
    <row r="49" spans="1:22" s="8" customFormat="1" ht="39.950000000000003" hidden="1" customHeight="1">
      <c r="A49" s="3"/>
      <c r="B49" s="25" t="str">
        <f>IF(NOMENCLATURE_GEN!B49="","",NOMENCLATURE_GEN!B49)</f>
        <v>SUP</v>
      </c>
      <c r="C49" s="243" t="str">
        <f>IF(NOMENCLATURE_GEN!C49="","",NOMENCLATURE_GEN!C49)</f>
        <v/>
      </c>
      <c r="D49" s="4">
        <f>IF(NOMENCLATURE_GEN!D49="","",NOMENCLATURE_GEN!D49)</f>
        <v>136</v>
      </c>
      <c r="E49" s="4" t="str">
        <f ca="1">IF(NOMENCLATURE_GEN!E49="","",NOMENCLATURE_GEN!E49)</f>
        <v>A</v>
      </c>
      <c r="F49" s="4" t="str">
        <f>IF(NOMENCLATURE_GEN!F49="","",NOMENCLATURE_GEN!F49)</f>
        <v>CON</v>
      </c>
      <c r="G49" s="154" t="str">
        <f>IF(NOMENCLATURE_GEN!G49="","",NOMENCLATURE_GEN!G49)</f>
        <v>Cone de répartition du flux 0-30mm sous SNF</v>
      </c>
      <c r="H49" s="26" t="str">
        <f>IF(NOMENCLATURE_GEN!H49="","",IF(NOMENCLATURE_GEN!F49="ACO",NOMENCLATURE_GEN!H49+160,NOMENCLATURE_GEN!H49))</f>
        <v/>
      </c>
      <c r="I49" s="26" t="str">
        <f>IF(NOMENCLATURE_GEN!I49="","",NOMENCLATURE_GEN!I49)</f>
        <v/>
      </c>
      <c r="J49" s="56" t="str">
        <f>IF(NOMENCLATURE_GEN!J49="","",NOMENCLATURE_GEN!J49)</f>
        <v/>
      </c>
      <c r="K49" s="12" t="str">
        <f>IFERROR(400/VLOOKUP(F49,données!$B$3:$D$30,3,FALSE),"")</f>
        <v/>
      </c>
      <c r="L49" s="13" t="str">
        <f>IFERROR(3/VLOOKUP(F49,données!$B$3:$D$30,3,FALSE),"")</f>
        <v/>
      </c>
      <c r="M49" s="13" t="str">
        <f>IF(L49="","",VLOOKUP(F49,données!$B$4:$I$30,8,FALSE))</f>
        <v/>
      </c>
      <c r="N49" s="14" t="str">
        <f t="shared" si="1"/>
        <v/>
      </c>
      <c r="O49" s="514" t="str">
        <f t="shared" si="8"/>
        <v/>
      </c>
      <c r="P49" s="14" t="str">
        <f t="shared" si="2"/>
        <v/>
      </c>
      <c r="Q49" s="326" t="str">
        <f>IF(K49="","",INT(((I49*2-VLOOKUP(F49,données!$B$4:$I$30,4,FALSE)+VLOOKUP(F49,données!$B$4:$I$30,5,FALSE)*NOMENCLATURE_GEN!O49+IF(OR(NOMENCLATURE_GEN!P49="",NOMENCLATURE_GEN!P49=0),0,2250)+NOMENCLATURE_GEN!Q49*2000)+0.3*H49+VLOOKUP(K49,données!$M$4:$Q$9,MATCH(L49,données!$M$3:$Q$3,0),FALSE)*(L49-1)+250)/1000)+1)</f>
        <v/>
      </c>
      <c r="R49" s="14" t="str">
        <f>IF(K49="","",IF(OR(F49=données!$B$12,F49=données!$B$13),"Bande à bords",IF(J49&gt;données!$P$11,"Bande à chevrons","Bande lisse")))</f>
        <v/>
      </c>
      <c r="S49" s="14" t="str">
        <f t="shared" si="3"/>
        <v/>
      </c>
      <c r="T49" s="406"/>
      <c r="U49" s="406"/>
      <c r="V49" s="17"/>
    </row>
    <row r="50" spans="1:22" s="8" customFormat="1" ht="39.950000000000003" customHeight="1">
      <c r="A50" s="3"/>
      <c r="B50" s="25" t="str">
        <f>IF(NOMENCLATURE_GEN!B50="","",NOMENCLATURE_GEN!B50)</f>
        <v/>
      </c>
      <c r="C50" s="243" t="str">
        <f>IF(NOMENCLATURE_GEN!C50="","",NOMENCLATURE_GEN!C50)</f>
        <v/>
      </c>
      <c r="D50" s="4">
        <f>IF(NOMENCLATURE_GEN!D50="","",NOMENCLATURE_GEN!D50)</f>
        <v>137</v>
      </c>
      <c r="E50" s="4" t="str">
        <f ca="1">IF(NOMENCLATURE_GEN!E50="","",NOMENCLATURE_GEN!E50)</f>
        <v>A</v>
      </c>
      <c r="F50" s="4" t="str">
        <f>IF(NOMENCLATURE_GEN!F50="","",NOMENCLATURE_GEN!F50)</f>
        <v>CBA</v>
      </c>
      <c r="G50" s="154" t="str">
        <f>IF(NOMENCLATURE_GEN!G50="","",NOMENCLATURE_GEN!G50)</f>
        <v>Convoyeur de transfert de la fraction 0-30mm vers tapis balistique 1</v>
      </c>
      <c r="H50" s="26">
        <f>IF(NOMENCLATURE_GEN!H50="","",IF(NOMENCLATURE_GEN!F50="ACO",NOMENCLATURE_GEN!H50+160,NOMENCLATURE_GEN!H50))</f>
        <v>1600</v>
      </c>
      <c r="I50" s="26">
        <f>IF(NOMENCLATURE_GEN!I50="","",NOMENCLATURE_GEN!I50)</f>
        <v>21250</v>
      </c>
      <c r="J50" s="56">
        <f>IF(NOMENCLATURE_GEN!J50="","",NOMENCLATURE_GEN!J50)</f>
        <v>20</v>
      </c>
      <c r="K50" s="12">
        <f>IFERROR(400/VLOOKUP(F50,données!$B$3:$D$30,3,FALSE),"")</f>
        <v>400</v>
      </c>
      <c r="L50" s="13">
        <f>IFERROR(3/VLOOKUP(F50,données!$B$3:$D$30,3,FALSE),"")</f>
        <v>3</v>
      </c>
      <c r="M50" s="13" t="str">
        <f>IF(L50="","",VLOOKUP(F50,données!$B$4:$I$30,8,FALSE))</f>
        <v>4+2</v>
      </c>
      <c r="N50" s="14" t="str">
        <f t="shared" si="1"/>
        <v>CAOUTCHOUC</v>
      </c>
      <c r="O50" s="514" t="str">
        <f t="shared" si="8"/>
        <v>G2 Haute resistance aux huiles</v>
      </c>
      <c r="P50" s="14" t="str">
        <f t="shared" si="2"/>
        <v>Ouverte</v>
      </c>
      <c r="Q50" s="326">
        <f>IF(K50="","",INT(((I50*2-VLOOKUP(F50,données!$B$4:$I$30,4,FALSE)+VLOOKUP(F50,données!$B$4:$I$30,5,FALSE)*NOMENCLATURE_GEN!O50+IF(OR(NOMENCLATURE_GEN!P50="",NOMENCLATURE_GEN!P50=0),0,2250)+NOMENCLATURE_GEN!Q50*2000)+0.3*H50+VLOOKUP(K50,données!$M$4:$Q$9,MATCH(L50,données!$M$3:$Q$3,0),FALSE)*(L50-1)+250)/1000)+1)</f>
        <v>44</v>
      </c>
      <c r="R50" s="14" t="str">
        <f>IF(K50="","",IF(OR(F50=données!$B$12,F50=données!$B$13),"Bande à bords",IF(J50&gt;données!$P$11,"Bande à chevrons","Bande lisse")))</f>
        <v>Bande à chevrons</v>
      </c>
      <c r="S50" s="654" t="s">
        <v>746</v>
      </c>
      <c r="T50" s="406" t="s">
        <v>542</v>
      </c>
      <c r="U50" s="406" t="s">
        <v>542</v>
      </c>
      <c r="V50" s="17"/>
    </row>
    <row r="51" spans="1:22" s="8" customFormat="1" ht="39.950000000000003" hidden="1" customHeight="1">
      <c r="A51" s="3"/>
      <c r="B51" s="25" t="str">
        <f>IF(NOMENCLATURE_GEN!B51="","",NOMENCLATURE_GEN!B51)</f>
        <v/>
      </c>
      <c r="C51" s="243" t="str">
        <f>IF(NOMENCLATURE_GEN!C51="","",NOMENCLATURE_GEN!C51)</f>
        <v/>
      </c>
      <c r="D51" s="4">
        <f>IF(NOMENCLATURE_GEN!D51="","",NOMENCLATURE_GEN!D51)</f>
        <v>138</v>
      </c>
      <c r="E51" s="4" t="str">
        <f ca="1">IF(NOMENCLATURE_GEN!E51="","",NOMENCLATURE_GEN!E51)</f>
        <v>A</v>
      </c>
      <c r="F51" s="4" t="str">
        <f>IF(NOMENCLATURE_GEN!F51="","",NOMENCLATURE_GEN!F51)</f>
        <v>BAL</v>
      </c>
      <c r="G51" s="154" t="str">
        <f>IF(NOMENCLATURE_GEN!G51="","",NOMENCLATURE_GEN!G51)</f>
        <v>Tapis balistique simple</v>
      </c>
      <c r="H51" s="26">
        <f>IF(NOMENCLATURE_GEN!H51="","",IF(NOMENCLATURE_GEN!F51="ACO",NOMENCLATURE_GEN!H51+160,NOMENCLATURE_GEN!H51))</f>
        <v>1800</v>
      </c>
      <c r="I51" s="624">
        <f>IF(NOMENCLATURE_GEN!I51="","",NOMENCLATURE_GEN!I51)</f>
        <v>2500</v>
      </c>
      <c r="J51" s="56">
        <f>IF(NOMENCLATURE_GEN!J51="","",NOMENCLATURE_GEN!J51)</f>
        <v>0</v>
      </c>
      <c r="K51" s="12">
        <f>IFERROR(400/VLOOKUP(F51,données!$B$3:$D$30,3,FALSE),"")</f>
        <v>400</v>
      </c>
      <c r="L51" s="13">
        <f>IFERROR(3/VLOOKUP(F51,données!$B$3:$D$30,3,FALSE),"")</f>
        <v>3</v>
      </c>
      <c r="M51" s="13" t="str">
        <f>IF(L51="","",VLOOKUP(F51,données!$B$4:$I$30,8,FALSE))</f>
        <v>3+0</v>
      </c>
      <c r="N51" s="14" t="str">
        <f t="shared" si="1"/>
        <v>CAOUTCHOUC</v>
      </c>
      <c r="O51" s="514" t="str">
        <f t="shared" si="8"/>
        <v>G2 Haute resistance aux huiles</v>
      </c>
      <c r="P51" s="14" t="str">
        <f t="shared" si="2"/>
        <v>Ouverte</v>
      </c>
      <c r="Q51" s="326">
        <f>IF(K51="","",INT(((I51*2-VLOOKUP(F51,données!$B$4:$I$30,4,FALSE)+VLOOKUP(F51,données!$B$4:$I$30,5,FALSE)*NOMENCLATURE_GEN!O51+IF(OR(NOMENCLATURE_GEN!P51="",NOMENCLATURE_GEN!P51=0),0,2250)+NOMENCLATURE_GEN!Q51*2000)+0.3*H51+VLOOKUP(K51,données!$M$4:$Q$9,MATCH(L51,données!$M$3:$Q$3,0),FALSE)*(L51-1)+250)/1000)+1)</f>
        <v>7</v>
      </c>
      <c r="R51" s="14" t="str">
        <f>IF(K51="","",IF(OR(F51=données!$B$12,F51=données!$B$13),"Bande à bords",IF(J51&gt;données!$P$11,"Bande à chevrons","Bande lisse")))</f>
        <v>Bande lisse</v>
      </c>
      <c r="S51" s="14" t="str">
        <f t="shared" si="3"/>
        <v/>
      </c>
      <c r="T51" s="109" t="s">
        <v>493</v>
      </c>
      <c r="U51" s="109" t="s">
        <v>493</v>
      </c>
      <c r="V51" s="17"/>
    </row>
    <row r="52" spans="1:22" s="8" customFormat="1" ht="39.950000000000003" customHeight="1">
      <c r="A52" s="3"/>
      <c r="B52" s="25" t="str">
        <f>IF(NOMENCLATURE_GEN!B52="","",NOMENCLATURE_GEN!B52)</f>
        <v/>
      </c>
      <c r="C52" s="243" t="str">
        <f>IF(NOMENCLATURE_GEN!C52="","",NOMENCLATURE_GEN!C52)</f>
        <v/>
      </c>
      <c r="D52" s="4">
        <f>IF(NOMENCLATURE_GEN!D52="","",NOMENCLATURE_GEN!D52)</f>
        <v>139</v>
      </c>
      <c r="E52" s="4" t="str">
        <f ca="1">IF(NOMENCLATURE_GEN!E52="","",NOMENCLATURE_GEN!E52)</f>
        <v>A</v>
      </c>
      <c r="F52" s="4" t="str">
        <f>IF(NOMENCLATURE_GEN!F52="","",NOMENCLATURE_GEN!F52)</f>
        <v>CBA</v>
      </c>
      <c r="G52" s="154" t="str">
        <f>IF(NOMENCLATURE_GEN!G52="","",NOMENCLATURE_GEN!G52)</f>
        <v>Convoyeur de reprise des légers et transfert vers crible trampoline</v>
      </c>
      <c r="H52" s="26">
        <f>IF(NOMENCLATURE_GEN!H52="","",IF(NOMENCLATURE_GEN!F52="ACO",NOMENCLATURE_GEN!H52+160,NOMENCLATURE_GEN!H52))</f>
        <v>1600</v>
      </c>
      <c r="I52" s="26">
        <f>IF(NOMENCLATURE_GEN!I52="","",NOMENCLATURE_GEN!I52)</f>
        <v>11500</v>
      </c>
      <c r="J52" s="56">
        <f>IF(NOMENCLATURE_GEN!J52="","",NOMENCLATURE_GEN!J52)</f>
        <v>23</v>
      </c>
      <c r="K52" s="12">
        <f>IFERROR(400/VLOOKUP(F52,données!$B$3:$D$30,3,FALSE),"")</f>
        <v>400</v>
      </c>
      <c r="L52" s="13">
        <f>IFERROR(3/VLOOKUP(F52,données!$B$3:$D$30,3,FALSE),"")</f>
        <v>3</v>
      </c>
      <c r="M52" s="13" t="str">
        <f>IF(L52="","",VLOOKUP(F52,données!$B$4:$I$30,8,FALSE))</f>
        <v>4+2</v>
      </c>
      <c r="N52" s="14" t="str">
        <f t="shared" si="1"/>
        <v>CAOUTCHOUC</v>
      </c>
      <c r="O52" s="514" t="str">
        <f t="shared" si="8"/>
        <v>G2 Haute resistance aux huiles</v>
      </c>
      <c r="P52" s="14" t="str">
        <f t="shared" si="2"/>
        <v>Ouverte</v>
      </c>
      <c r="Q52" s="326">
        <f>IF(K52="","",INT(((I52*2-VLOOKUP(F52,données!$B$4:$I$30,4,FALSE)+VLOOKUP(F52,données!$B$4:$I$30,5,FALSE)*NOMENCLATURE_GEN!O52+IF(OR(NOMENCLATURE_GEN!P52="",NOMENCLATURE_GEN!P52=0),0,2250)+NOMENCLATURE_GEN!Q52*2000)+0.3*H52+VLOOKUP(K52,données!$M$4:$Q$9,MATCH(L52,données!$M$3:$Q$3,0),FALSE)*(L52-1)+250)/1000)+1)</f>
        <v>25</v>
      </c>
      <c r="R52" s="14" t="str">
        <f>IF(K52="","",IF(OR(F52=données!$B$12,F52=données!$B$13),"Bande à bords",IF(J52&gt;données!$P$11,"Bande à chevrons","Bande lisse")))</f>
        <v>Bande à chevrons</v>
      </c>
      <c r="S52" s="654" t="s">
        <v>746</v>
      </c>
      <c r="T52" s="406" t="s">
        <v>542</v>
      </c>
      <c r="U52" s="406" t="s">
        <v>542</v>
      </c>
      <c r="V52" s="17"/>
    </row>
    <row r="53" spans="1:22" s="8" customFormat="1" ht="39.950000000000003" hidden="1" customHeight="1">
      <c r="A53" s="3"/>
      <c r="B53" s="25" t="str">
        <f>IF(NOMENCLATURE_GEN!B53="","",NOMENCLATURE_GEN!B53)</f>
        <v>SUP</v>
      </c>
      <c r="C53" s="243" t="str">
        <f>IF(NOMENCLATURE_GEN!C53="","",NOMENCLATURE_GEN!C53)</f>
        <v/>
      </c>
      <c r="D53" s="4">
        <f>IF(NOMENCLATURE_GEN!D53="","",NOMENCLATURE_GEN!D53)</f>
        <v>140</v>
      </c>
      <c r="E53" s="4" t="str">
        <f ca="1">IF(NOMENCLATURE_GEN!E53="","",NOMENCLATURE_GEN!E53)</f>
        <v>A</v>
      </c>
      <c r="F53" s="4" t="str">
        <f>IF(NOMENCLATURE_GEN!F53="","",NOMENCLATURE_GEN!F53)</f>
        <v>CON</v>
      </c>
      <c r="G53" s="154" t="str">
        <f>IF(NOMENCLATURE_GEN!G53="","",NOMENCLATURE_GEN!G53)</f>
        <v>Cone de répartition du flux 0-30mm en entrée du liwell</v>
      </c>
      <c r="H53" s="26" t="str">
        <f>IF(NOMENCLATURE_GEN!H53="","",IF(NOMENCLATURE_GEN!F53="ACO",NOMENCLATURE_GEN!H53+160,NOMENCLATURE_GEN!H53))</f>
        <v/>
      </c>
      <c r="I53" s="26" t="str">
        <f>IF(NOMENCLATURE_GEN!I53="","",NOMENCLATURE_GEN!I53)</f>
        <v/>
      </c>
      <c r="J53" s="56" t="str">
        <f>IF(NOMENCLATURE_GEN!J53="","",NOMENCLATURE_GEN!J53)</f>
        <v/>
      </c>
      <c r="K53" s="12" t="str">
        <f>IFERROR(400/VLOOKUP(F53,données!$B$3:$D$30,3,FALSE),"")</f>
        <v/>
      </c>
      <c r="L53" s="13" t="str">
        <f>IFERROR(3/VLOOKUP(F53,données!$B$3:$D$30,3,FALSE),"")</f>
        <v/>
      </c>
      <c r="M53" s="13" t="str">
        <f>IF(L53="","",VLOOKUP(F53,données!$B$4:$I$30,8,FALSE))</f>
        <v/>
      </c>
      <c r="N53" s="14" t="str">
        <f t="shared" si="1"/>
        <v/>
      </c>
      <c r="O53" s="514" t="str">
        <f t="shared" si="8"/>
        <v/>
      </c>
      <c r="P53" s="14" t="str">
        <f t="shared" si="2"/>
        <v/>
      </c>
      <c r="Q53" s="326" t="str">
        <f>IF(K53="","",INT(((I53*2-VLOOKUP(F53,données!$B$4:$I$30,4,FALSE)+VLOOKUP(F53,données!$B$4:$I$30,5,FALSE)*NOMENCLATURE_GEN!O53+IF(OR(NOMENCLATURE_GEN!P53="",NOMENCLATURE_GEN!P53=0),0,2250)+NOMENCLATURE_GEN!Q53*2000)+0.3*H53+VLOOKUP(K53,données!$M$4:$Q$9,MATCH(L53,données!$M$3:$Q$3,0),FALSE)*(L53-1)+250)/1000)+1)</f>
        <v/>
      </c>
      <c r="R53" s="14" t="str">
        <f>IF(K53="","",IF(OR(F53=données!$B$12,F53=données!$B$13),"Bande à bords",IF(J53&gt;données!$P$11,"Bande à chevrons","Bande lisse")))</f>
        <v/>
      </c>
      <c r="S53" s="14" t="str">
        <f t="shared" si="3"/>
        <v/>
      </c>
      <c r="T53" s="406"/>
      <c r="U53" s="406"/>
      <c r="V53" s="17"/>
    </row>
    <row r="54" spans="1:22" s="8" customFormat="1" ht="39.950000000000003" hidden="1" customHeight="1">
      <c r="A54" s="3"/>
      <c r="B54" s="25" t="str">
        <f>IF(NOMENCLATURE_GEN!B54="","",NOMENCLATURE_GEN!B54)</f>
        <v/>
      </c>
      <c r="C54" s="243" t="str">
        <f>IF(NOMENCLATURE_GEN!C54="","",NOMENCLATURE_GEN!C54)</f>
        <v/>
      </c>
      <c r="D54" s="4">
        <f>IF(NOMENCLATURE_GEN!D54="","",NOMENCLATURE_GEN!D54)</f>
        <v>141</v>
      </c>
      <c r="E54" s="4" t="str">
        <f ca="1">IF(NOMENCLATURE_GEN!E54="","",NOMENCLATURE_GEN!E54)</f>
        <v>A</v>
      </c>
      <c r="F54" s="4" t="str">
        <f>IF(NOMENCLATURE_GEN!F54="","",NOMENCLATURE_GEN!F54)</f>
        <v>CRI</v>
      </c>
      <c r="G54" s="154" t="str">
        <f>IF(NOMENCLATURE_GEN!G54="","",NOMENCLATURE_GEN!G54)</f>
        <v>Crible trampoline maille 10mm</v>
      </c>
      <c r="H54" s="26">
        <f>IF(NOMENCLATURE_GEN!H54="","",IF(NOMENCLATURE_GEN!F54="ACO",NOMENCLATURE_GEN!H54+160,NOMENCLATURE_GEN!H54))</f>
        <v>2000</v>
      </c>
      <c r="I54" s="26">
        <f>IF(NOMENCLATURE_GEN!I54="","",NOMENCLATURE_GEN!I54)</f>
        <v>8850</v>
      </c>
      <c r="J54" s="56" t="str">
        <f>IF(NOMENCLATURE_GEN!J54="","",NOMENCLATURE_GEN!J54)</f>
        <v/>
      </c>
      <c r="K54" s="12" t="str">
        <f>IFERROR(400/VLOOKUP(F54,données!$B$3:$D$30,3,FALSE),"")</f>
        <v/>
      </c>
      <c r="L54" s="13" t="str">
        <f>IFERROR(3/VLOOKUP(F54,données!$B$3:$D$30,3,FALSE),"")</f>
        <v/>
      </c>
      <c r="M54" s="13" t="str">
        <f>IF(L54="","",VLOOKUP(F54,données!$B$4:$I$30,8,FALSE))</f>
        <v/>
      </c>
      <c r="N54" s="14" t="str">
        <f t="shared" si="1"/>
        <v/>
      </c>
      <c r="O54" s="514" t="str">
        <f t="shared" si="8"/>
        <v/>
      </c>
      <c r="P54" s="14" t="str">
        <f t="shared" si="2"/>
        <v/>
      </c>
      <c r="Q54" s="326" t="str">
        <f>IF(K54="","",INT(((I54*2-VLOOKUP(F54,données!$B$4:$I$30,4,FALSE)+VLOOKUP(F54,données!$B$4:$I$30,5,FALSE)*NOMENCLATURE_GEN!O54+IF(OR(NOMENCLATURE_GEN!P54="",NOMENCLATURE_GEN!P54=0),0,2250)+NOMENCLATURE_GEN!Q54*2000)+0.3*H54+VLOOKUP(K54,données!$M$4:$Q$9,MATCH(L54,données!$M$3:$Q$3,0),FALSE)*(L54-1)+250)/1000)+1)</f>
        <v/>
      </c>
      <c r="R54" s="14" t="str">
        <f>IF(K54="","",IF(OR(F54=données!$B$12,F54=données!$B$13),"Bande à bords",IF(J54&gt;données!$P$11,"Bande à chevrons","Bande lisse")))</f>
        <v/>
      </c>
      <c r="S54" s="14" t="str">
        <f t="shared" si="3"/>
        <v/>
      </c>
      <c r="T54" s="406"/>
      <c r="U54" s="406"/>
      <c r="V54" s="17"/>
    </row>
    <row r="55" spans="1:22" s="8" customFormat="1" ht="39.950000000000003" hidden="1" customHeight="1">
      <c r="A55" s="3"/>
      <c r="B55" s="25" t="str">
        <f>IF(NOMENCLATURE_GEN!B55="","",NOMENCLATURE_GEN!B55)</f>
        <v>SUP</v>
      </c>
      <c r="C55" s="243" t="str">
        <f>IF(NOMENCLATURE_GEN!C55="","",NOMENCLATURE_GEN!C55)</f>
        <v/>
      </c>
      <c r="D55" s="4">
        <f>IF(NOMENCLATURE_GEN!D55="","",NOMENCLATURE_GEN!D55)</f>
        <v>142</v>
      </c>
      <c r="E55" s="4" t="str">
        <f ca="1">IF(NOMENCLATURE_GEN!E55="","",NOMENCLATURE_GEN!E55)</f>
        <v>A</v>
      </c>
      <c r="F55" s="4" t="str">
        <f>IF(NOMENCLATURE_GEN!F55="","",NOMENCLATURE_GEN!F55)</f>
        <v>TRE</v>
      </c>
      <c r="G55" s="154" t="str">
        <f>IF(NOMENCLATURE_GEN!G55="","",NOMENCLATURE_GEN!G55)</f>
        <v>Trémie des passants sous crible trampoline</v>
      </c>
      <c r="H55" s="26">
        <f>IF(NOMENCLATURE_GEN!H55="","",IF(NOMENCLATURE_GEN!F55="ACO",NOMENCLATURE_GEN!H55+160,NOMENCLATURE_GEN!H55))</f>
        <v>2000</v>
      </c>
      <c r="I55" s="26">
        <f>IF(NOMENCLATURE_GEN!I55="","",NOMENCLATURE_GEN!I55)</f>
        <v>8850</v>
      </c>
      <c r="J55" s="56" t="str">
        <f>IF(NOMENCLATURE_GEN!J55="","",NOMENCLATURE_GEN!J55)</f>
        <v/>
      </c>
      <c r="K55" s="12" t="str">
        <f>IFERROR(400/VLOOKUP(F55,données!$B$3:$D$30,3,FALSE),"")</f>
        <v/>
      </c>
      <c r="L55" s="13" t="str">
        <f>IFERROR(3/VLOOKUP(F55,données!$B$3:$D$30,3,FALSE),"")</f>
        <v/>
      </c>
      <c r="M55" s="13" t="str">
        <f>IF(L55="","",VLOOKUP(F55,données!$B$4:$I$30,8,FALSE))</f>
        <v/>
      </c>
      <c r="N55" s="14" t="str">
        <f t="shared" si="1"/>
        <v/>
      </c>
      <c r="O55" s="514" t="str">
        <f t="shared" si="8"/>
        <v/>
      </c>
      <c r="P55" s="14" t="str">
        <f t="shared" si="2"/>
        <v/>
      </c>
      <c r="Q55" s="326" t="str">
        <f>IF(K55="","",INT(((I55*2-VLOOKUP(F55,données!$B$4:$I$30,4,FALSE)+VLOOKUP(F55,données!$B$4:$I$30,5,FALSE)*NOMENCLATURE_GEN!O55+IF(OR(NOMENCLATURE_GEN!P55="",NOMENCLATURE_GEN!P55=0),0,2250)+NOMENCLATURE_GEN!Q55*2000)+0.3*H55+VLOOKUP(K55,données!$M$4:$Q$9,MATCH(L55,données!$M$3:$Q$3,0),FALSE)*(L55-1)+250)/1000)+1)</f>
        <v/>
      </c>
      <c r="R55" s="14" t="str">
        <f>IF(K55="","",IF(OR(F55=données!$B$12,F55=données!$B$13),"Bande à bords",IF(J55&gt;données!$P$11,"Bande à chevrons","Bande lisse")))</f>
        <v/>
      </c>
      <c r="S55" s="14" t="str">
        <f t="shared" si="3"/>
        <v/>
      </c>
      <c r="T55" s="406"/>
      <c r="U55" s="406"/>
      <c r="V55" s="17"/>
    </row>
    <row r="56" spans="1:22" s="8" customFormat="1" ht="39.950000000000003" customHeight="1">
      <c r="A56" s="3"/>
      <c r="B56" s="25" t="str">
        <f>IF(NOMENCLATURE_GEN!B56="","",NOMENCLATURE_GEN!B56)</f>
        <v/>
      </c>
      <c r="C56" s="243" t="str">
        <f>IF(NOMENCLATURE_GEN!C56="","",NOMENCLATURE_GEN!C56)</f>
        <v/>
      </c>
      <c r="D56" s="4">
        <f>IF(NOMENCLATURE_GEN!D56="","",NOMENCLATURE_GEN!D56)</f>
        <v>143</v>
      </c>
      <c r="E56" s="4" t="str">
        <f ca="1">IF(NOMENCLATURE_GEN!E56="","",NOMENCLATURE_GEN!E56)</f>
        <v>A</v>
      </c>
      <c r="F56" s="4" t="str">
        <f>IF(NOMENCLATURE_GEN!F56="","",NOMENCLATURE_GEN!F56)</f>
        <v>CBA</v>
      </c>
      <c r="G56" s="154" t="str">
        <f>IF(NOMENCLATURE_GEN!G56="","",NOMENCLATURE_GEN!G56)</f>
        <v>Convoyeur de reprise du 0-8mm et alimentation du tapis balistique double</v>
      </c>
      <c r="H56" s="26">
        <f>IF(NOMENCLATURE_GEN!H56="","",IF(NOMENCLATURE_GEN!F56="ACO",NOMENCLATURE_GEN!H56+160,NOMENCLATURE_GEN!H56))</f>
        <v>1800</v>
      </c>
      <c r="I56" s="26">
        <f>IF(NOMENCLATURE_GEN!I56="","",NOMENCLATURE_GEN!I56)</f>
        <v>11500</v>
      </c>
      <c r="J56" s="56">
        <f>IF(NOMENCLATURE_GEN!J56="","",NOMENCLATURE_GEN!J56)</f>
        <v>23</v>
      </c>
      <c r="K56" s="12">
        <f>IFERROR(400/VLOOKUP(F56,données!$B$3:$D$30,3,FALSE),"")</f>
        <v>400</v>
      </c>
      <c r="L56" s="13">
        <f>IFERROR(3/VLOOKUP(F56,données!$B$3:$D$30,3,FALSE),"")</f>
        <v>3</v>
      </c>
      <c r="M56" s="13" t="str">
        <f>IF(L56="","",VLOOKUP(F56,données!$B$4:$I$30,8,FALSE))</f>
        <v>4+2</v>
      </c>
      <c r="N56" s="14" t="str">
        <f t="shared" si="1"/>
        <v>CAOUTCHOUC</v>
      </c>
      <c r="O56" s="514" t="str">
        <f t="shared" si="8"/>
        <v>G2 Haute resistance aux huiles</v>
      </c>
      <c r="P56" s="14" t="str">
        <f t="shared" si="2"/>
        <v>Ouverte</v>
      </c>
      <c r="Q56" s="326">
        <f>IF(K56="","",INT(((I56*2-VLOOKUP(F56,données!$B$4:$I$30,4,FALSE)+VLOOKUP(F56,données!$B$4:$I$30,5,FALSE)*NOMENCLATURE_GEN!O56+IF(OR(NOMENCLATURE_GEN!P56="",NOMENCLATURE_GEN!P56=0),0,2250)+NOMENCLATURE_GEN!Q56*2000)+0.3*H56+VLOOKUP(K56,données!$M$4:$Q$9,MATCH(L56,données!$M$3:$Q$3,0),FALSE)*(L56-1)+250)/1000)+1)</f>
        <v>25</v>
      </c>
      <c r="R56" s="14" t="str">
        <f>IF(K56="","",IF(OR(F56=données!$B$12,F56=données!$B$13),"Bande à bords",IF(J56&gt;données!$P$11,"Bande à chevrons","Bande lisse")))</f>
        <v>Bande à chevrons</v>
      </c>
      <c r="S56" s="654" t="s">
        <v>747</v>
      </c>
      <c r="T56" s="406" t="s">
        <v>542</v>
      </c>
      <c r="U56" s="406" t="s">
        <v>542</v>
      </c>
      <c r="V56" s="17"/>
    </row>
    <row r="57" spans="1:22" s="8" customFormat="1" ht="39.950000000000003" hidden="1" customHeight="1">
      <c r="A57" s="3"/>
      <c r="B57" s="25" t="str">
        <f>IF(NOMENCLATURE_GEN!B57="","",NOMENCLATURE_GEN!B57)</f>
        <v/>
      </c>
      <c r="C57" s="243" t="str">
        <f>IF(NOMENCLATURE_GEN!C57="","",NOMENCLATURE_GEN!C57)</f>
        <v/>
      </c>
      <c r="D57" s="4">
        <f>IF(NOMENCLATURE_GEN!D57="","",NOMENCLATURE_GEN!D57)</f>
        <v>144</v>
      </c>
      <c r="E57" s="4" t="str">
        <f ca="1">IF(NOMENCLATURE_GEN!E57="","",NOMENCLATURE_GEN!E57)</f>
        <v>A</v>
      </c>
      <c r="F57" s="4" t="str">
        <f>IF(NOMENCLATURE_GEN!F57="","",NOMENCLATURE_GEN!F57)</f>
        <v>BAL</v>
      </c>
      <c r="G57" s="154" t="str">
        <f>IF(NOMENCLATURE_GEN!G57="","",NOMENCLATURE_GEN!G57)</f>
        <v>Tapis balistique double MOTEUR N°1</v>
      </c>
      <c r="H57" s="26">
        <f>IF(NOMENCLATURE_GEN!H57="","",IF(NOMENCLATURE_GEN!F57="ACO",NOMENCLATURE_GEN!H57+160,NOMENCLATURE_GEN!H57))</f>
        <v>1800</v>
      </c>
      <c r="I57" s="624">
        <f>IF(NOMENCLATURE_GEN!I57="","",NOMENCLATURE_GEN!I57)</f>
        <v>2500</v>
      </c>
      <c r="J57" s="56">
        <f>IF(NOMENCLATURE_GEN!J57="","",NOMENCLATURE_GEN!J57)</f>
        <v>0</v>
      </c>
      <c r="K57" s="12">
        <f>IFERROR(400/VLOOKUP(F57,données!$B$3:$D$30,3,FALSE),"")</f>
        <v>400</v>
      </c>
      <c r="L57" s="13">
        <f>IFERROR(3/VLOOKUP(F57,données!$B$3:$D$30,3,FALSE),"")</f>
        <v>3</v>
      </c>
      <c r="M57" s="13" t="str">
        <f>IF(L57="","",VLOOKUP(F57,données!$B$4:$I$30,8,FALSE))</f>
        <v>3+0</v>
      </c>
      <c r="N57" s="14" t="str">
        <f t="shared" si="1"/>
        <v>CAOUTCHOUC</v>
      </c>
      <c r="O57" s="514" t="str">
        <f t="shared" si="8"/>
        <v>G2 Haute resistance aux huiles</v>
      </c>
      <c r="P57" s="14" t="str">
        <f t="shared" si="2"/>
        <v>Ouverte</v>
      </c>
      <c r="Q57" s="326">
        <f>IF(K57="","",INT(((I57*2-VLOOKUP(F57,données!$B$4:$I$30,4,FALSE)+VLOOKUP(F57,données!$B$4:$I$30,5,FALSE)*NOMENCLATURE_GEN!O57+IF(OR(NOMENCLATURE_GEN!P57="",NOMENCLATURE_GEN!P57=0),0,2250)+NOMENCLATURE_GEN!Q57*2000)+0.3*H57+VLOOKUP(K57,données!$M$4:$Q$9,MATCH(L57,données!$M$3:$Q$3,0),FALSE)*(L57-1)+250)/1000)+1)</f>
        <v>7</v>
      </c>
      <c r="R57" s="14" t="str">
        <f>IF(K57="","",IF(OR(F57=données!$B$12,F57=données!$B$13),"Bande à bords",IF(J57&gt;données!$P$11,"Bande à chevrons","Bande lisse")))</f>
        <v>Bande lisse</v>
      </c>
      <c r="S57" s="14" t="str">
        <f t="shared" si="3"/>
        <v/>
      </c>
      <c r="T57" s="109" t="s">
        <v>493</v>
      </c>
      <c r="U57" s="406" t="s">
        <v>493</v>
      </c>
      <c r="V57" s="17"/>
    </row>
    <row r="58" spans="1:22" s="8" customFormat="1" ht="39.950000000000003" hidden="1" customHeight="1">
      <c r="A58" s="3"/>
      <c r="B58" s="25" t="str">
        <f>IF(NOMENCLATURE_GEN!B58="","",NOMENCLATURE_GEN!B58)</f>
        <v/>
      </c>
      <c r="C58" s="243" t="str">
        <f>IF(NOMENCLATURE_GEN!C58="","",NOMENCLATURE_GEN!C58)</f>
        <v/>
      </c>
      <c r="D58" s="4">
        <f>IF(NOMENCLATURE_GEN!D58="","",NOMENCLATURE_GEN!D58)</f>
        <v>144</v>
      </c>
      <c r="E58" s="4" t="str">
        <f ca="1">IF(NOMENCLATURE_GEN!E58="","",NOMENCLATURE_GEN!E58)</f>
        <v>B</v>
      </c>
      <c r="F58" s="4" t="str">
        <f>IF(NOMENCLATURE_GEN!F58="","",NOMENCLATURE_GEN!F58)</f>
        <v>BAL</v>
      </c>
      <c r="G58" s="154" t="str">
        <f>IF(NOMENCLATURE_GEN!G58="","",NOMENCLATURE_GEN!G58)</f>
        <v>Tapis balistique double MOTEUR N°2</v>
      </c>
      <c r="H58" s="26">
        <f>IF(NOMENCLATURE_GEN!H58="","",IF(NOMENCLATURE_GEN!F58="ACO",NOMENCLATURE_GEN!H58+160,NOMENCLATURE_GEN!H58))</f>
        <v>1800</v>
      </c>
      <c r="I58" s="624">
        <f>IF(NOMENCLATURE_GEN!I58="","",NOMENCLATURE_GEN!I58)</f>
        <v>2500</v>
      </c>
      <c r="J58" s="56">
        <f>IF(NOMENCLATURE_GEN!J58="","",NOMENCLATURE_GEN!J58)</f>
        <v>0</v>
      </c>
      <c r="K58" s="12">
        <f>IFERROR(400/VLOOKUP(F58,données!$B$3:$D$30,3,FALSE),"")</f>
        <v>400</v>
      </c>
      <c r="L58" s="13">
        <f>IFERROR(3/VLOOKUP(F58,données!$B$3:$D$30,3,FALSE),"")</f>
        <v>3</v>
      </c>
      <c r="M58" s="13" t="str">
        <f>IF(L58="","",VLOOKUP(F58,données!$B$4:$I$30,8,FALSE))</f>
        <v>3+0</v>
      </c>
      <c r="N58" s="14" t="str">
        <f t="shared" si="1"/>
        <v>CAOUTCHOUC</v>
      </c>
      <c r="O58" s="514" t="str">
        <f t="shared" si="8"/>
        <v>G2 Haute resistance aux huiles</v>
      </c>
      <c r="P58" s="14" t="str">
        <f t="shared" si="2"/>
        <v>Ouverte</v>
      </c>
      <c r="Q58" s="326">
        <f>IF(K58="","",INT(((I58*2-VLOOKUP(F58,données!$B$4:$I$30,4,FALSE)+VLOOKUP(F58,données!$B$4:$I$30,5,FALSE)*NOMENCLATURE_GEN!O58+IF(OR(NOMENCLATURE_GEN!P58="",NOMENCLATURE_GEN!P58=0),0,2250)+NOMENCLATURE_GEN!Q58*2000)+0.3*H58+VLOOKUP(K58,données!$M$4:$Q$9,MATCH(L58,données!$M$3:$Q$3,0),FALSE)*(L58-1)+250)/1000)+1)</f>
        <v>7</v>
      </c>
      <c r="R58" s="14" t="str">
        <f>IF(K58="","",IF(OR(F58=données!$B$12,F58=données!$B$13),"Bande à bords",IF(J58&gt;données!$P$11,"Bande à chevrons","Bande lisse")))</f>
        <v>Bande lisse</v>
      </c>
      <c r="S58" s="14" t="str">
        <f t="shared" si="3"/>
        <v/>
      </c>
      <c r="T58" s="109" t="s">
        <v>493</v>
      </c>
      <c r="U58" s="406" t="s">
        <v>493</v>
      </c>
      <c r="V58" s="17"/>
    </row>
    <row r="59" spans="1:22" s="8" customFormat="1" ht="39.950000000000003" hidden="1" customHeight="1">
      <c r="A59" s="3"/>
      <c r="B59" s="25" t="str">
        <f>IF(NOMENCLATURE_GEN!B59="","",NOMENCLATURE_GEN!B59)</f>
        <v/>
      </c>
      <c r="C59" s="243" t="str">
        <f>IF(NOMENCLATURE_GEN!C59="","",NOMENCLATURE_GEN!C59)</f>
        <v/>
      </c>
      <c r="D59" s="4">
        <f>IF(NOMENCLATURE_GEN!D59="","",NOMENCLATURE_GEN!D59)</f>
        <v>145</v>
      </c>
      <c r="E59" s="4" t="str">
        <f ca="1">IF(NOMENCLATURE_GEN!E59="","",NOMENCLATURE_GEN!E59)</f>
        <v>A</v>
      </c>
      <c r="F59" s="4" t="str">
        <f>IF(NOMENCLATURE_GEN!F59="","",NOMENCLATURE_GEN!F59)</f>
        <v>TBE</v>
      </c>
      <c r="G59" s="154" t="str">
        <f>IF(NOMENCLATURE_GEN!G59="","",NOMENCLATURE_GEN!G59)</f>
        <v>Convoyeur de reprise BY-PASS des lourds 0-8mm</v>
      </c>
      <c r="H59" s="26">
        <f>IF(NOMENCLATURE_GEN!H59="","",IF(NOMENCLATURE_GEN!F59="ACO",NOMENCLATURE_GEN!H59+160,NOMENCLATURE_GEN!H59))</f>
        <v>800</v>
      </c>
      <c r="I59" s="26">
        <f>IF(NOMENCLATURE_GEN!I59="","",NOMENCLATURE_GEN!I59)</f>
        <v>3500</v>
      </c>
      <c r="J59" s="56">
        <f>IF(NOMENCLATURE_GEN!J59="","",NOMENCLATURE_GEN!J59)</f>
        <v>0</v>
      </c>
      <c r="K59" s="12">
        <f>IFERROR(400/VLOOKUP(F59,données!$B$3:$D$30,3,FALSE),"")</f>
        <v>400</v>
      </c>
      <c r="L59" s="13">
        <f>IFERROR(3/VLOOKUP(F59,données!$B$3:$D$30,3,FALSE),"")</f>
        <v>3</v>
      </c>
      <c r="M59" s="13" t="str">
        <f>IF(L59="","",VLOOKUP(F59,données!$B$4:$I$30,8,FALSE))</f>
        <v>4+0</v>
      </c>
      <c r="N59" s="14" t="str">
        <f t="shared" si="1"/>
        <v>CAOUTCHOUC</v>
      </c>
      <c r="O59" s="514" t="str">
        <f t="shared" si="8"/>
        <v>G2 Haute resistance aux huiles</v>
      </c>
      <c r="P59" s="14" t="str">
        <f t="shared" si="2"/>
        <v>Ouverte</v>
      </c>
      <c r="Q59" s="326">
        <f>IF(K59="","",INT(((I59*2-VLOOKUP(F59,données!$B$4:$I$30,4,FALSE)+VLOOKUP(F59,données!$B$4:$I$30,5,FALSE)*NOMENCLATURE_GEN!O59+IF(OR(NOMENCLATURE_GEN!P59="",NOMENCLATURE_GEN!P59=0),0,2250)+NOMENCLATURE_GEN!Q59*2000)+0.3*H59+VLOOKUP(K59,données!$M$4:$Q$9,MATCH(L59,données!$M$3:$Q$3,0),FALSE)*(L59-1)+250)/1000)+1)</f>
        <v>8</v>
      </c>
      <c r="R59" s="14" t="str">
        <f>IF(K59="","",IF(OR(F59=données!$B$12,F59=données!$B$13),"Bande à bords",IF(J59&gt;données!$P$11,"Bande à chevrons","Bande lisse")))</f>
        <v>Bande lisse</v>
      </c>
      <c r="S59" s="14" t="str">
        <f t="shared" si="3"/>
        <v/>
      </c>
      <c r="T59" s="652" t="s">
        <v>542</v>
      </c>
      <c r="U59" s="652" t="s">
        <v>542</v>
      </c>
      <c r="V59" s="17"/>
    </row>
    <row r="60" spans="1:22" s="8" customFormat="1" ht="39.950000000000003" hidden="1" customHeight="1">
      <c r="A60" s="3"/>
      <c r="B60" s="25" t="str">
        <f>IF(NOMENCLATURE_GEN!B60="","",NOMENCLATURE_GEN!B60)</f>
        <v/>
      </c>
      <c r="C60" s="243" t="str">
        <f>IF(NOMENCLATURE_GEN!C60="","",NOMENCLATURE_GEN!C60)</f>
        <v/>
      </c>
      <c r="D60" s="4">
        <f>IF(NOMENCLATURE_GEN!D60="","",NOMENCLATURE_GEN!D60)</f>
        <v>146</v>
      </c>
      <c r="E60" s="4" t="str">
        <f ca="1">IF(NOMENCLATURE_GEN!E60="","",NOMENCLATURE_GEN!E60)</f>
        <v>A</v>
      </c>
      <c r="F60" s="4" t="str">
        <f>IF(NOMENCLATURE_GEN!F60="","",NOMENCLATURE_GEN!F60)</f>
        <v>TBE</v>
      </c>
      <c r="G60" s="154" t="str">
        <f>IF(NOMENCLATURE_GEN!G60="","",NOMENCLATURE_GEN!G60)</f>
        <v>Convoyeur de transfert des lourds 0-8mm</v>
      </c>
      <c r="H60" s="26">
        <f>IF(NOMENCLATURE_GEN!H60="","",IF(NOMENCLATURE_GEN!F60="ACO",NOMENCLATURE_GEN!H60+160,NOMENCLATURE_GEN!H60))</f>
        <v>800</v>
      </c>
      <c r="I60" s="26">
        <f>IF(NOMENCLATURE_GEN!I60="","",NOMENCLATURE_GEN!I60)</f>
        <v>16750</v>
      </c>
      <c r="J60" s="56">
        <f>IF(NOMENCLATURE_GEN!J60="","",NOMENCLATURE_GEN!J60)</f>
        <v>6</v>
      </c>
      <c r="K60" s="12">
        <f>IFERROR(400/VLOOKUP(F60,données!$B$3:$D$30,3,FALSE),"")</f>
        <v>400</v>
      </c>
      <c r="L60" s="13">
        <f>IFERROR(3/VLOOKUP(F60,données!$B$3:$D$30,3,FALSE),"")</f>
        <v>3</v>
      </c>
      <c r="M60" s="13" t="str">
        <f>IF(L60="","",VLOOKUP(F60,données!$B$4:$I$30,8,FALSE))</f>
        <v>4+0</v>
      </c>
      <c r="N60" s="14" t="str">
        <f t="shared" si="1"/>
        <v>CAOUTCHOUC</v>
      </c>
      <c r="O60" s="514" t="str">
        <f t="shared" si="8"/>
        <v>G2 Haute resistance aux huiles</v>
      </c>
      <c r="P60" s="14" t="str">
        <f t="shared" si="2"/>
        <v>Ouverte</v>
      </c>
      <c r="Q60" s="326">
        <f>IF(K60="","",INT(((I60*2-VLOOKUP(F60,données!$B$4:$I$30,4,FALSE)+VLOOKUP(F60,données!$B$4:$I$30,5,FALSE)*NOMENCLATURE_GEN!O60+IF(OR(NOMENCLATURE_GEN!P60="",NOMENCLATURE_GEN!P60=0),0,2250)+NOMENCLATURE_GEN!Q60*2000)+0.3*H60+VLOOKUP(K60,données!$M$4:$Q$9,MATCH(L60,données!$M$3:$Q$3,0),FALSE)*(L60-1)+250)/1000)+1)</f>
        <v>35</v>
      </c>
      <c r="R60" s="14" t="str">
        <f>IF(K60="","",IF(OR(F60=données!$B$12,F60=données!$B$13),"Bande à bords",IF(J60&gt;données!$P$11,"Bande à chevrons","Bande lisse")))</f>
        <v>Bande lisse</v>
      </c>
      <c r="S60" s="14" t="str">
        <f t="shared" si="3"/>
        <v/>
      </c>
      <c r="T60" s="406" t="s">
        <v>542</v>
      </c>
      <c r="U60" s="406" t="s">
        <v>542</v>
      </c>
      <c r="V60" s="17"/>
    </row>
    <row r="61" spans="1:22" s="8" customFormat="1" ht="39.950000000000003" hidden="1" customHeight="1">
      <c r="A61" s="3"/>
      <c r="B61" s="25" t="str">
        <f>IF(NOMENCLATURE_GEN!B61="","",NOMENCLATURE_GEN!B61)</f>
        <v/>
      </c>
      <c r="C61" s="243" t="str">
        <f>IF(NOMENCLATURE_GEN!C61="","",NOMENCLATURE_GEN!C61)</f>
        <v/>
      </c>
      <c r="D61" s="4">
        <f>IF(NOMENCLATURE_GEN!D61="","",NOMENCLATURE_GEN!D61)</f>
        <v>147</v>
      </c>
      <c r="E61" s="4" t="str">
        <f ca="1">IF(NOMENCLATURE_GEN!E61="","",NOMENCLATURE_GEN!E61)</f>
        <v>A</v>
      </c>
      <c r="F61" s="4" t="str">
        <f>IF(NOMENCLATURE_GEN!F61="","",NOMENCLATURE_GEN!F61)</f>
        <v>TBE</v>
      </c>
      <c r="G61" s="154" t="str">
        <f>IF(NOMENCLATURE_GEN!G61="","",NOMENCLATURE_GEN!G61)</f>
        <v>Convoyeur de transfert des lourds 0-8mm</v>
      </c>
      <c r="H61" s="26">
        <f>IF(NOMENCLATURE_GEN!H61="","",IF(NOMENCLATURE_GEN!F61="ACO",NOMENCLATURE_GEN!H61+160,NOMENCLATURE_GEN!H61))</f>
        <v>800</v>
      </c>
      <c r="I61" s="26">
        <f>IF(NOMENCLATURE_GEN!I61="","",NOMENCLATURE_GEN!I61)</f>
        <v>12000</v>
      </c>
      <c r="J61" s="56">
        <f>IF(NOMENCLATURE_GEN!J61="","",NOMENCLATURE_GEN!J61)</f>
        <v>20</v>
      </c>
      <c r="K61" s="12">
        <f>IFERROR(400/VLOOKUP(F61,données!$B$3:$D$30,3,FALSE),"")</f>
        <v>400</v>
      </c>
      <c r="L61" s="13">
        <f>IFERROR(3/VLOOKUP(F61,données!$B$3:$D$30,3,FALSE),"")</f>
        <v>3</v>
      </c>
      <c r="M61" s="13" t="str">
        <f>IF(L61="","",VLOOKUP(F61,données!$B$4:$I$30,8,FALSE))</f>
        <v>4+0</v>
      </c>
      <c r="N61" s="14" t="str">
        <f t="shared" si="1"/>
        <v>CAOUTCHOUC</v>
      </c>
      <c r="O61" s="514" t="str">
        <f t="shared" si="8"/>
        <v>G2 Haute resistance aux huiles</v>
      </c>
      <c r="P61" s="14" t="str">
        <f t="shared" si="2"/>
        <v>Ouverte</v>
      </c>
      <c r="Q61" s="326">
        <f>IF(K61="","",INT(((I61*2-VLOOKUP(F61,données!$B$4:$I$30,4,FALSE)+VLOOKUP(F61,données!$B$4:$I$30,5,FALSE)*NOMENCLATURE_GEN!O61+IF(OR(NOMENCLATURE_GEN!P61="",NOMENCLATURE_GEN!P61=0),0,2250)+NOMENCLATURE_GEN!Q61*2000)+0.3*H61+VLOOKUP(K61,données!$M$4:$Q$9,MATCH(L61,données!$M$3:$Q$3,0),FALSE)*(L61-1)+250)/1000)+1)</f>
        <v>25</v>
      </c>
      <c r="R61" s="14" t="str">
        <f>IF(K61="","",IF(OR(F61=données!$B$12,F61=données!$B$13),"Bande à bords",IF(J61&gt;données!$P$11,"Bande à chevrons","Bande lisse")))</f>
        <v>Bande à chevrons</v>
      </c>
      <c r="S61" s="654" t="s">
        <v>745</v>
      </c>
      <c r="T61" s="406" t="s">
        <v>542</v>
      </c>
      <c r="U61" s="406" t="s">
        <v>542</v>
      </c>
      <c r="V61" s="17"/>
    </row>
    <row r="62" spans="1:22" s="8" customFormat="1" ht="39.950000000000003" hidden="1" customHeight="1">
      <c r="A62" s="3"/>
      <c r="B62" s="25" t="str">
        <f>IF(NOMENCLATURE_GEN!B62="","",NOMENCLATURE_GEN!B62)</f>
        <v/>
      </c>
      <c r="C62" s="243" t="str">
        <f>IF(NOMENCLATURE_GEN!C62="","",NOMENCLATURE_GEN!C62)</f>
        <v/>
      </c>
      <c r="D62" s="4">
        <f>IF(NOMENCLATURE_GEN!D62="","",NOMENCLATURE_GEN!D62)</f>
        <v>148</v>
      </c>
      <c r="E62" s="4" t="str">
        <f ca="1">IF(NOMENCLATURE_GEN!E62="","",NOMENCLATURE_GEN!E62)</f>
        <v>A</v>
      </c>
      <c r="F62" s="4" t="str">
        <f>IF(NOMENCLATURE_GEN!F62="","",NOMENCLATURE_GEN!F62)</f>
        <v>TBE</v>
      </c>
      <c r="G62" s="154" t="str">
        <f>IF(NOMENCLATURE_GEN!G62="","",NOMENCLATURE_GEN!G62)</f>
        <v>Convoyeur rotatif double sens de mise en benne des refus lourds</v>
      </c>
      <c r="H62" s="26">
        <f>IF(NOMENCLATURE_GEN!H62="","",IF(NOMENCLATURE_GEN!F62="ACO",NOMENCLATURE_GEN!H62+160,NOMENCLATURE_GEN!H62))</f>
        <v>800</v>
      </c>
      <c r="I62" s="26">
        <f>IF(NOMENCLATURE_GEN!I62="","",NOMENCLATURE_GEN!I62)</f>
        <v>5000</v>
      </c>
      <c r="J62" s="56">
        <f>IF(NOMENCLATURE_GEN!J62="","",NOMENCLATURE_GEN!J62)</f>
        <v>0</v>
      </c>
      <c r="K62" s="12">
        <f>IFERROR(400/VLOOKUP(F62,données!$B$3:$D$30,3,FALSE),"")</f>
        <v>400</v>
      </c>
      <c r="L62" s="13">
        <f>IFERROR(3/VLOOKUP(F62,données!$B$3:$D$30,3,FALSE),"")</f>
        <v>3</v>
      </c>
      <c r="M62" s="13" t="str">
        <f>IF(L62="","",VLOOKUP(F62,données!$B$4:$I$30,8,FALSE))</f>
        <v>4+0</v>
      </c>
      <c r="N62" s="14" t="str">
        <f t="shared" si="1"/>
        <v>CAOUTCHOUC</v>
      </c>
      <c r="O62" s="514" t="str">
        <f t="shared" si="8"/>
        <v>G2 Haute resistance aux huiles</v>
      </c>
      <c r="P62" s="14" t="str">
        <f t="shared" si="2"/>
        <v>Ouverte</v>
      </c>
      <c r="Q62" s="326">
        <f>IF(K62="","",INT(((I62*2-VLOOKUP(F62,données!$B$4:$I$30,4,FALSE)+VLOOKUP(F62,données!$B$4:$I$30,5,FALSE)*NOMENCLATURE_GEN!O62+IF(OR(NOMENCLATURE_GEN!P62="",NOMENCLATURE_GEN!P62=0),0,2250)+NOMENCLATURE_GEN!Q62*2000)+0.3*H62+VLOOKUP(K62,données!$M$4:$Q$9,MATCH(L62,données!$M$3:$Q$3,0),FALSE)*(L62-1)+250)/1000)+1)</f>
        <v>11</v>
      </c>
      <c r="R62" s="14" t="str">
        <f>IF(K62="","",IF(OR(F62=données!$B$12,F62=données!$B$13),"Bande à bords",IF(J62&gt;données!$P$11,"Bande à chevrons","Bande lisse")))</f>
        <v>Bande lisse</v>
      </c>
      <c r="S62" s="14" t="str">
        <f t="shared" si="3"/>
        <v/>
      </c>
      <c r="T62" s="652" t="s">
        <v>542</v>
      </c>
      <c r="U62" s="652" t="s">
        <v>542</v>
      </c>
      <c r="V62" s="17"/>
    </row>
    <row r="63" spans="1:22" s="8" customFormat="1" ht="39.950000000000003" hidden="1" customHeight="1">
      <c r="A63" s="3"/>
      <c r="B63" s="25" t="str">
        <f>IF(NOMENCLATURE_GEN!B63="","",NOMENCLATURE_GEN!B63)</f>
        <v/>
      </c>
      <c r="C63" s="243" t="str">
        <f>IF(NOMENCLATURE_GEN!C63="","",NOMENCLATURE_GEN!C63)</f>
        <v/>
      </c>
      <c r="D63" s="4">
        <f>IF(NOMENCLATURE_GEN!D63="","",NOMENCLATURE_GEN!D63)</f>
        <v>149</v>
      </c>
      <c r="E63" s="4" t="str">
        <f ca="1">IF(NOMENCLATURE_GEN!E63="","",NOMENCLATURE_GEN!E63)</f>
        <v>A</v>
      </c>
      <c r="F63" s="4" t="str">
        <f>IF(NOMENCLATURE_GEN!F63="","",NOMENCLATURE_GEN!F63)</f>
        <v>COU</v>
      </c>
      <c r="G63" s="154" t="str">
        <f>IF(NOMENCLATURE_GEN!G63="","",NOMENCLATURE_GEN!G63)</f>
        <v>Couronne rotatif pour convoyeur de mise en tas</v>
      </c>
      <c r="H63" s="26">
        <f>IF(NOMENCLATURE_GEN!H63="","",IF(NOMENCLATURE_GEN!F63="ACO",NOMENCLATURE_GEN!H63+160,NOMENCLATURE_GEN!H63))</f>
        <v>800</v>
      </c>
      <c r="I63" s="26">
        <f>IF(NOMENCLATURE_GEN!I63="","",NOMENCLATURE_GEN!I63)</f>
        <v>800</v>
      </c>
      <c r="J63" s="56" t="str">
        <f>IF(NOMENCLATURE_GEN!J63="","",NOMENCLATURE_GEN!J63)</f>
        <v/>
      </c>
      <c r="K63" s="12" t="str">
        <f>IFERROR(400/VLOOKUP(F63,données!$B$3:$D$30,3,FALSE),"")</f>
        <v/>
      </c>
      <c r="L63" s="13" t="str">
        <f>IFERROR(3/VLOOKUP(F63,données!$B$3:$D$30,3,FALSE),"")</f>
        <v/>
      </c>
      <c r="M63" s="13" t="str">
        <f>IF(L63="","",VLOOKUP(F63,données!$B$4:$I$30,8,FALSE))</f>
        <v/>
      </c>
      <c r="N63" s="14" t="str">
        <f t="shared" si="1"/>
        <v/>
      </c>
      <c r="O63" s="514" t="str">
        <f t="shared" si="8"/>
        <v/>
      </c>
      <c r="P63" s="14" t="str">
        <f t="shared" si="2"/>
        <v/>
      </c>
      <c r="Q63" s="326" t="str">
        <f>IF(K63="","",INT(((I63*2-VLOOKUP(F63,données!$B$4:$I$30,4,FALSE)+VLOOKUP(F63,données!$B$4:$I$30,5,FALSE)*NOMENCLATURE_GEN!O63+IF(OR(NOMENCLATURE_GEN!P63="",NOMENCLATURE_GEN!P63=0),0,2250)+NOMENCLATURE_GEN!Q63*2000)+0.3*H63+VLOOKUP(K63,données!$M$4:$Q$9,MATCH(L63,données!$M$3:$Q$3,0),FALSE)*(L63-1)+250)/1000)+1)</f>
        <v/>
      </c>
      <c r="R63" s="14" t="str">
        <f>IF(K63="","",IF(OR(F63=données!$B$12,F63=données!$B$13),"Bande à bords",IF(J63&gt;données!$P$11,"Bande à chevrons","Bande lisse")))</f>
        <v/>
      </c>
      <c r="S63" s="14" t="str">
        <f t="shared" si="3"/>
        <v/>
      </c>
      <c r="T63" s="406"/>
      <c r="U63" s="406"/>
      <c r="V63" s="11"/>
    </row>
    <row r="64" spans="1:22" s="8" customFormat="1" ht="39.950000000000003" hidden="1" customHeight="1">
      <c r="A64" s="3"/>
      <c r="B64" s="25" t="str">
        <f>IF(NOMENCLATURE_GEN!B64="","",NOMENCLATURE_GEN!B64)</f>
        <v/>
      </c>
      <c r="C64" s="243" t="str">
        <f>IF(NOMENCLATURE_GEN!C64="","",NOMENCLATURE_GEN!C64)</f>
        <v/>
      </c>
      <c r="D64" s="4">
        <f>IF(NOMENCLATURE_GEN!D64="","",NOMENCLATURE_GEN!D64)</f>
        <v>150</v>
      </c>
      <c r="E64" s="4" t="str">
        <f ca="1">IF(NOMENCLATURE_GEN!E64="","",NOMENCLATURE_GEN!E64)</f>
        <v>A</v>
      </c>
      <c r="F64" s="4" t="str">
        <f>IF(NOMENCLATURE_GEN!F64="","",NOMENCLATURE_GEN!F64)</f>
        <v>TBE</v>
      </c>
      <c r="G64" s="154" t="str">
        <f>IF(NOMENCLATURE_GEN!G64="","",NOMENCLATURE_GEN!G64)</f>
        <v>Convoyeur de reprise By-pass des refus du liwell</v>
      </c>
      <c r="H64" s="26">
        <f>IF(NOMENCLATURE_GEN!H64="","",IF(NOMENCLATURE_GEN!F64="ACO",NOMENCLATURE_GEN!H64+160,NOMENCLATURE_GEN!H64))</f>
        <v>1000</v>
      </c>
      <c r="I64" s="26">
        <f>IF(NOMENCLATURE_GEN!I64="","",NOMENCLATURE_GEN!I64)</f>
        <v>5250</v>
      </c>
      <c r="J64" s="56">
        <f>IF(NOMENCLATURE_GEN!J64="","",NOMENCLATURE_GEN!J64)</f>
        <v>0</v>
      </c>
      <c r="K64" s="12">
        <f>IFERROR(400/VLOOKUP(F64,données!$B$3:$D$30,3,FALSE),"")</f>
        <v>400</v>
      </c>
      <c r="L64" s="13">
        <f>IFERROR(3/VLOOKUP(F64,données!$B$3:$D$30,3,FALSE),"")</f>
        <v>3</v>
      </c>
      <c r="M64" s="13" t="str">
        <f>IF(L64="","",VLOOKUP(F64,données!$B$4:$I$30,8,FALSE))</f>
        <v>4+0</v>
      </c>
      <c r="N64" s="14" t="str">
        <f t="shared" si="1"/>
        <v>CAOUTCHOUC</v>
      </c>
      <c r="O64" s="514" t="str">
        <f t="shared" si="8"/>
        <v>G2 Haute resistance aux huiles</v>
      </c>
      <c r="P64" s="14" t="str">
        <f t="shared" si="2"/>
        <v>Ouverte</v>
      </c>
      <c r="Q64" s="326">
        <f>IF(K64="","",INT(((I64*2-VLOOKUP(F64,données!$B$4:$I$30,4,FALSE)+VLOOKUP(F64,données!$B$4:$I$30,5,FALSE)*NOMENCLATURE_GEN!O64+IF(OR(NOMENCLATURE_GEN!P64="",NOMENCLATURE_GEN!P64=0),0,2250)+NOMENCLATURE_GEN!Q64*2000)+0.3*H64+VLOOKUP(K64,données!$M$4:$Q$9,MATCH(L64,données!$M$3:$Q$3,0),FALSE)*(L64-1)+250)/1000)+1)</f>
        <v>12</v>
      </c>
      <c r="R64" s="14" t="str">
        <f>IF(K64="","",IF(OR(F64=données!$B$12,F64=données!$B$13),"Bande à bords",IF(J64&gt;données!$P$11,"Bande à chevrons","Bande lisse")))</f>
        <v>Bande lisse</v>
      </c>
      <c r="S64" s="14" t="str">
        <f t="shared" si="3"/>
        <v/>
      </c>
      <c r="T64" s="652" t="s">
        <v>542</v>
      </c>
      <c r="U64" s="652" t="s">
        <v>542</v>
      </c>
      <c r="V64" s="11"/>
    </row>
    <row r="65" spans="1:22" s="8" customFormat="1" ht="39.950000000000003" hidden="1" customHeight="1">
      <c r="A65" s="3"/>
      <c r="B65" s="25" t="str">
        <f>IF(NOMENCLATURE_GEN!B65="","",NOMENCLATURE_GEN!B65)</f>
        <v/>
      </c>
      <c r="C65" s="243" t="str">
        <f>IF(NOMENCLATURE_GEN!C65="","",NOMENCLATURE_GEN!C65)</f>
        <v/>
      </c>
      <c r="D65" s="4">
        <f>IF(NOMENCLATURE_GEN!D65="","",NOMENCLATURE_GEN!D65)</f>
        <v>151</v>
      </c>
      <c r="E65" s="4" t="str">
        <f ca="1">IF(NOMENCLATURE_GEN!E65="","",NOMENCLATURE_GEN!E65)</f>
        <v>A</v>
      </c>
      <c r="F65" s="4" t="str">
        <f>IF(NOMENCLATURE_GEN!F65="","",NOMENCLATURE_GEN!F65)</f>
        <v>TBE</v>
      </c>
      <c r="G65" s="154" t="str">
        <f>IF(NOMENCLATURE_GEN!G65="","",NOMENCLATURE_GEN!G65)</f>
        <v>Convoyeur de reprise By-pass des refus du balistique 1</v>
      </c>
      <c r="H65" s="26">
        <f>IF(NOMENCLATURE_GEN!H65="","",IF(NOMENCLATURE_GEN!F65="ACO",NOMENCLATURE_GEN!H65+160,NOMENCLATURE_GEN!H65))</f>
        <v>1000</v>
      </c>
      <c r="I65" s="26">
        <f>IF(NOMENCLATURE_GEN!I65="","",NOMENCLATURE_GEN!I65)</f>
        <v>5250</v>
      </c>
      <c r="J65" s="56">
        <f>IF(NOMENCLATURE_GEN!J65="","",NOMENCLATURE_GEN!J65)</f>
        <v>0</v>
      </c>
      <c r="K65" s="12">
        <f>IFERROR(400/VLOOKUP(F65,données!$B$3:$D$30,3,FALSE),"")</f>
        <v>400</v>
      </c>
      <c r="L65" s="13">
        <f>IFERROR(3/VLOOKUP(F65,données!$B$3:$D$30,3,FALSE),"")</f>
        <v>3</v>
      </c>
      <c r="M65" s="13" t="str">
        <f>IF(L65="","",VLOOKUP(F65,données!$B$4:$I$30,8,FALSE))</f>
        <v>4+0</v>
      </c>
      <c r="N65" s="14" t="str">
        <f t="shared" si="1"/>
        <v>CAOUTCHOUC</v>
      </c>
      <c r="O65" s="514" t="str">
        <f t="shared" si="8"/>
        <v>G2 Haute resistance aux huiles</v>
      </c>
      <c r="P65" s="14" t="str">
        <f t="shared" si="2"/>
        <v>Ouverte</v>
      </c>
      <c r="Q65" s="326">
        <f>IF(K65="","",INT(((I65*2-VLOOKUP(F65,données!$B$4:$I$30,4,FALSE)+VLOOKUP(F65,données!$B$4:$I$30,5,FALSE)*NOMENCLATURE_GEN!O65+IF(OR(NOMENCLATURE_GEN!P65="",NOMENCLATURE_GEN!P65=0),0,2250)+NOMENCLATURE_GEN!Q65*2000)+0.3*H65+VLOOKUP(K65,données!$M$4:$Q$9,MATCH(L65,données!$M$3:$Q$3,0),FALSE)*(L65-1)+250)/1000)+1)</f>
        <v>12</v>
      </c>
      <c r="R65" s="14" t="str">
        <f>IF(K65="","",IF(OR(F65=données!$B$12,F65=données!$B$13),"Bande à bords",IF(J65&gt;données!$P$11,"Bande à chevrons","Bande lisse")))</f>
        <v>Bande lisse</v>
      </c>
      <c r="S65" s="14" t="str">
        <f t="shared" si="3"/>
        <v/>
      </c>
      <c r="T65" s="652" t="s">
        <v>542</v>
      </c>
      <c r="U65" s="652" t="s">
        <v>542</v>
      </c>
      <c r="V65" s="11"/>
    </row>
    <row r="66" spans="1:22" s="8" customFormat="1" ht="39.950000000000003" hidden="1" customHeight="1">
      <c r="A66" s="3"/>
      <c r="B66" s="25" t="str">
        <f>IF(NOMENCLATURE_GEN!B66="","",NOMENCLATURE_GEN!B66)</f>
        <v/>
      </c>
      <c r="C66" s="243" t="str">
        <f>IF(NOMENCLATURE_GEN!C66="","",NOMENCLATURE_GEN!C66)</f>
        <v/>
      </c>
      <c r="D66" s="4">
        <f>IF(NOMENCLATURE_GEN!D66="","",NOMENCLATURE_GEN!D66)</f>
        <v>152</v>
      </c>
      <c r="E66" s="4" t="str">
        <f ca="1">IF(NOMENCLATURE_GEN!E66="","",NOMENCLATURE_GEN!E66)</f>
        <v>A</v>
      </c>
      <c r="F66" s="4" t="str">
        <f>IF(NOMENCLATURE_GEN!F66="","",NOMENCLATURE_GEN!F66)</f>
        <v>TBE</v>
      </c>
      <c r="G66" s="154" t="str">
        <f>IF(NOMENCLATURE_GEN!G66="","",NOMENCLATURE_GEN!G66)</f>
        <v>Convoyeur de transfert des refus vers module de sur-tri</v>
      </c>
      <c r="H66" s="26">
        <f>IF(NOMENCLATURE_GEN!H66="","",IF(NOMENCLATURE_GEN!F66="ACO",NOMENCLATURE_GEN!H66+160,NOMENCLATURE_GEN!H66))</f>
        <v>1000</v>
      </c>
      <c r="I66" s="26">
        <f>IF(NOMENCLATURE_GEN!I66="","",NOMENCLATURE_GEN!I66)</f>
        <v>15000</v>
      </c>
      <c r="J66" s="56">
        <f>IF(NOMENCLATURE_GEN!J66="","",NOMENCLATURE_GEN!J66)</f>
        <v>8</v>
      </c>
      <c r="K66" s="12">
        <f>IFERROR(400/VLOOKUP(F66,données!$B$3:$D$30,3,FALSE),"")</f>
        <v>400</v>
      </c>
      <c r="L66" s="13">
        <f>IFERROR(3/VLOOKUP(F66,données!$B$3:$D$30,3,FALSE),"")</f>
        <v>3</v>
      </c>
      <c r="M66" s="13" t="str">
        <f>IF(L66="","",VLOOKUP(F66,données!$B$4:$I$30,8,FALSE))</f>
        <v>4+0</v>
      </c>
      <c r="N66" s="14" t="str">
        <f t="shared" si="1"/>
        <v>CAOUTCHOUC</v>
      </c>
      <c r="O66" s="514" t="str">
        <f t="shared" si="8"/>
        <v>G2 Haute resistance aux huiles</v>
      </c>
      <c r="P66" s="14" t="str">
        <f t="shared" si="2"/>
        <v>Ouverte</v>
      </c>
      <c r="Q66" s="326">
        <f>IF(K66="","",INT(((I66*2-VLOOKUP(F66,données!$B$4:$I$30,4,FALSE)+VLOOKUP(F66,données!$B$4:$I$30,5,FALSE)*NOMENCLATURE_GEN!O66+IF(OR(NOMENCLATURE_GEN!P66="",NOMENCLATURE_GEN!P66=0),0,2250)+NOMENCLATURE_GEN!Q66*2000)+0.3*H66+VLOOKUP(K66,données!$M$4:$Q$9,MATCH(L66,données!$M$3:$Q$3,0),FALSE)*(L66-1)+250)/1000)+1)</f>
        <v>32</v>
      </c>
      <c r="R66" s="14" t="str">
        <f>IF(K66="","",IF(OR(F66=données!$B$12,F66=données!$B$13),"Bande à bords",IF(J66&gt;données!$P$11,"Bande à chevrons","Bande lisse")))</f>
        <v>Bande lisse</v>
      </c>
      <c r="S66" s="14" t="str">
        <f t="shared" si="3"/>
        <v/>
      </c>
      <c r="T66" s="406" t="s">
        <v>542</v>
      </c>
      <c r="U66" s="406" t="s">
        <v>542</v>
      </c>
      <c r="V66" s="17"/>
    </row>
    <row r="67" spans="1:22" s="8" customFormat="1" ht="39.950000000000003" hidden="1" customHeight="1">
      <c r="A67" s="3"/>
      <c r="B67" s="25" t="str">
        <f>IF(NOMENCLATURE_GEN!B67="","",NOMENCLATURE_GEN!B67)</f>
        <v/>
      </c>
      <c r="C67" s="243" t="str">
        <f>IF(NOMENCLATURE_GEN!C67="","",NOMENCLATURE_GEN!C67)</f>
        <v/>
      </c>
      <c r="D67" s="4">
        <f>IF(NOMENCLATURE_GEN!D67="","",NOMENCLATURE_GEN!D67)</f>
        <v>153</v>
      </c>
      <c r="E67" s="4" t="str">
        <f ca="1">IF(NOMENCLATURE_GEN!E67="","",NOMENCLATURE_GEN!E67)</f>
        <v>A</v>
      </c>
      <c r="F67" s="4" t="str">
        <f>IF(NOMENCLATURE_GEN!F67="","",NOMENCLATURE_GEN!F67)</f>
        <v>TBE</v>
      </c>
      <c r="G67" s="154" t="str">
        <f>IF(NOMENCLATURE_GEN!G67="","",NOMENCLATURE_GEN!G67)</f>
        <v>Convoyeur de transfert des refus vers module de sur-tri</v>
      </c>
      <c r="H67" s="26">
        <f>IF(NOMENCLATURE_GEN!H67="","",IF(NOMENCLATURE_GEN!F67="ACO",NOMENCLATURE_GEN!H67+160,NOMENCLATURE_GEN!H67))</f>
        <v>1000</v>
      </c>
      <c r="I67" s="26">
        <f>IF(NOMENCLATURE_GEN!I67="","",NOMENCLATURE_GEN!I67)</f>
        <v>5000</v>
      </c>
      <c r="J67" s="56">
        <f>IF(NOMENCLATURE_GEN!J67="","",NOMENCLATURE_GEN!J67)</f>
        <v>18</v>
      </c>
      <c r="K67" s="12">
        <f>IFERROR(400/VLOOKUP(F67,données!$B$3:$D$30,3,FALSE),"")</f>
        <v>400</v>
      </c>
      <c r="L67" s="13">
        <f>IFERROR(3/VLOOKUP(F67,données!$B$3:$D$30,3,FALSE),"")</f>
        <v>3</v>
      </c>
      <c r="M67" s="13" t="str">
        <f>IF(L67="","",VLOOKUP(F67,données!$B$4:$I$30,8,FALSE))</f>
        <v>4+0</v>
      </c>
      <c r="N67" s="14" t="str">
        <f t="shared" si="1"/>
        <v>CAOUTCHOUC</v>
      </c>
      <c r="O67" s="514" t="str">
        <f t="shared" si="8"/>
        <v>G2 Haute resistance aux huiles</v>
      </c>
      <c r="P67" s="14" t="str">
        <f t="shared" si="2"/>
        <v>Ouverte</v>
      </c>
      <c r="Q67" s="326">
        <f>IF(K67="","",INT(((I67*2-VLOOKUP(F67,données!$B$4:$I$30,4,FALSE)+VLOOKUP(F67,données!$B$4:$I$30,5,FALSE)*NOMENCLATURE_GEN!O67+IF(OR(NOMENCLATURE_GEN!P67="",NOMENCLATURE_GEN!P67=0),0,2250)+NOMENCLATURE_GEN!Q67*2000)+0.3*H67+VLOOKUP(K67,données!$M$4:$Q$9,MATCH(L67,données!$M$3:$Q$3,0),FALSE)*(L67-1)+250)/1000)+1)</f>
        <v>12</v>
      </c>
      <c r="R67" s="14" t="str">
        <f>IF(K67="","",IF(OR(F67=données!$B$12,F67=données!$B$13),"Bande à bords",IF(J67&gt;données!$P$11,"Bande à chevrons","Bande lisse")))</f>
        <v>Bande à chevrons</v>
      </c>
      <c r="S67" s="654" t="s">
        <v>748</v>
      </c>
      <c r="T67" s="652" t="s">
        <v>542</v>
      </c>
      <c r="U67" s="652" t="s">
        <v>542</v>
      </c>
      <c r="V67" s="17"/>
    </row>
    <row r="68" spans="1:22" s="8" customFormat="1" ht="39.950000000000003" hidden="1" customHeight="1">
      <c r="A68" s="3"/>
      <c r="B68" s="25" t="str">
        <f>IF(NOMENCLATURE_GEN!B68="","",NOMENCLATURE_GEN!B68)</f>
        <v/>
      </c>
      <c r="C68" s="243" t="str">
        <f>IF(NOMENCLATURE_GEN!C68="","",NOMENCLATURE_GEN!C68)</f>
        <v/>
      </c>
      <c r="D68" s="4">
        <f>IF(NOMENCLATURE_GEN!D68="","",NOMENCLATURE_GEN!D68)</f>
        <v>154</v>
      </c>
      <c r="E68" s="4" t="str">
        <f ca="1">IF(NOMENCLATURE_GEN!E68="","",NOMENCLATURE_GEN!E68)</f>
        <v>A</v>
      </c>
      <c r="F68" s="4" t="str">
        <f>IF(NOMENCLATURE_GEN!F68="","",NOMENCLATURE_GEN!F68)</f>
        <v>TBE</v>
      </c>
      <c r="G68" s="154" t="str">
        <f>IF(NOMENCLATURE_GEN!G68="","",NOMENCLATURE_GEN!G68)</f>
        <v>Convoyeur de transfert des refus vers module de sur-tri</v>
      </c>
      <c r="H68" s="26">
        <f>IF(NOMENCLATURE_GEN!H68="","",IF(NOMENCLATURE_GEN!F68="ACO",NOMENCLATURE_GEN!H68+160,NOMENCLATURE_GEN!H68))</f>
        <v>1000</v>
      </c>
      <c r="I68" s="26">
        <f>IF(NOMENCLATURE_GEN!I68="","",NOMENCLATURE_GEN!I68)</f>
        <v>26250</v>
      </c>
      <c r="J68" s="56">
        <f>IF(NOMENCLATURE_GEN!J68="","",NOMENCLATURE_GEN!J68)</f>
        <v>18</v>
      </c>
      <c r="K68" s="12">
        <f>IFERROR(400/VLOOKUP(F68,données!$B$3:$D$30,3,FALSE),"")</f>
        <v>400</v>
      </c>
      <c r="L68" s="13">
        <f>IFERROR(3/VLOOKUP(F68,données!$B$3:$D$30,3,FALSE),"")</f>
        <v>3</v>
      </c>
      <c r="M68" s="13" t="str">
        <f>IF(L68="","",VLOOKUP(F68,données!$B$4:$I$30,8,FALSE))</f>
        <v>4+0</v>
      </c>
      <c r="N68" s="14" t="str">
        <f t="shared" si="1"/>
        <v>CAOUTCHOUC</v>
      </c>
      <c r="O68" s="514" t="str">
        <f t="shared" si="8"/>
        <v>G2 Haute resistance aux huiles</v>
      </c>
      <c r="P68" s="14" t="str">
        <f t="shared" si="2"/>
        <v>Ouverte</v>
      </c>
      <c r="Q68" s="326">
        <f>IF(K68="","",INT(((I68*2-VLOOKUP(F68,données!$B$4:$I$30,4,FALSE)+VLOOKUP(F68,données!$B$4:$I$30,5,FALSE)*NOMENCLATURE_GEN!O68+IF(OR(NOMENCLATURE_GEN!P68="",NOMENCLATURE_GEN!P68=0),0,2250)+NOMENCLATURE_GEN!Q68*2000)+0.3*H68+VLOOKUP(K68,données!$M$4:$Q$9,MATCH(L68,données!$M$3:$Q$3,0),FALSE)*(L68-1)+250)/1000)+1)</f>
        <v>54</v>
      </c>
      <c r="R68" s="14" t="str">
        <f>IF(K68="","",IF(OR(F68=données!$B$12,F68=données!$B$13),"Bande à bords",IF(J68&gt;données!$P$11,"Bande à chevrons","Bande lisse")))</f>
        <v>Bande à chevrons</v>
      </c>
      <c r="S68" s="654" t="s">
        <v>748</v>
      </c>
      <c r="T68" s="406" t="s">
        <v>542</v>
      </c>
      <c r="U68" s="406" t="s">
        <v>542</v>
      </c>
      <c r="V68" s="17"/>
    </row>
    <row r="69" spans="1:22" s="8" customFormat="1" ht="39.950000000000003" hidden="1" customHeight="1">
      <c r="A69" s="3"/>
      <c r="B69" s="25" t="str">
        <f>IF(NOMENCLATURE_GEN!B69="","",NOMENCLATURE_GEN!B69)</f>
        <v/>
      </c>
      <c r="C69" s="243" t="str">
        <f>IF(NOMENCLATURE_GEN!C69="","",NOMENCLATURE_GEN!C69)</f>
        <v/>
      </c>
      <c r="D69" s="4">
        <f>IF(NOMENCLATURE_GEN!D69="","",NOMENCLATURE_GEN!D69)</f>
        <v>155</v>
      </c>
      <c r="E69" s="4" t="str">
        <f ca="1">IF(NOMENCLATURE_GEN!E69="","",NOMENCLATURE_GEN!E69)</f>
        <v>A</v>
      </c>
      <c r="F69" s="4" t="str">
        <f>IF(NOMENCLATURE_GEN!F69="","",NOMENCLATURE_GEN!F69)</f>
        <v>TFM</v>
      </c>
      <c r="G69" s="154" t="str">
        <f>IF(NOMENCLATURE_GEN!G69="","",NOMENCLATURE_GEN!G69)</f>
        <v>Table densimétrique FM150 - Moteur balourd</v>
      </c>
      <c r="H69" s="26" t="str">
        <f>IF(NOMENCLATURE_GEN!H69="","",IF(NOMENCLATURE_GEN!F69="ACO",NOMENCLATURE_GEN!H69+160,NOMENCLATURE_GEN!H69))</f>
        <v/>
      </c>
      <c r="I69" s="26" t="str">
        <f>IF(NOMENCLATURE_GEN!I69="","",NOMENCLATURE_GEN!I69)</f>
        <v/>
      </c>
      <c r="J69" s="56" t="str">
        <f>IF(NOMENCLATURE_GEN!J69="","",NOMENCLATURE_GEN!J69)</f>
        <v/>
      </c>
      <c r="K69" s="12" t="str">
        <f>IFERROR(400/VLOOKUP(F69,données!$B$3:$D$30,3,FALSE),"")</f>
        <v/>
      </c>
      <c r="L69" s="13" t="str">
        <f>IFERROR(3/VLOOKUP(F69,données!$B$3:$D$30,3,FALSE),"")</f>
        <v/>
      </c>
      <c r="M69" s="13" t="str">
        <f>IF(L69="","",VLOOKUP(F69,données!$B$4:$I$30,8,FALSE))</f>
        <v/>
      </c>
      <c r="N69" s="14" t="str">
        <f t="shared" si="1"/>
        <v/>
      </c>
      <c r="O69" s="514" t="str">
        <f t="shared" si="8"/>
        <v/>
      </c>
      <c r="P69" s="14" t="str">
        <f t="shared" si="2"/>
        <v/>
      </c>
      <c r="Q69" s="326" t="str">
        <f>IF(K69="","",INT(((I69*2-VLOOKUP(F69,données!$B$4:$I$30,4,FALSE)+VLOOKUP(F69,données!$B$4:$I$30,5,FALSE)*NOMENCLATURE_GEN!O69+IF(OR(NOMENCLATURE_GEN!P69="",NOMENCLATURE_GEN!P69=0),0,2250)+NOMENCLATURE_GEN!Q69*2000)+0.3*H69+VLOOKUP(K69,données!$M$4:$Q$9,MATCH(L69,données!$M$3:$Q$3,0),FALSE)*(L69-1)+250)/1000)+1)</f>
        <v/>
      </c>
      <c r="R69" s="14" t="str">
        <f>IF(K69="","",IF(OR(F69=données!$B$12,F69=données!$B$13),"Bande à bords",IF(J69&gt;données!$P$11,"Bande à chevrons","Bande lisse")))</f>
        <v/>
      </c>
      <c r="S69" s="14" t="str">
        <f t="shared" si="3"/>
        <v/>
      </c>
      <c r="T69" s="406"/>
      <c r="U69" s="406"/>
      <c r="V69" s="17"/>
    </row>
    <row r="70" spans="1:22" s="8" customFormat="1" ht="39.950000000000003" hidden="1" customHeight="1">
      <c r="A70" s="3"/>
      <c r="B70" s="25" t="str">
        <f>IF(NOMENCLATURE_GEN!B70="","",NOMENCLATURE_GEN!B70)</f>
        <v/>
      </c>
      <c r="C70" s="243" t="str">
        <f>IF(NOMENCLATURE_GEN!C70="","",NOMENCLATURE_GEN!C70)</f>
        <v/>
      </c>
      <c r="D70" s="4">
        <f>IF(NOMENCLATURE_GEN!D70="","",NOMENCLATURE_GEN!D70)</f>
        <v>155</v>
      </c>
      <c r="E70" s="4" t="str">
        <f ca="1">IF(NOMENCLATURE_GEN!E70="","",NOMENCLATURE_GEN!E70)</f>
        <v>B</v>
      </c>
      <c r="F70" s="4" t="str">
        <f>IF(NOMENCLATURE_GEN!F70="","",NOMENCLATURE_GEN!F70)</f>
        <v>TFM</v>
      </c>
      <c r="G70" s="154" t="str">
        <f>IF(NOMENCLATURE_GEN!G70="","",NOMENCLATURE_GEN!G70)</f>
        <v>Table densimétrique FM150 - Ventilateur de fluidisation</v>
      </c>
      <c r="H70" s="26" t="str">
        <f>IF(NOMENCLATURE_GEN!H70="","",IF(NOMENCLATURE_GEN!F70="ACO",NOMENCLATURE_GEN!H70+160,NOMENCLATURE_GEN!H70))</f>
        <v/>
      </c>
      <c r="I70" s="26" t="str">
        <f>IF(NOMENCLATURE_GEN!I70="","",NOMENCLATURE_GEN!I70)</f>
        <v/>
      </c>
      <c r="J70" s="56" t="str">
        <f>IF(NOMENCLATURE_GEN!J70="","",NOMENCLATURE_GEN!J70)</f>
        <v/>
      </c>
      <c r="K70" s="12" t="str">
        <f>IFERROR(400/VLOOKUP(F70,données!$B$3:$D$30,3,FALSE),"")</f>
        <v/>
      </c>
      <c r="L70" s="13" t="str">
        <f>IFERROR(3/VLOOKUP(F70,données!$B$3:$D$30,3,FALSE),"")</f>
        <v/>
      </c>
      <c r="M70" s="13" t="str">
        <f>IF(L70="","",VLOOKUP(F70,données!$B$4:$I$30,8,FALSE))</f>
        <v/>
      </c>
      <c r="N70" s="14" t="str">
        <f t="shared" si="1"/>
        <v/>
      </c>
      <c r="O70" s="514" t="str">
        <f t="shared" si="8"/>
        <v/>
      </c>
      <c r="P70" s="14" t="str">
        <f t="shared" si="2"/>
        <v/>
      </c>
      <c r="Q70" s="326" t="str">
        <f>IF(K70="","",INT(((I70*2-VLOOKUP(F70,données!$B$4:$I$30,4,FALSE)+VLOOKUP(F70,données!$B$4:$I$30,5,FALSE)*NOMENCLATURE_GEN!O70+IF(OR(NOMENCLATURE_GEN!P70="",NOMENCLATURE_GEN!P70=0),0,2250)+NOMENCLATURE_GEN!Q70*2000)+0.3*H70+VLOOKUP(K70,données!$M$4:$Q$9,MATCH(L70,données!$M$3:$Q$3,0),FALSE)*(L70-1)+250)/1000)+1)</f>
        <v/>
      </c>
      <c r="R70" s="14" t="str">
        <f>IF(K70="","",IF(OR(F70=données!$B$12,F70=données!$B$13),"Bande à bords",IF(J70&gt;données!$P$11,"Bande à chevrons","Bande lisse")))</f>
        <v/>
      </c>
      <c r="S70" s="14" t="str">
        <f t="shared" si="3"/>
        <v/>
      </c>
      <c r="T70" s="406"/>
      <c r="U70" s="406"/>
      <c r="V70" s="17"/>
    </row>
    <row r="71" spans="1:22" s="8" customFormat="1" ht="39.950000000000003" hidden="1" customHeight="1">
      <c r="A71" s="3"/>
      <c r="B71" s="25" t="str">
        <f>IF(NOMENCLATURE_GEN!B71="","",NOMENCLATURE_GEN!B71)</f>
        <v/>
      </c>
      <c r="C71" s="243" t="str">
        <f>IF(NOMENCLATURE_GEN!C71="","",NOMENCLATURE_GEN!C71)</f>
        <v/>
      </c>
      <c r="D71" s="4">
        <f>IF(NOMENCLATURE_GEN!D71="","",NOMENCLATURE_GEN!D71)</f>
        <v>155</v>
      </c>
      <c r="E71" s="4" t="str">
        <f ca="1">IF(NOMENCLATURE_GEN!E71="","",NOMENCLATURE_GEN!E71)</f>
        <v>C</v>
      </c>
      <c r="F71" s="4" t="str">
        <f>IF(NOMENCLATURE_GEN!F71="","",NOMENCLATURE_GEN!F71)</f>
        <v>TFM</v>
      </c>
      <c r="G71" s="154" t="str">
        <f>IF(NOMENCLATURE_GEN!G71="","",NOMENCLATURE_GEN!G71)</f>
        <v>Table densimétrique FM150 - Ecluse utra lourds</v>
      </c>
      <c r="H71" s="26" t="str">
        <f>IF(NOMENCLATURE_GEN!H71="","",IF(NOMENCLATURE_GEN!F71="ACO",NOMENCLATURE_GEN!H71+160,NOMENCLATURE_GEN!H71))</f>
        <v/>
      </c>
      <c r="I71" s="26" t="str">
        <f>IF(NOMENCLATURE_GEN!I71="","",NOMENCLATURE_GEN!I71)</f>
        <v/>
      </c>
      <c r="J71" s="56" t="str">
        <f>IF(NOMENCLATURE_GEN!J71="","",NOMENCLATURE_GEN!J71)</f>
        <v/>
      </c>
      <c r="K71" s="12" t="str">
        <f>IFERROR(400/VLOOKUP(F71,données!$B$3:$D$30,3,FALSE),"")</f>
        <v/>
      </c>
      <c r="L71" s="13" t="str">
        <f>IFERROR(3/VLOOKUP(F71,données!$B$3:$D$30,3,FALSE),"")</f>
        <v/>
      </c>
      <c r="M71" s="13" t="str">
        <f>IF(L71="","",VLOOKUP(F71,données!$B$4:$I$30,8,FALSE))</f>
        <v/>
      </c>
      <c r="N71" s="14" t="str">
        <f t="shared" si="1"/>
        <v/>
      </c>
      <c r="O71" s="514" t="str">
        <f t="shared" si="8"/>
        <v/>
      </c>
      <c r="P71" s="14" t="str">
        <f t="shared" si="2"/>
        <v/>
      </c>
      <c r="Q71" s="326" t="str">
        <f>IF(K71="","",INT(((I71*2-VLOOKUP(F71,données!$B$4:$I$30,4,FALSE)+VLOOKUP(F71,données!$B$4:$I$30,5,FALSE)*NOMENCLATURE_GEN!O71+IF(OR(NOMENCLATURE_GEN!P71="",NOMENCLATURE_GEN!P71=0),0,2250)+NOMENCLATURE_GEN!Q71*2000)+0.3*H71+VLOOKUP(K71,données!$M$4:$Q$9,MATCH(L71,données!$M$3:$Q$3,0),FALSE)*(L71-1)+250)/1000)+1)</f>
        <v/>
      </c>
      <c r="R71" s="14" t="str">
        <f>IF(K71="","",IF(OR(F71=données!$B$12,F71=données!$B$13),"Bande à bords",IF(J71&gt;données!$P$11,"Bande à chevrons","Bande lisse")))</f>
        <v/>
      </c>
      <c r="S71" s="14" t="str">
        <f t="shared" si="3"/>
        <v/>
      </c>
      <c r="T71" s="406"/>
      <c r="U71" s="406"/>
      <c r="V71" s="17"/>
    </row>
    <row r="72" spans="1:22" s="8" customFormat="1" ht="39.950000000000003" hidden="1" customHeight="1">
      <c r="A72" s="3"/>
      <c r="B72" s="25" t="str">
        <f>IF(NOMENCLATURE_GEN!B72="","",NOMENCLATURE_GEN!B72)</f>
        <v/>
      </c>
      <c r="C72" s="243" t="str">
        <f>IF(NOMENCLATURE_GEN!C72="","",NOMENCLATURE_GEN!C72)</f>
        <v/>
      </c>
      <c r="D72" s="4">
        <f>IF(NOMENCLATURE_GEN!D72="","",NOMENCLATURE_GEN!D72)</f>
        <v>155</v>
      </c>
      <c r="E72" s="4" t="str">
        <f ca="1">IF(NOMENCLATURE_GEN!E72="","",NOMENCLATURE_GEN!E72)</f>
        <v>D</v>
      </c>
      <c r="F72" s="4" t="str">
        <f>IF(NOMENCLATURE_GEN!F72="","",NOMENCLATURE_GEN!F72)</f>
        <v>TFM</v>
      </c>
      <c r="G72" s="154" t="str">
        <f>IF(NOMENCLATURE_GEN!G72="","",NOMENCLATURE_GEN!G72)</f>
        <v>Table densimétrique FM150 - Clapet motorisé</v>
      </c>
      <c r="H72" s="26" t="str">
        <f>IF(NOMENCLATURE_GEN!H72="","",IF(NOMENCLATURE_GEN!F72="ACO",NOMENCLATURE_GEN!H72+160,NOMENCLATURE_GEN!H72))</f>
        <v/>
      </c>
      <c r="I72" s="26" t="str">
        <f>IF(NOMENCLATURE_GEN!I72="","",NOMENCLATURE_GEN!I72)</f>
        <v/>
      </c>
      <c r="J72" s="56" t="str">
        <f>IF(NOMENCLATURE_GEN!J72="","",NOMENCLATURE_GEN!J72)</f>
        <v/>
      </c>
      <c r="K72" s="12" t="str">
        <f>IFERROR(400/VLOOKUP(F72,données!$B$3:$D$30,3,FALSE),"")</f>
        <v/>
      </c>
      <c r="L72" s="13" t="str">
        <f>IFERROR(3/VLOOKUP(F72,données!$B$3:$D$30,3,FALSE),"")</f>
        <v/>
      </c>
      <c r="M72" s="13" t="str">
        <f>IF(L72="","",VLOOKUP(F72,données!$B$4:$I$30,8,FALSE))</f>
        <v/>
      </c>
      <c r="N72" s="14" t="str">
        <f t="shared" si="1"/>
        <v/>
      </c>
      <c r="O72" s="514" t="str">
        <f t="shared" si="8"/>
        <v/>
      </c>
      <c r="P72" s="14" t="str">
        <f t="shared" si="2"/>
        <v/>
      </c>
      <c r="Q72" s="326" t="str">
        <f>IF(K72="","",INT(((I72*2-VLOOKUP(F72,données!$B$4:$I$30,4,FALSE)+VLOOKUP(F72,données!$B$4:$I$30,5,FALSE)*NOMENCLATURE_GEN!O72+IF(OR(NOMENCLATURE_GEN!P72="",NOMENCLATURE_GEN!P72=0),0,2250)+NOMENCLATURE_GEN!Q72*2000)+0.3*H72+VLOOKUP(K72,données!$M$4:$Q$9,MATCH(L72,données!$M$3:$Q$3,0),FALSE)*(L72-1)+250)/1000)+1)</f>
        <v/>
      </c>
      <c r="R72" s="14" t="str">
        <f>IF(K72="","",IF(OR(F72=données!$B$12,F72=données!$B$13),"Bande à bords",IF(J72&gt;données!$P$11,"Bande à chevrons","Bande lisse")))</f>
        <v/>
      </c>
      <c r="S72" s="14" t="str">
        <f t="shared" si="3"/>
        <v/>
      </c>
      <c r="T72" s="406"/>
      <c r="U72" s="406"/>
      <c r="V72" s="17"/>
    </row>
    <row r="73" spans="1:22" s="8" customFormat="1" ht="39.950000000000003" hidden="1" customHeight="1">
      <c r="A73" s="3"/>
      <c r="B73" s="25" t="str">
        <f>IF(NOMENCLATURE_GEN!B73="","",NOMENCLATURE_GEN!B73)</f>
        <v/>
      </c>
      <c r="C73" s="243" t="str">
        <f>IF(NOMENCLATURE_GEN!C73="","",NOMENCLATURE_GEN!C73)</f>
        <v/>
      </c>
      <c r="D73" s="4">
        <f>IF(NOMENCLATURE_GEN!D73="","",NOMENCLATURE_GEN!D73)</f>
        <v>156</v>
      </c>
      <c r="E73" s="4" t="str">
        <f ca="1">IF(NOMENCLATURE_GEN!E73="","",NOMENCLATURE_GEN!E73)</f>
        <v>A</v>
      </c>
      <c r="F73" s="4" t="str">
        <f>IF(NOMENCLATURE_GEN!F73="","",NOMENCLATURE_GEN!F73)</f>
        <v>TBE</v>
      </c>
      <c r="G73" s="154" t="str">
        <f>IF(NOMENCLATURE_GEN!G73="","",NOMENCLATURE_GEN!G73)</f>
        <v>Convoyeur de reprise des refus lourds et transfert vers centralisation</v>
      </c>
      <c r="H73" s="26">
        <f>IF(NOMENCLATURE_GEN!H73="","",IF(NOMENCLATURE_GEN!F73="ACO",NOMENCLATURE_GEN!H73+160,NOMENCLATURE_GEN!H73))</f>
        <v>800</v>
      </c>
      <c r="I73" s="26">
        <f>IF(NOMENCLATURE_GEN!I73="","",NOMENCLATURE_GEN!I73)</f>
        <v>3000</v>
      </c>
      <c r="J73" s="56">
        <f>IF(NOMENCLATURE_GEN!J73="","",NOMENCLATURE_GEN!J73)</f>
        <v>0</v>
      </c>
      <c r="K73" s="12">
        <f>IFERROR(400/VLOOKUP(F73,données!$B$3:$D$30,3,FALSE),"")</f>
        <v>400</v>
      </c>
      <c r="L73" s="13">
        <f>IFERROR(3/VLOOKUP(F73,données!$B$3:$D$30,3,FALSE),"")</f>
        <v>3</v>
      </c>
      <c r="M73" s="13" t="str">
        <f>IF(L73="","",VLOOKUP(F73,données!$B$4:$I$30,8,FALSE))</f>
        <v>4+0</v>
      </c>
      <c r="N73" s="14" t="str">
        <f t="shared" si="1"/>
        <v>CAOUTCHOUC</v>
      </c>
      <c r="O73" s="514" t="str">
        <f t="shared" si="8"/>
        <v>G2 Haute resistance aux huiles</v>
      </c>
      <c r="P73" s="14" t="str">
        <f t="shared" si="2"/>
        <v>Ouverte</v>
      </c>
      <c r="Q73" s="326">
        <f>IF(K73="","",INT(((I73*2-VLOOKUP(F73,données!$B$4:$I$30,4,FALSE)+VLOOKUP(F73,données!$B$4:$I$30,5,FALSE)*NOMENCLATURE_GEN!O73+IF(OR(NOMENCLATURE_GEN!P73="",NOMENCLATURE_GEN!P73=0),0,2250)+NOMENCLATURE_GEN!Q73*2000)+0.3*H73+VLOOKUP(K73,données!$M$4:$Q$9,MATCH(L73,données!$M$3:$Q$3,0),FALSE)*(L73-1)+250)/1000)+1)</f>
        <v>7</v>
      </c>
      <c r="R73" s="14" t="str">
        <f>IF(K73="","",IF(OR(F73=données!$B$12,F73=données!$B$13),"Bande à bords",IF(J73&gt;données!$P$11,"Bande à chevrons","Bande lisse")))</f>
        <v>Bande lisse</v>
      </c>
      <c r="S73" s="14" t="str">
        <f t="shared" si="3"/>
        <v/>
      </c>
      <c r="T73" s="652" t="s">
        <v>542</v>
      </c>
      <c r="U73" s="652" t="s">
        <v>542</v>
      </c>
      <c r="V73" s="17"/>
    </row>
    <row r="74" spans="1:22" s="8" customFormat="1" ht="39.950000000000003" hidden="1" customHeight="1">
      <c r="A74" s="3"/>
      <c r="B74" s="25" t="str">
        <f>IF(NOMENCLATURE_GEN!B74="","",NOMENCLATURE_GEN!B74)</f>
        <v/>
      </c>
      <c r="C74" s="243" t="str">
        <f>IF(NOMENCLATURE_GEN!C74="","",NOMENCLATURE_GEN!C74)</f>
        <v/>
      </c>
      <c r="D74" s="4">
        <f>IF(NOMENCLATURE_GEN!D74="","",NOMENCLATURE_GEN!D74)</f>
        <v>157</v>
      </c>
      <c r="E74" s="4" t="str">
        <f ca="1">IF(NOMENCLATURE_GEN!E74="","",NOMENCLATURE_GEN!E74)</f>
        <v>A</v>
      </c>
      <c r="F74" s="4" t="str">
        <f>IF(NOMENCLATURE_GEN!F74="","",NOMENCLATURE_GEN!F74)</f>
        <v>TBE</v>
      </c>
      <c r="G74" s="154" t="str">
        <f>IF(NOMENCLATURE_GEN!G74="","",NOMENCLATURE_GEN!G74)</f>
        <v>Convoyeur de reprise des refus lourds et transfert vers centralisation</v>
      </c>
      <c r="H74" s="26">
        <f>IF(NOMENCLATURE_GEN!H74="","",IF(NOMENCLATURE_GEN!F74="ACO",NOMENCLATURE_GEN!H74+160,NOMENCLATURE_GEN!H74))</f>
        <v>800</v>
      </c>
      <c r="I74" s="624">
        <f>IF(NOMENCLATURE_GEN!I74="","",NOMENCLATURE_GEN!I74)</f>
        <v>10000</v>
      </c>
      <c r="J74" s="56">
        <f>IF(NOMENCLATURE_GEN!J74="","",NOMENCLATURE_GEN!J74)</f>
        <v>6</v>
      </c>
      <c r="K74" s="12">
        <f>IFERROR(400/VLOOKUP(F74,données!$B$3:$D$30,3,FALSE),"")</f>
        <v>400</v>
      </c>
      <c r="L74" s="13">
        <f>IFERROR(3/VLOOKUP(F74,données!$B$3:$D$30,3,FALSE),"")</f>
        <v>3</v>
      </c>
      <c r="M74" s="13" t="str">
        <f>IF(L74="","",VLOOKUP(F74,données!$B$4:$I$30,8,FALSE))</f>
        <v>4+0</v>
      </c>
      <c r="N74" s="14" t="str">
        <f t="shared" si="1"/>
        <v>CAOUTCHOUC</v>
      </c>
      <c r="O74" s="514" t="str">
        <f t="shared" si="8"/>
        <v>G2 Haute resistance aux huiles</v>
      </c>
      <c r="P74" s="14" t="str">
        <f t="shared" si="2"/>
        <v>Ouverte</v>
      </c>
      <c r="Q74" s="326">
        <f>IF(K74="","",INT(((I74*2-VLOOKUP(F74,données!$B$4:$I$30,4,FALSE)+VLOOKUP(F74,données!$B$4:$I$30,5,FALSE)*NOMENCLATURE_GEN!O74+IF(OR(NOMENCLATURE_GEN!P74="",NOMENCLATURE_GEN!P74=0),0,2250)+NOMENCLATURE_GEN!Q74*2000)+0.3*H74+VLOOKUP(K74,données!$M$4:$Q$9,MATCH(L74,données!$M$3:$Q$3,0),FALSE)*(L74-1)+250)/1000)+1)</f>
        <v>21</v>
      </c>
      <c r="R74" s="14" t="str">
        <f>IF(K74="","",IF(OR(F74=données!$B$12,F74=données!$B$13),"Bande à bords",IF(J74&gt;données!$P$11,"Bande à chevrons","Bande lisse")))</f>
        <v>Bande lisse</v>
      </c>
      <c r="S74" s="14" t="str">
        <f t="shared" si="3"/>
        <v/>
      </c>
      <c r="T74" s="406" t="s">
        <v>542</v>
      </c>
      <c r="U74" s="406" t="s">
        <v>542</v>
      </c>
      <c r="V74" s="17"/>
    </row>
    <row r="75" spans="1:22" s="8" customFormat="1" ht="39.950000000000003" hidden="1" customHeight="1">
      <c r="A75" s="3"/>
      <c r="B75" s="25" t="str">
        <f>IF(NOMENCLATURE_GEN!B75="","",NOMENCLATURE_GEN!B75)</f>
        <v/>
      </c>
      <c r="C75" s="243" t="str">
        <f>IF(NOMENCLATURE_GEN!C75="","",NOMENCLATURE_GEN!C75)</f>
        <v/>
      </c>
      <c r="D75" s="4">
        <f>IF(NOMENCLATURE_GEN!D75="","",NOMENCLATURE_GEN!D75)</f>
        <v>158</v>
      </c>
      <c r="E75" s="4" t="str">
        <f ca="1">IF(NOMENCLATURE_GEN!E75="","",NOMENCLATURE_GEN!E75)</f>
        <v>A</v>
      </c>
      <c r="F75" s="4" t="str">
        <f>IF(NOMENCLATURE_GEN!F75="","",NOMENCLATURE_GEN!F75)</f>
        <v>TBE</v>
      </c>
      <c r="G75" s="154" t="str">
        <f>IF(NOMENCLATURE_GEN!G75="","",NOMENCLATURE_GEN!G75)</f>
        <v>Convoyeur de reprise des lourds 0-8mm</v>
      </c>
      <c r="H75" s="26">
        <f>IF(NOMENCLATURE_GEN!H75="","",IF(NOMENCLATURE_GEN!F75="ACO",NOMENCLATURE_GEN!H75+160,NOMENCLATURE_GEN!H75))</f>
        <v>1800</v>
      </c>
      <c r="I75" s="26">
        <f>IF(NOMENCLATURE_GEN!I75="","",NOMENCLATURE_GEN!I75)</f>
        <v>4000</v>
      </c>
      <c r="J75" s="56">
        <f>IF(NOMENCLATURE_GEN!J75="","",NOMENCLATURE_GEN!J75)</f>
        <v>12</v>
      </c>
      <c r="K75" s="12">
        <f>IFERROR(400/VLOOKUP(F75,données!$B$3:$D$30,3,FALSE),"")</f>
        <v>400</v>
      </c>
      <c r="L75" s="13">
        <f>IFERROR(3/VLOOKUP(F75,données!$B$3:$D$30,3,FALSE),"")</f>
        <v>3</v>
      </c>
      <c r="M75" s="13" t="str">
        <f>IF(L75="","",VLOOKUP(F75,données!$B$4:$I$30,8,FALSE))</f>
        <v>4+0</v>
      </c>
      <c r="N75" s="14" t="str">
        <f t="shared" si="1"/>
        <v>CAOUTCHOUC</v>
      </c>
      <c r="O75" s="514" t="str">
        <f t="shared" ref="O75:O139" si="11">IF(L75="","","G2 Haute resistance aux huiles")</f>
        <v>G2 Haute resistance aux huiles</v>
      </c>
      <c r="P75" s="14" t="str">
        <f t="shared" si="2"/>
        <v>Ouverte</v>
      </c>
      <c r="Q75" s="326">
        <f>IF(K75="","",INT(((I75*2-VLOOKUP(F75,données!$B$4:$I$30,4,FALSE)+VLOOKUP(F75,données!$B$4:$I$30,5,FALSE)*NOMENCLATURE_GEN!O75+IF(OR(NOMENCLATURE_GEN!P75="",NOMENCLATURE_GEN!P75=0),0,2250)+NOMENCLATURE_GEN!Q75*2000)+0.3*H75+VLOOKUP(K75,données!$M$4:$Q$9,MATCH(L75,données!$M$3:$Q$3,0),FALSE)*(L75-1)+250)/1000)+1)</f>
        <v>10</v>
      </c>
      <c r="R75" s="14" t="str">
        <f>IF(K75="","",IF(OR(F75=données!$B$12,F75=données!$B$13),"Bande à bords",IF(J75&gt;données!$P$11,"Bande à chevrons","Bande lisse")))</f>
        <v>Bande lisse</v>
      </c>
      <c r="S75" s="14" t="str">
        <f t="shared" si="3"/>
        <v/>
      </c>
      <c r="T75" s="652" t="s">
        <v>542</v>
      </c>
      <c r="U75" s="652" t="s">
        <v>542</v>
      </c>
      <c r="V75" s="17"/>
    </row>
    <row r="76" spans="1:22" s="8" customFormat="1" ht="39.950000000000003" hidden="1" customHeight="1">
      <c r="A76" s="3"/>
      <c r="B76" s="25" t="str">
        <f>IF(NOMENCLATURE_GEN!B76="","",NOMENCLATURE_GEN!B76)</f>
        <v>SUP</v>
      </c>
      <c r="C76" s="243" t="str">
        <f>IF(NOMENCLATURE_GEN!C76="","",NOMENCLATURE_GEN!C76)</f>
        <v/>
      </c>
      <c r="D76" s="4">
        <f>IF(NOMENCLATURE_GEN!D76="","",NOMENCLATURE_GEN!D76)</f>
        <v>159</v>
      </c>
      <c r="E76" s="4" t="str">
        <f ca="1">IF(NOMENCLATURE_GEN!E76="","",NOMENCLATURE_GEN!E76)</f>
        <v>A</v>
      </c>
      <c r="F76" s="4" t="str">
        <f>IF(NOMENCLATURE_GEN!F76="","",NOMENCLATURE_GEN!F76)</f>
        <v>GLT</v>
      </c>
      <c r="G76" s="154" t="str">
        <f>IF(NOMENCLATURE_GEN!G76="","",NOMENCLATURE_GEN!G76)</f>
        <v>Goulotte de reprise des légers de la table FM150</v>
      </c>
      <c r="H76" s="26" t="str">
        <f>IF(NOMENCLATURE_GEN!H76="","",IF(NOMENCLATURE_GEN!F76="ACO",NOMENCLATURE_GEN!H76+160,NOMENCLATURE_GEN!H76))</f>
        <v/>
      </c>
      <c r="I76" s="26" t="str">
        <f>IF(NOMENCLATURE_GEN!I76="","",NOMENCLATURE_GEN!I76)</f>
        <v/>
      </c>
      <c r="J76" s="56" t="str">
        <f>IF(NOMENCLATURE_GEN!J76="","",NOMENCLATURE_GEN!J76)</f>
        <v/>
      </c>
      <c r="K76" s="12" t="str">
        <f>IFERROR(400/VLOOKUP(F76,données!$B$3:$D$30,3,FALSE),"")</f>
        <v/>
      </c>
      <c r="L76" s="13" t="str">
        <f>IFERROR(3/VLOOKUP(F76,données!$B$3:$D$30,3,FALSE),"")</f>
        <v/>
      </c>
      <c r="M76" s="13" t="str">
        <f>IF(L76="","",VLOOKUP(F76,données!$B$4:$I$30,8,FALSE))</f>
        <v/>
      </c>
      <c r="N76" s="14" t="str">
        <f t="shared" ref="N76:N124" si="12">IF(L76="","","CAOUTCHOUC")</f>
        <v/>
      </c>
      <c r="O76" s="514" t="str">
        <f t="shared" si="11"/>
        <v/>
      </c>
      <c r="P76" s="14" t="str">
        <f t="shared" ref="P76:P124" si="13">IF(L76="","","Ouverte")</f>
        <v/>
      </c>
      <c r="Q76" s="326" t="str">
        <f>IF(K76="","",INT(((I76*2-VLOOKUP(F76,données!$B$4:$I$30,4,FALSE)+VLOOKUP(F76,données!$B$4:$I$30,5,FALSE)*NOMENCLATURE_GEN!O76+IF(OR(NOMENCLATURE_GEN!P76="",NOMENCLATURE_GEN!P76=0),0,2250)+NOMENCLATURE_GEN!Q76*2000)+0.3*H76+VLOOKUP(K76,données!$M$4:$Q$9,MATCH(L76,données!$M$3:$Q$3,0),FALSE)*(L76-1)+250)/1000)+1)</f>
        <v/>
      </c>
      <c r="R76" s="14" t="str">
        <f>IF(K76="","",IF(OR(F76=données!$B$12,F76=données!$B$13),"Bande à bords",IF(J76&gt;données!$P$11,"Bande à chevrons","Bande lisse")))</f>
        <v/>
      </c>
      <c r="S76" s="14" t="str">
        <f t="shared" ref="S76:S124" si="14">IFERROR(_xlfn.IFS(R76="Bande à bords",CONCATENATE("EAB",H76*100+350),R76="Bande à tasseaux",IF(H76&lt;1000,CONCATENATE("TBE0",H76,"048"),CONCATENATE("TBE",H76,"048"))),"")</f>
        <v/>
      </c>
      <c r="T76" s="406"/>
      <c r="U76" s="406"/>
      <c r="V76" s="17"/>
    </row>
    <row r="77" spans="1:22" s="8" customFormat="1" ht="39.950000000000003" hidden="1" customHeight="1">
      <c r="A77" s="3"/>
      <c r="B77" s="25" t="str">
        <f>IF(NOMENCLATURE_GEN!B77="","",NOMENCLATURE_GEN!B77)</f>
        <v/>
      </c>
      <c r="C77" s="243" t="str">
        <f>IF(NOMENCLATURE_GEN!C77="","",NOMENCLATURE_GEN!C77)</f>
        <v/>
      </c>
      <c r="D77" s="4">
        <f>IF(NOMENCLATURE_GEN!D77="","",NOMENCLATURE_GEN!D77)</f>
        <v>160</v>
      </c>
      <c r="E77" s="4" t="str">
        <f ca="1">IF(NOMENCLATURE_GEN!E77="","",NOMENCLATURE_GEN!E77)</f>
        <v>A</v>
      </c>
      <c r="F77" s="4" t="str">
        <f>IF(NOMENCLATURE_GEN!F77="","",NOMENCLATURE_GEN!F77)</f>
        <v>TBE</v>
      </c>
      <c r="G77" s="154" t="str">
        <f>IF(NOMENCLATURE_GEN!G77="","",NOMENCLATURE_GEN!G77)</f>
        <v>Convoyeur double sens de remplissage de la benne FFOM</v>
      </c>
      <c r="H77" s="26">
        <f>IF(NOMENCLATURE_GEN!H77="","",IF(NOMENCLATURE_GEN!F77="ACO",NOMENCLATURE_GEN!H77+160,NOMENCLATURE_GEN!H77))</f>
        <v>800</v>
      </c>
      <c r="I77" s="624">
        <f>IF(NOMENCLATURE_GEN!I77="","",NOMENCLATURE_GEN!I77)</f>
        <v>5000</v>
      </c>
      <c r="J77" s="56">
        <f>IF(NOMENCLATURE_GEN!J77="","",NOMENCLATURE_GEN!J77)</f>
        <v>0</v>
      </c>
      <c r="K77" s="12">
        <f>IFERROR(400/VLOOKUP(F77,données!$B$3:$D$30,3,FALSE),"")</f>
        <v>400</v>
      </c>
      <c r="L77" s="13">
        <f>IFERROR(3/VLOOKUP(F77,données!$B$3:$D$30,3,FALSE),"")</f>
        <v>3</v>
      </c>
      <c r="M77" s="13" t="str">
        <f>IF(L77="","",VLOOKUP(F77,données!$B$4:$I$30,8,FALSE))</f>
        <v>4+0</v>
      </c>
      <c r="N77" s="14" t="str">
        <f t="shared" si="12"/>
        <v>CAOUTCHOUC</v>
      </c>
      <c r="O77" s="514" t="str">
        <f t="shared" si="11"/>
        <v>G2 Haute resistance aux huiles</v>
      </c>
      <c r="P77" s="14" t="str">
        <f t="shared" si="13"/>
        <v>Ouverte</v>
      </c>
      <c r="Q77" s="326">
        <f>IF(K77="","",INT(((I77*2-VLOOKUP(F77,données!$B$4:$I$30,4,FALSE)+VLOOKUP(F77,données!$B$4:$I$30,5,FALSE)*NOMENCLATURE_GEN!O77+IF(OR(NOMENCLATURE_GEN!P77="",NOMENCLATURE_GEN!P77=0),0,2250)+NOMENCLATURE_GEN!Q77*2000)+0.3*H77+VLOOKUP(K77,données!$M$4:$Q$9,MATCH(L77,données!$M$3:$Q$3,0),FALSE)*(L77-1)+250)/1000)+1)</f>
        <v>11</v>
      </c>
      <c r="R77" s="14" t="str">
        <f>IF(K77="","",IF(OR(F77=données!$B$12,F77=données!$B$13),"Bande à bords",IF(J77&gt;données!$P$11,"Bande à chevrons","Bande lisse")))</f>
        <v>Bande lisse</v>
      </c>
      <c r="S77" s="14" t="str">
        <f t="shared" si="14"/>
        <v/>
      </c>
      <c r="T77" s="652" t="s">
        <v>542</v>
      </c>
      <c r="U77" s="652" t="s">
        <v>542</v>
      </c>
      <c r="V77" s="17"/>
    </row>
    <row r="78" spans="1:22" s="8" customFormat="1" ht="39.950000000000003" hidden="1" customHeight="1">
      <c r="A78" s="3"/>
      <c r="B78" s="25" t="str">
        <f>IF(NOMENCLATURE_GEN!B78="","",NOMENCLATURE_GEN!B78)</f>
        <v/>
      </c>
      <c r="C78" s="243" t="str">
        <f>IF(NOMENCLATURE_GEN!C78="","",NOMENCLATURE_GEN!C78)</f>
        <v/>
      </c>
      <c r="D78" s="4">
        <f>IF(NOMENCLATURE_GEN!D78="","",NOMENCLATURE_GEN!D78)</f>
        <v>161</v>
      </c>
      <c r="E78" s="4" t="str">
        <f ca="1">IF(NOMENCLATURE_GEN!E78="","",NOMENCLATURE_GEN!E78)</f>
        <v>A</v>
      </c>
      <c r="F78" s="4" t="str">
        <f>IF(NOMENCLATURE_GEN!F78="","",NOMENCLATURE_GEN!F78)</f>
        <v>NAV</v>
      </c>
      <c r="G78" s="154" t="str">
        <f>IF(NOMENCLATURE_GEN!G78="","",NOMENCLATURE_GEN!G78)</f>
        <v>Système navette pour convoyeur double sens</v>
      </c>
      <c r="H78" s="26" t="str">
        <f>IF(NOMENCLATURE_GEN!H78="","",IF(NOMENCLATURE_GEN!F78="ACO",NOMENCLATURE_GEN!H78+160,NOMENCLATURE_GEN!H78))</f>
        <v/>
      </c>
      <c r="I78" s="26" t="str">
        <f>IF(NOMENCLATURE_GEN!I78="","",NOMENCLATURE_GEN!I78)</f>
        <v/>
      </c>
      <c r="J78" s="56" t="str">
        <f>IF(NOMENCLATURE_GEN!J78="","",NOMENCLATURE_GEN!J78)</f>
        <v/>
      </c>
      <c r="K78" s="12" t="str">
        <f>IFERROR(400/VLOOKUP(F78,données!$B$3:$D$30,3,FALSE),"")</f>
        <v/>
      </c>
      <c r="L78" s="13" t="str">
        <f>IFERROR(3/VLOOKUP(F78,données!$B$3:$D$30,3,FALSE),"")</f>
        <v/>
      </c>
      <c r="M78" s="13" t="str">
        <f>IF(L78="","",VLOOKUP(F78,données!$B$4:$I$30,8,FALSE))</f>
        <v/>
      </c>
      <c r="N78" s="14" t="str">
        <f t="shared" si="12"/>
        <v/>
      </c>
      <c r="O78" s="514" t="str">
        <f t="shared" si="11"/>
        <v/>
      </c>
      <c r="P78" s="14" t="str">
        <f t="shared" si="13"/>
        <v/>
      </c>
      <c r="Q78" s="326" t="str">
        <f>IF(K78="","",INT(((I78*2-VLOOKUP(F78,données!$B$4:$I$30,4,FALSE)+VLOOKUP(F78,données!$B$4:$I$30,5,FALSE)*NOMENCLATURE_GEN!O78+IF(OR(NOMENCLATURE_GEN!P78="",NOMENCLATURE_GEN!P78=0),0,2250)+NOMENCLATURE_GEN!Q78*2000)+0.3*H78+VLOOKUP(K78,données!$M$4:$Q$9,MATCH(L78,données!$M$3:$Q$3,0),FALSE)*(L78-1)+250)/1000)+1)</f>
        <v/>
      </c>
      <c r="R78" s="14" t="str">
        <f>IF(K78="","",IF(OR(F78=données!$B$12,F78=données!$B$13),"Bande à bords",IF(J78&gt;données!$P$11,"Bande à chevrons","Bande lisse")))</f>
        <v/>
      </c>
      <c r="S78" s="14" t="str">
        <f t="shared" si="14"/>
        <v/>
      </c>
      <c r="T78" s="406"/>
      <c r="U78" s="406"/>
      <c r="V78" s="17"/>
    </row>
    <row r="79" spans="1:22" s="8" customFormat="1" ht="39.950000000000003" hidden="1" customHeight="1">
      <c r="A79" s="3"/>
      <c r="B79" s="25" t="str">
        <f>IF(NOMENCLATURE_GEN!B79="","",NOMENCLATURE_GEN!B79)</f>
        <v/>
      </c>
      <c r="C79" s="243" t="str">
        <f>IF(NOMENCLATURE_GEN!C79="","",NOMENCLATURE_GEN!C79)</f>
        <v/>
      </c>
      <c r="D79" s="4">
        <f>IF(NOMENCLATURE_GEN!D79="","",NOMENCLATURE_GEN!D79)</f>
        <v>162</v>
      </c>
      <c r="E79" s="4" t="str">
        <f ca="1">IF(NOMENCLATURE_GEN!E79="","",NOMENCLATURE_GEN!E79)</f>
        <v>A</v>
      </c>
      <c r="F79" s="4" t="str">
        <f>IF(NOMENCLATURE_GEN!F79="","",NOMENCLATURE_GEN!F79)</f>
        <v>TBE</v>
      </c>
      <c r="G79" s="154" t="str">
        <f>IF(NOMENCLATURE_GEN!G79="","",NOMENCLATURE_GEN!G79)</f>
        <v>Convoyeur de reprise des aciers 0-30 et &gt; 180mm</v>
      </c>
      <c r="H79" s="26">
        <f>IF(NOMENCLATURE_GEN!H79="","",IF(NOMENCLATURE_GEN!F79="ACO",NOMENCLATURE_GEN!H79+160,NOMENCLATURE_GEN!H79))</f>
        <v>1000</v>
      </c>
      <c r="I79" s="26">
        <f>IF(NOMENCLATURE_GEN!I79="","",NOMENCLATURE_GEN!I79)</f>
        <v>15500</v>
      </c>
      <c r="J79" s="56">
        <f>IF(NOMENCLATURE_GEN!J79="","",NOMENCLATURE_GEN!J79)</f>
        <v>0</v>
      </c>
      <c r="K79" s="12">
        <f>IFERROR(400/VLOOKUP(F79,données!$B$3:$D$30,3,FALSE),"")</f>
        <v>400</v>
      </c>
      <c r="L79" s="13">
        <f>IFERROR(3/VLOOKUP(F79,données!$B$3:$D$30,3,FALSE),"")</f>
        <v>3</v>
      </c>
      <c r="M79" s="13" t="str">
        <f>IF(L79="","",VLOOKUP(F79,données!$B$4:$I$30,8,FALSE))</f>
        <v>4+0</v>
      </c>
      <c r="N79" s="14" t="str">
        <f t="shared" si="12"/>
        <v>CAOUTCHOUC</v>
      </c>
      <c r="O79" s="514" t="str">
        <f t="shared" si="11"/>
        <v>G2 Haute resistance aux huiles</v>
      </c>
      <c r="P79" s="14" t="str">
        <f t="shared" si="13"/>
        <v>Ouverte</v>
      </c>
      <c r="Q79" s="326">
        <f>IF(K79="","",INT(((I79*2-VLOOKUP(F79,données!$B$4:$I$30,4,FALSE)+VLOOKUP(F79,données!$B$4:$I$30,5,FALSE)*NOMENCLATURE_GEN!O79+IF(OR(NOMENCLATURE_GEN!P79="",NOMENCLATURE_GEN!P79=0),0,2250)+NOMENCLATURE_GEN!Q79*2000)+0.3*H79+VLOOKUP(K79,données!$M$4:$Q$9,MATCH(L79,données!$M$3:$Q$3,0),FALSE)*(L79-1)+250)/1000)+1)</f>
        <v>33</v>
      </c>
      <c r="R79" s="14" t="str">
        <f>IF(K79="","",IF(OR(F79=données!$B$12,F79=données!$B$13),"Bande à bords",IF(J79&gt;données!$P$11,"Bande à chevrons","Bande lisse")))</f>
        <v>Bande lisse</v>
      </c>
      <c r="S79" s="14" t="str">
        <f t="shared" si="14"/>
        <v/>
      </c>
      <c r="T79" s="406" t="s">
        <v>542</v>
      </c>
      <c r="U79" s="406" t="s">
        <v>542</v>
      </c>
      <c r="V79" s="17"/>
    </row>
    <row r="80" spans="1:22" s="8" customFormat="1" ht="39.950000000000003" hidden="1" customHeight="1">
      <c r="A80" s="3"/>
      <c r="B80" s="25" t="str">
        <f>IF(NOMENCLATURE_GEN!B80="","",NOMENCLATURE_GEN!B80)</f>
        <v/>
      </c>
      <c r="C80" s="243" t="str">
        <f>IF(NOMENCLATURE_GEN!C80="","",NOMENCLATURE_GEN!C80)</f>
        <v/>
      </c>
      <c r="D80" s="4">
        <f>IF(NOMENCLATURE_GEN!D80="","",NOMENCLATURE_GEN!D80)</f>
        <v>163</v>
      </c>
      <c r="E80" s="4" t="str">
        <f ca="1">IF(NOMENCLATURE_GEN!E80="","",NOMENCLATURE_GEN!E80)</f>
        <v>A</v>
      </c>
      <c r="F80" s="4" t="str">
        <f>IF(NOMENCLATURE_GEN!F80="","",NOMENCLATURE_GEN!F80)</f>
        <v>TBE</v>
      </c>
      <c r="G80" s="154" t="str">
        <f>IF(NOMENCLATURE_GEN!G80="","",NOMENCLATURE_GEN!G80)</f>
        <v>Convoyeur de centralisation des aciers</v>
      </c>
      <c r="H80" s="26">
        <f>IF(NOMENCLATURE_GEN!H80="","",IF(NOMENCLATURE_GEN!F80="ACO",NOMENCLATURE_GEN!H80+160,NOMENCLATURE_GEN!H80))</f>
        <v>1000</v>
      </c>
      <c r="I80" s="26">
        <f>IF(NOMENCLATURE_GEN!I80="","",NOMENCLATURE_GEN!I80)</f>
        <v>4000</v>
      </c>
      <c r="J80" s="56">
        <f>IF(NOMENCLATURE_GEN!J80="","",NOMENCLATURE_GEN!J80)</f>
        <v>15</v>
      </c>
      <c r="K80" s="12">
        <f>IFERROR(400/VLOOKUP(F80,données!$B$3:$D$30,3,FALSE),"")</f>
        <v>400</v>
      </c>
      <c r="L80" s="13">
        <f>IFERROR(3/VLOOKUP(F80,données!$B$3:$D$30,3,FALSE),"")</f>
        <v>3</v>
      </c>
      <c r="M80" s="13" t="str">
        <f>IF(L80="","",VLOOKUP(F80,données!$B$4:$I$30,8,FALSE))</f>
        <v>4+0</v>
      </c>
      <c r="N80" s="14" t="str">
        <f t="shared" si="12"/>
        <v>CAOUTCHOUC</v>
      </c>
      <c r="O80" s="514" t="str">
        <f t="shared" si="11"/>
        <v>G2 Haute resistance aux huiles</v>
      </c>
      <c r="P80" s="14" t="str">
        <f t="shared" si="13"/>
        <v>Ouverte</v>
      </c>
      <c r="Q80" s="326">
        <f>IF(K80="","",INT(((I80*2-VLOOKUP(F80,données!$B$4:$I$30,4,FALSE)+VLOOKUP(F80,données!$B$4:$I$30,5,FALSE)*NOMENCLATURE_GEN!O80+IF(OR(NOMENCLATURE_GEN!P80="",NOMENCLATURE_GEN!P80=0),0,2250)+NOMENCLATURE_GEN!Q80*2000)+0.3*H80+VLOOKUP(K80,données!$M$4:$Q$9,MATCH(L80,données!$M$3:$Q$3,0),FALSE)*(L80-1)+250)/1000)+1)</f>
        <v>10</v>
      </c>
      <c r="R80" s="14" t="str">
        <f>IF(K80="","",IF(OR(F80=données!$B$12,F80=données!$B$13),"Bande à bords",IF(J80&gt;données!$P$11,"Bande à chevrons","Bande lisse")))</f>
        <v>Bande lisse</v>
      </c>
      <c r="S80" s="14" t="str">
        <f t="shared" si="14"/>
        <v/>
      </c>
      <c r="T80" s="652" t="s">
        <v>542</v>
      </c>
      <c r="U80" s="652" t="s">
        <v>542</v>
      </c>
      <c r="V80" s="17"/>
    </row>
    <row r="81" spans="1:22" s="8" customFormat="1" ht="39.950000000000003" hidden="1" customHeight="1">
      <c r="A81" s="3"/>
      <c r="B81" s="25" t="str">
        <f>IF(NOMENCLATURE_GEN!B81="","",NOMENCLATURE_GEN!B81)</f>
        <v/>
      </c>
      <c r="C81" s="243" t="str">
        <f>IF(NOMENCLATURE_GEN!C81="","",NOMENCLATURE_GEN!C81)</f>
        <v/>
      </c>
      <c r="D81" s="4">
        <f>IF(NOMENCLATURE_GEN!D81="","",NOMENCLATURE_GEN!D81)</f>
        <v>164</v>
      </c>
      <c r="E81" s="4" t="str">
        <f ca="1">IF(NOMENCLATURE_GEN!E81="","",NOMENCLATURE_GEN!E81)</f>
        <v>A</v>
      </c>
      <c r="F81" s="4" t="str">
        <f>IF(NOMENCLATURE_GEN!F81="","",NOMENCLATURE_GEN!F81)</f>
        <v>TBE</v>
      </c>
      <c r="G81" s="154" t="str">
        <f>IF(NOMENCLATURE_GEN!G81="","",NOMENCLATURE_GEN!G81)</f>
        <v>Convoyeur de transfert des aciers vers benne</v>
      </c>
      <c r="H81" s="26">
        <f>IF(NOMENCLATURE_GEN!H81="","",IF(NOMENCLATURE_GEN!F81="ACO",NOMENCLATURE_GEN!H81+160,NOMENCLATURE_GEN!H81))</f>
        <v>1000</v>
      </c>
      <c r="I81" s="26">
        <f>IF(NOMENCLATURE_GEN!I81="","",NOMENCLATURE_GEN!I81)</f>
        <v>11500</v>
      </c>
      <c r="J81" s="56">
        <f>IF(NOMENCLATURE_GEN!J81="","",NOMENCLATURE_GEN!J81)</f>
        <v>25</v>
      </c>
      <c r="K81" s="12">
        <f>IFERROR(400/VLOOKUP(F81,données!$B$3:$D$30,3,FALSE),"")</f>
        <v>400</v>
      </c>
      <c r="L81" s="13">
        <f>IFERROR(3/VLOOKUP(F81,données!$B$3:$D$30,3,FALSE),"")</f>
        <v>3</v>
      </c>
      <c r="M81" s="13" t="str">
        <f>IF(L81="","",VLOOKUP(F81,données!$B$4:$I$30,8,FALSE))</f>
        <v>4+0</v>
      </c>
      <c r="N81" s="14" t="str">
        <f t="shared" si="12"/>
        <v>CAOUTCHOUC</v>
      </c>
      <c r="O81" s="514" t="str">
        <f t="shared" si="11"/>
        <v>G2 Haute resistance aux huiles</v>
      </c>
      <c r="P81" s="14" t="str">
        <f t="shared" si="13"/>
        <v>Ouverte</v>
      </c>
      <c r="Q81" s="326">
        <f>IF(K81="","",INT(((I81*2-VLOOKUP(F81,données!$B$4:$I$30,4,FALSE)+VLOOKUP(F81,données!$B$4:$I$30,5,FALSE)*NOMENCLATURE_GEN!O81+IF(OR(NOMENCLATURE_GEN!P81="",NOMENCLATURE_GEN!P81=0),0,2250)+NOMENCLATURE_GEN!Q81*2000)+0.3*H81+VLOOKUP(K81,données!$M$4:$Q$9,MATCH(L81,données!$M$3:$Q$3,0),FALSE)*(L81-1)+250)/1000)+1)</f>
        <v>27</v>
      </c>
      <c r="R81" s="14" t="str">
        <f>IF(K81="","",IF(OR(F81=données!$B$12,F81=données!$B$13),"Bande à bords",IF(J81&gt;données!$P$11,"Bande à chevrons","Bande lisse")))</f>
        <v>Bande à chevrons</v>
      </c>
      <c r="S81" s="654" t="s">
        <v>748</v>
      </c>
      <c r="T81" s="406" t="s">
        <v>542</v>
      </c>
      <c r="U81" s="406" t="s">
        <v>542</v>
      </c>
      <c r="V81" s="17"/>
    </row>
    <row r="82" spans="1:22" s="8" customFormat="1" ht="39.950000000000003" hidden="1" customHeight="1">
      <c r="A82" s="3"/>
      <c r="B82" s="25" t="str">
        <f>IF(NOMENCLATURE_GEN!B82="","",NOMENCLATURE_GEN!B82)</f>
        <v/>
      </c>
      <c r="C82" s="243" t="str">
        <f>IF(NOMENCLATURE_GEN!C82="","",NOMENCLATURE_GEN!C82)</f>
        <v/>
      </c>
      <c r="D82" s="4">
        <f>IF(NOMENCLATURE_GEN!D82="","",NOMENCLATURE_GEN!D82)</f>
        <v>165</v>
      </c>
      <c r="E82" s="4" t="str">
        <f ca="1">IF(NOMENCLATURE_GEN!E82="","",NOMENCLATURE_GEN!E82)</f>
        <v>A</v>
      </c>
      <c r="F82" s="4" t="str">
        <f>IF(NOMENCLATURE_GEN!F82="","",NOMENCLATURE_GEN!F82)</f>
        <v>TBE</v>
      </c>
      <c r="G82" s="154" t="str">
        <f>IF(NOMENCLATURE_GEN!G82="","",NOMENCLATURE_GEN!G82)</f>
        <v>Convoyeur navette double sens de remplissage de la benne acier</v>
      </c>
      <c r="H82" s="26">
        <f>IF(NOMENCLATURE_GEN!H82="","",IF(NOMENCLATURE_GEN!F82="ACO",NOMENCLATURE_GEN!H82+160,NOMENCLATURE_GEN!H82))</f>
        <v>1000</v>
      </c>
      <c r="I82" s="26">
        <f>IF(NOMENCLATURE_GEN!I82="","",NOMENCLATURE_GEN!I82)</f>
        <v>3000</v>
      </c>
      <c r="J82" s="56">
        <f>IF(NOMENCLATURE_GEN!J82="","",NOMENCLATURE_GEN!J82)</f>
        <v>0</v>
      </c>
      <c r="K82" s="12">
        <f>IFERROR(400/VLOOKUP(F82,données!$B$3:$D$30,3,FALSE),"")</f>
        <v>400</v>
      </c>
      <c r="L82" s="13">
        <f>IFERROR(3/VLOOKUP(F82,données!$B$3:$D$30,3,FALSE),"")</f>
        <v>3</v>
      </c>
      <c r="M82" s="13" t="str">
        <f>IF(L82="","",VLOOKUP(F82,données!$B$4:$I$30,8,FALSE))</f>
        <v>4+0</v>
      </c>
      <c r="N82" s="14" t="str">
        <f t="shared" si="12"/>
        <v>CAOUTCHOUC</v>
      </c>
      <c r="O82" s="514" t="str">
        <f t="shared" si="11"/>
        <v>G2 Haute resistance aux huiles</v>
      </c>
      <c r="P82" s="14" t="str">
        <f t="shared" si="13"/>
        <v>Ouverte</v>
      </c>
      <c r="Q82" s="326">
        <f>IF(K82="","",INT(((I82*2-VLOOKUP(F82,données!$B$4:$I$30,4,FALSE)+VLOOKUP(F82,données!$B$4:$I$30,5,FALSE)*NOMENCLATURE_GEN!O82+IF(OR(NOMENCLATURE_GEN!P82="",NOMENCLATURE_GEN!P82=0),0,2250)+NOMENCLATURE_GEN!Q82*2000)+0.3*H82+VLOOKUP(K82,données!$M$4:$Q$9,MATCH(L82,données!$M$3:$Q$3,0),FALSE)*(L82-1)+250)/1000)+1)</f>
        <v>8</v>
      </c>
      <c r="R82" s="14" t="str">
        <f>IF(K82="","",IF(OR(F82=données!$B$12,F82=données!$B$13),"Bande à bords",IF(J82&gt;données!$P$11,"Bande à chevrons","Bande lisse")))</f>
        <v>Bande lisse</v>
      </c>
      <c r="S82" s="14" t="str">
        <f t="shared" si="14"/>
        <v/>
      </c>
      <c r="T82" s="652" t="s">
        <v>542</v>
      </c>
      <c r="U82" s="652" t="s">
        <v>542</v>
      </c>
      <c r="V82" s="17"/>
    </row>
    <row r="83" spans="1:22" s="8" customFormat="1" ht="39.950000000000003" hidden="1" customHeight="1">
      <c r="A83" s="3"/>
      <c r="B83" s="25" t="str">
        <f>IF(NOMENCLATURE_GEN!B83="","",NOMENCLATURE_GEN!B83)</f>
        <v/>
      </c>
      <c r="C83" s="243" t="str">
        <f>IF(NOMENCLATURE_GEN!C83="","",NOMENCLATURE_GEN!C83)</f>
        <v/>
      </c>
      <c r="D83" s="4">
        <f>IF(NOMENCLATURE_GEN!D83="","",NOMENCLATURE_GEN!D83)</f>
        <v>166</v>
      </c>
      <c r="E83" s="4" t="str">
        <f ca="1">IF(NOMENCLATURE_GEN!E83="","",NOMENCLATURE_GEN!E83)</f>
        <v>A</v>
      </c>
      <c r="F83" s="4" t="str">
        <f>IF(NOMENCLATURE_GEN!F83="","",NOMENCLATURE_GEN!F83)</f>
        <v>CYC</v>
      </c>
      <c r="G83" s="154" t="str">
        <f>IF(NOMENCLATURE_GEN!G83="","",NOMENCLATURE_GEN!G83)</f>
        <v>Cyclone &amp; écluse pour table densimétrique  - Ventilateur</v>
      </c>
      <c r="H83" s="26" t="str">
        <f>IF(NOMENCLATURE_GEN!H83="","",IF(NOMENCLATURE_GEN!F83="ACO",NOMENCLATURE_GEN!H83+160,NOMENCLATURE_GEN!H83))</f>
        <v/>
      </c>
      <c r="I83" s="26" t="str">
        <f>IF(NOMENCLATURE_GEN!I83="","",NOMENCLATURE_GEN!I83)</f>
        <v/>
      </c>
      <c r="J83" s="56" t="str">
        <f>IF(NOMENCLATURE_GEN!J83="","",NOMENCLATURE_GEN!J83)</f>
        <v/>
      </c>
      <c r="K83" s="12" t="str">
        <f>IFERROR(400/VLOOKUP(F83,données!$B$3:$D$30,3,FALSE),"")</f>
        <v/>
      </c>
      <c r="L83" s="13" t="str">
        <f>IFERROR(3/VLOOKUP(F83,données!$B$3:$D$30,3,FALSE),"")</f>
        <v/>
      </c>
      <c r="M83" s="13" t="str">
        <f>IF(L83="","",VLOOKUP(F83,données!$B$4:$I$30,8,FALSE))</f>
        <v/>
      </c>
      <c r="N83" s="14" t="str">
        <f t="shared" si="12"/>
        <v/>
      </c>
      <c r="O83" s="514" t="str">
        <f t="shared" si="11"/>
        <v/>
      </c>
      <c r="P83" s="14" t="str">
        <f t="shared" si="13"/>
        <v/>
      </c>
      <c r="Q83" s="326" t="str">
        <f>IF(K83="","",INT(((I83*2-VLOOKUP(F83,données!$B$4:$I$30,4,FALSE)+VLOOKUP(F83,données!$B$4:$I$30,5,FALSE)*NOMENCLATURE_GEN!O83+IF(OR(NOMENCLATURE_GEN!P83="",NOMENCLATURE_GEN!P83=0),0,2250)+NOMENCLATURE_GEN!Q83*2000)+0.3*H83+VLOOKUP(K83,données!$M$4:$Q$9,MATCH(L83,données!$M$3:$Q$3,0),FALSE)*(L83-1)+250)/1000)+1)</f>
        <v/>
      </c>
      <c r="R83" s="14" t="str">
        <f>IF(K83="","",IF(OR(F83=données!$B$12,F83=données!$B$13),"Bande à bords",IF(J83&gt;données!$P$11,"Bande à chevrons","Bande lisse")))</f>
        <v/>
      </c>
      <c r="S83" s="14" t="str">
        <f t="shared" si="14"/>
        <v/>
      </c>
      <c r="T83" s="406"/>
      <c r="U83" s="406"/>
      <c r="V83" s="17"/>
    </row>
    <row r="84" spans="1:22" s="8" customFormat="1" ht="39.950000000000003" hidden="1" customHeight="1">
      <c r="A84" s="3"/>
      <c r="B84" s="25" t="str">
        <f>IF(NOMENCLATURE_GEN!B84="","",NOMENCLATURE_GEN!B84)</f>
        <v/>
      </c>
      <c r="C84" s="243" t="str">
        <f>IF(NOMENCLATURE_GEN!C84="","",NOMENCLATURE_GEN!C84)</f>
        <v/>
      </c>
      <c r="D84" s="4">
        <f>IF(NOMENCLATURE_GEN!D84="","",NOMENCLATURE_GEN!D84)</f>
        <v>166</v>
      </c>
      <c r="E84" s="4" t="str">
        <f ca="1">IF(NOMENCLATURE_GEN!E84="","",NOMENCLATURE_GEN!E84)</f>
        <v>B</v>
      </c>
      <c r="F84" s="4" t="str">
        <f>IF(NOMENCLATURE_GEN!F84="","",NOMENCLATURE_GEN!F84)</f>
        <v>CYC</v>
      </c>
      <c r="G84" s="154" t="str">
        <f>IF(NOMENCLATURE_GEN!G84="","",NOMENCLATURE_GEN!G84)</f>
        <v>Cyclone &amp; écluse pour table densimétrique - Ecluse</v>
      </c>
      <c r="H84" s="26" t="str">
        <f>IF(NOMENCLATURE_GEN!H84="","",IF(NOMENCLATURE_GEN!F84="ACO",NOMENCLATURE_GEN!H84+160,NOMENCLATURE_GEN!H84))</f>
        <v/>
      </c>
      <c r="I84" s="26" t="str">
        <f>IF(NOMENCLATURE_GEN!I84="","",NOMENCLATURE_GEN!I84)</f>
        <v/>
      </c>
      <c r="J84" s="56" t="str">
        <f>IF(NOMENCLATURE_GEN!J84="","",NOMENCLATURE_GEN!J84)</f>
        <v/>
      </c>
      <c r="K84" s="12" t="str">
        <f>IFERROR(400/VLOOKUP(F84,données!$B$3:$D$30,3,FALSE),"")</f>
        <v/>
      </c>
      <c r="L84" s="13" t="str">
        <f>IFERROR(3/VLOOKUP(F84,données!$B$3:$D$30,3,FALSE),"")</f>
        <v/>
      </c>
      <c r="M84" s="13" t="str">
        <f>IF(L84="","",VLOOKUP(F84,données!$B$4:$I$30,8,FALSE))</f>
        <v/>
      </c>
      <c r="N84" s="14" t="str">
        <f t="shared" si="12"/>
        <v/>
      </c>
      <c r="O84" s="514" t="str">
        <f t="shared" si="11"/>
        <v/>
      </c>
      <c r="P84" s="14" t="str">
        <f t="shared" si="13"/>
        <v/>
      </c>
      <c r="Q84" s="326" t="str">
        <f>IF(K84="","",INT(((I84*2-VLOOKUP(F84,données!$B$4:$I$30,4,FALSE)+VLOOKUP(F84,données!$B$4:$I$30,5,FALSE)*NOMENCLATURE_GEN!O84+IF(OR(NOMENCLATURE_GEN!P84="",NOMENCLATURE_GEN!P84=0),0,2250)+NOMENCLATURE_GEN!Q84*2000)+0.3*H84+VLOOKUP(K84,données!$M$4:$Q$9,MATCH(L84,données!$M$3:$Q$3,0),FALSE)*(L84-1)+250)/1000)+1)</f>
        <v/>
      </c>
      <c r="R84" s="14" t="str">
        <f>IF(K84="","",IF(OR(F84=données!$B$12,F84=données!$B$13),"Bande à bords",IF(J84&gt;données!$P$11,"Bande à chevrons","Bande lisse")))</f>
        <v/>
      </c>
      <c r="S84" s="14" t="str">
        <f t="shared" si="14"/>
        <v/>
      </c>
      <c r="T84" s="406"/>
      <c r="U84" s="406"/>
      <c r="V84" s="17"/>
    </row>
    <row r="85" spans="1:22" s="8" customFormat="1" ht="39.950000000000003" hidden="1" customHeight="1">
      <c r="A85" s="3"/>
      <c r="B85" s="25" t="str">
        <f>IF(NOMENCLATURE_GEN!B85="","",NOMENCLATURE_GEN!B85)</f>
        <v/>
      </c>
      <c r="C85" s="243" t="str">
        <f>IF(NOMENCLATURE_GEN!C85="","",NOMENCLATURE_GEN!C85)</f>
        <v/>
      </c>
      <c r="D85" s="4">
        <f>IF(NOMENCLATURE_GEN!D85="","",NOMENCLATURE_GEN!D85)</f>
        <v>166</v>
      </c>
      <c r="E85" s="4" t="str">
        <f ca="1">IF(NOMENCLATURE_GEN!E85="","",NOMENCLATURE_GEN!E85)</f>
        <v>C</v>
      </c>
      <c r="F85" s="4" t="str">
        <f>IF(NOMENCLATURE_GEN!F85="","",NOMENCLATURE_GEN!F85)</f>
        <v>CYC</v>
      </c>
      <c r="G85" s="154" t="str">
        <f>IF(NOMENCLATURE_GEN!G85="","",NOMENCLATURE_GEN!G85)</f>
        <v>Cyclone &amp; écluse pour table densimétrique - Clapet motorisé</v>
      </c>
      <c r="H85" s="26" t="str">
        <f>IF(NOMENCLATURE_GEN!H85="","",IF(NOMENCLATURE_GEN!F85="ACO",NOMENCLATURE_GEN!H85+160,NOMENCLATURE_GEN!H85))</f>
        <v/>
      </c>
      <c r="I85" s="26" t="str">
        <f>IF(NOMENCLATURE_GEN!I85="","",NOMENCLATURE_GEN!I85)</f>
        <v/>
      </c>
      <c r="J85" s="56" t="str">
        <f>IF(NOMENCLATURE_GEN!J85="","",NOMENCLATURE_GEN!J85)</f>
        <v/>
      </c>
      <c r="K85" s="12" t="str">
        <f>IFERROR(400/VLOOKUP(F85,données!$B$3:$D$30,3,FALSE),"")</f>
        <v/>
      </c>
      <c r="L85" s="13" t="str">
        <f>IFERROR(3/VLOOKUP(F85,données!$B$3:$D$30,3,FALSE),"")</f>
        <v/>
      </c>
      <c r="M85" s="13" t="str">
        <f>IF(L85="","",VLOOKUP(F85,données!$B$4:$I$30,8,FALSE))</f>
        <v/>
      </c>
      <c r="N85" s="14" t="str">
        <f t="shared" si="12"/>
        <v/>
      </c>
      <c r="O85" s="514" t="str">
        <f t="shared" si="11"/>
        <v/>
      </c>
      <c r="P85" s="14" t="str">
        <f t="shared" si="13"/>
        <v/>
      </c>
      <c r="Q85" s="326" t="str">
        <f>IF(K85="","",INT(((I85*2-VLOOKUP(F85,données!$B$4:$I$30,4,FALSE)+VLOOKUP(F85,données!$B$4:$I$30,5,FALSE)*NOMENCLATURE_GEN!O85+IF(OR(NOMENCLATURE_GEN!P85="",NOMENCLATURE_GEN!P85=0),0,2250)+NOMENCLATURE_GEN!Q85*2000)+0.3*H85+VLOOKUP(K85,données!$M$4:$Q$9,MATCH(L85,données!$M$3:$Q$3,0),FALSE)*(L85-1)+250)/1000)+1)</f>
        <v/>
      </c>
      <c r="R85" s="14" t="str">
        <f>IF(K85="","",IF(OR(F85=données!$B$12,F85=données!$B$13),"Bande à bords",IF(J85&gt;données!$P$11,"Bande à chevrons","Bande lisse")))</f>
        <v/>
      </c>
      <c r="S85" s="14" t="str">
        <f t="shared" si="14"/>
        <v/>
      </c>
      <c r="T85" s="406"/>
      <c r="U85" s="406"/>
      <c r="V85" s="17"/>
    </row>
    <row r="86" spans="1:22" s="8" customFormat="1" ht="39.950000000000003" hidden="1" customHeight="1">
      <c r="A86" s="3"/>
      <c r="B86" s="25" t="str">
        <f>IF(NOMENCLATURE_GEN!B86="","",NOMENCLATURE_GEN!B86)</f>
        <v/>
      </c>
      <c r="C86" s="243" t="str">
        <f>IF(NOMENCLATURE_GEN!C86="","",NOMENCLATURE_GEN!C86)</f>
        <v/>
      </c>
      <c r="D86" s="4">
        <f>IF(NOMENCLATURE_GEN!D86="","",NOMENCLATURE_GEN!D86)</f>
        <v>167</v>
      </c>
      <c r="E86" s="4" t="str">
        <f ca="1">IF(NOMENCLATURE_GEN!E86="","",NOMENCLATURE_GEN!E86)</f>
        <v>A</v>
      </c>
      <c r="F86" s="4" t="str">
        <f>IF(NOMENCLATURE_GEN!F86="","",NOMENCLATURE_GEN!F86)</f>
        <v>HYD</v>
      </c>
      <c r="G86" s="154" t="str">
        <f>IF(NOMENCLATURE_GEN!G86="","",NOMENCLATURE_GEN!G86)</f>
        <v>Centrale hydraulique de pilotage des FMA</v>
      </c>
      <c r="H86" s="26" t="str">
        <f>IF(NOMENCLATURE_GEN!H86="","",IF(NOMENCLATURE_GEN!F86="ACO",NOMENCLATURE_GEN!H86+160,NOMENCLATURE_GEN!H86))</f>
        <v/>
      </c>
      <c r="I86" s="26" t="str">
        <f>IF(NOMENCLATURE_GEN!I86="","",NOMENCLATURE_GEN!I86)</f>
        <v/>
      </c>
      <c r="J86" s="56" t="str">
        <f>IF(NOMENCLATURE_GEN!J86="","",NOMENCLATURE_GEN!J86)</f>
        <v/>
      </c>
      <c r="K86" s="12" t="str">
        <f>IFERROR(400/VLOOKUP(F86,données!$B$3:$D$30,3,FALSE),"")</f>
        <v/>
      </c>
      <c r="L86" s="13" t="str">
        <f>IFERROR(3/VLOOKUP(F86,données!$B$3:$D$30,3,FALSE),"")</f>
        <v/>
      </c>
      <c r="M86" s="13" t="str">
        <f>IF(L86="","",VLOOKUP(F86,données!$B$4:$I$30,8,FALSE))</f>
        <v/>
      </c>
      <c r="N86" s="14" t="str">
        <f t="shared" si="12"/>
        <v/>
      </c>
      <c r="O86" s="514" t="str">
        <f t="shared" si="11"/>
        <v/>
      </c>
      <c r="P86" s="14" t="str">
        <f t="shared" si="13"/>
        <v/>
      </c>
      <c r="Q86" s="326" t="str">
        <f>IF(K86="","",INT(((I86*2-VLOOKUP(F86,données!$B$4:$I$30,4,FALSE)+VLOOKUP(F86,données!$B$4:$I$30,5,FALSE)*NOMENCLATURE_GEN!O86+IF(OR(NOMENCLATURE_GEN!P86="",NOMENCLATURE_GEN!P86=0),0,2250)+NOMENCLATURE_GEN!Q86*2000)+0.3*H86+VLOOKUP(K86,données!$M$4:$Q$9,MATCH(L86,données!$M$3:$Q$3,0),FALSE)*(L86-1)+250)/1000)+1)</f>
        <v/>
      </c>
      <c r="R86" s="14" t="str">
        <f>IF(K86="","",IF(OR(F86=données!$B$12,F86=données!$B$13),"Bande à bords",IF(J86&gt;données!$P$11,"Bande à chevrons","Bande lisse")))</f>
        <v/>
      </c>
      <c r="S86" s="14" t="str">
        <f t="shared" si="14"/>
        <v/>
      </c>
      <c r="T86" s="406"/>
      <c r="U86" s="406"/>
      <c r="V86" s="17"/>
    </row>
    <row r="87" spans="1:22" s="8" customFormat="1" ht="39.950000000000003" hidden="1" customHeight="1">
      <c r="A87" s="3"/>
      <c r="B87" s="25" t="str">
        <f>IF(NOMENCLATURE_GEN!B87="","",NOMENCLATURE_GEN!B87)</f>
        <v>SUP</v>
      </c>
      <c r="C87" s="243" t="str">
        <f>IF(NOMENCLATURE_GEN!C87="","",NOMENCLATURE_GEN!C87)</f>
        <v/>
      </c>
      <c r="D87" s="4">
        <f>IF(NOMENCLATURE_GEN!D87="","",NOMENCLATURE_GEN!D87)</f>
        <v>168</v>
      </c>
      <c r="E87" s="4" t="str">
        <f ca="1">IF(NOMENCLATURE_GEN!E87="","",NOMENCLATURE_GEN!E87)</f>
        <v>A</v>
      </c>
      <c r="F87" s="4" t="str">
        <f>IF(NOMENCLATURE_GEN!F87="","",NOMENCLATURE_GEN!F87)</f>
        <v>FMA</v>
      </c>
      <c r="G87" s="154" t="str">
        <f>IF(NOMENCLATURE_GEN!G87="","",NOMENCLATURE_GEN!G87)</f>
        <v>Guide roue des FMA</v>
      </c>
      <c r="H87" s="26" t="str">
        <f>IF(NOMENCLATURE_GEN!H87="","",IF(NOMENCLATURE_GEN!F87="ACO",NOMENCLATURE_GEN!H87+160,NOMENCLATURE_GEN!H87))</f>
        <v/>
      </c>
      <c r="I87" s="26" t="str">
        <f>IF(NOMENCLATURE_GEN!I87="","",NOMENCLATURE_GEN!I87)</f>
        <v/>
      </c>
      <c r="J87" s="56" t="str">
        <f>IF(NOMENCLATURE_GEN!J87="","",NOMENCLATURE_GEN!J87)</f>
        <v/>
      </c>
      <c r="K87" s="12" t="str">
        <f>IFERROR(400/VLOOKUP(F87,données!$B$3:$D$30,3,FALSE),"")</f>
        <v/>
      </c>
      <c r="L87" s="13" t="str">
        <f>IFERROR(3/VLOOKUP(F87,données!$B$3:$D$30,3,FALSE),"")</f>
        <v/>
      </c>
      <c r="M87" s="13" t="str">
        <f>IF(L87="","",VLOOKUP(F87,données!$B$4:$I$30,8,FALSE))</f>
        <v/>
      </c>
      <c r="N87" s="14" t="str">
        <f t="shared" si="12"/>
        <v/>
      </c>
      <c r="O87" s="514" t="str">
        <f t="shared" si="11"/>
        <v/>
      </c>
      <c r="P87" s="14" t="str">
        <f t="shared" si="13"/>
        <v/>
      </c>
      <c r="Q87" s="326" t="str">
        <f>IF(K87="","",INT(((I87*2-VLOOKUP(F87,données!$B$4:$I$30,4,FALSE)+VLOOKUP(F87,données!$B$4:$I$30,5,FALSE)*NOMENCLATURE_GEN!O87+IF(OR(NOMENCLATURE_GEN!P87="",NOMENCLATURE_GEN!P87=0),0,2250)+NOMENCLATURE_GEN!Q87*2000)+0.3*H87+VLOOKUP(K87,données!$M$4:$Q$9,MATCH(L87,données!$M$3:$Q$3,0),FALSE)*(L87-1)+250)/1000)+1)</f>
        <v/>
      </c>
      <c r="R87" s="14" t="str">
        <f>IF(K87="","",IF(OR(F87=données!$B$12,F87=données!$B$13),"Bande à bords",IF(J87&gt;données!$P$11,"Bande à chevrons","Bande lisse")))</f>
        <v/>
      </c>
      <c r="S87" s="14" t="str">
        <f t="shared" si="14"/>
        <v/>
      </c>
      <c r="T87" s="406"/>
      <c r="U87" s="406"/>
      <c r="V87" s="17"/>
    </row>
    <row r="88" spans="1:22" s="8" customFormat="1" ht="39.950000000000003" hidden="1" customHeight="1">
      <c r="A88" s="3"/>
      <c r="B88" s="25" t="str">
        <f>IF(NOMENCLATURE_GEN!B88="","",NOMENCLATURE_GEN!B88)</f>
        <v>SUP</v>
      </c>
      <c r="C88" s="243" t="str">
        <f>IF(NOMENCLATURE_GEN!C88="","",NOMENCLATURE_GEN!C88)</f>
        <v/>
      </c>
      <c r="D88" s="4">
        <f>IF(NOMENCLATURE_GEN!D88="","",NOMENCLATURE_GEN!D88)</f>
        <v>169</v>
      </c>
      <c r="E88" s="4" t="str">
        <f ca="1">IF(NOMENCLATURE_GEN!E88="","",NOMENCLATURE_GEN!E88)</f>
        <v>A</v>
      </c>
      <c r="F88" s="4" t="str">
        <f>IF(NOMENCLATURE_GEN!F88="","",NOMENCLATURE_GEN!F88)</f>
        <v>FMA</v>
      </c>
      <c r="G88" s="154" t="str">
        <f>IF(NOMENCLATURE_GEN!G88="","",NOMENCLATURE_GEN!G88)</f>
        <v>Bloc roue des FMA</v>
      </c>
      <c r="H88" s="26" t="str">
        <f>IF(NOMENCLATURE_GEN!H88="","",IF(NOMENCLATURE_GEN!F88="ACO",NOMENCLATURE_GEN!H88+160,NOMENCLATURE_GEN!H88))</f>
        <v/>
      </c>
      <c r="I88" s="26" t="str">
        <f>IF(NOMENCLATURE_GEN!I88="","",NOMENCLATURE_GEN!I88)</f>
        <v/>
      </c>
      <c r="J88" s="56" t="str">
        <f>IF(NOMENCLATURE_GEN!J88="","",NOMENCLATURE_GEN!J88)</f>
        <v/>
      </c>
      <c r="K88" s="12" t="str">
        <f>IFERROR(400/VLOOKUP(F88,données!$B$3:$D$30,3,FALSE),"")</f>
        <v/>
      </c>
      <c r="L88" s="13" t="str">
        <f>IFERROR(3/VLOOKUP(F88,données!$B$3:$D$30,3,FALSE),"")</f>
        <v/>
      </c>
      <c r="M88" s="13" t="str">
        <f>IF(L88="","",VLOOKUP(F88,données!$B$4:$I$30,8,FALSE))</f>
        <v/>
      </c>
      <c r="N88" s="14" t="str">
        <f t="shared" si="12"/>
        <v/>
      </c>
      <c r="O88" s="514" t="str">
        <f t="shared" si="11"/>
        <v/>
      </c>
      <c r="P88" s="14" t="str">
        <f t="shared" si="13"/>
        <v/>
      </c>
      <c r="Q88" s="326" t="str">
        <f>IF(K88="","",INT(((I88*2-VLOOKUP(F88,données!$B$4:$I$30,4,FALSE)+VLOOKUP(F88,données!$B$4:$I$30,5,FALSE)*NOMENCLATURE_GEN!O88+IF(OR(NOMENCLATURE_GEN!P88="",NOMENCLATURE_GEN!P88=0),0,2250)+NOMENCLATURE_GEN!Q88*2000)+0.3*H88+VLOOKUP(K88,données!$M$4:$Q$9,MATCH(L88,données!$M$3:$Q$3,0),FALSE)*(L88-1)+250)/1000)+1)</f>
        <v/>
      </c>
      <c r="R88" s="14" t="str">
        <f>IF(K88="","",IF(OR(F88=données!$B$12,F88=données!$B$13),"Bande à bords",IF(J88&gt;données!$P$11,"Bande à chevrons","Bande lisse")))</f>
        <v/>
      </c>
      <c r="S88" s="14" t="str">
        <f t="shared" si="14"/>
        <v/>
      </c>
      <c r="T88" s="406"/>
      <c r="U88" s="406"/>
      <c r="V88" s="17"/>
    </row>
    <row r="89" spans="1:22" s="8" customFormat="1" ht="39.950000000000003" hidden="1" customHeight="1">
      <c r="A89" s="3"/>
      <c r="B89" s="25" t="str">
        <f>IF(NOMENCLATURE_GEN!B89="","",NOMENCLATURE_GEN!B89)</f>
        <v/>
      </c>
      <c r="C89" s="243" t="str">
        <f>IF(NOMENCLATURE_GEN!C89="","",NOMENCLATURE_GEN!C89)</f>
        <v/>
      </c>
      <c r="D89" s="4">
        <f>IF(NOMENCLATURE_GEN!D89="","",NOMENCLATURE_GEN!D89)</f>
        <v>170</v>
      </c>
      <c r="E89" s="4" t="str">
        <f ca="1">IF(NOMENCLATURE_GEN!E89="","",NOMENCLATURE_GEN!E89)</f>
        <v>A</v>
      </c>
      <c r="F89" s="4" t="str">
        <f>IF(NOMENCLATURE_GEN!F89="","",NOMENCLATURE_GEN!F89)</f>
        <v>COM</v>
      </c>
      <c r="G89" s="154" t="str">
        <f>IF(NOMENCLATURE_GEN!G89="","",NOMENCLATURE_GEN!G89)</f>
        <v>Compresseur + sécheur pour nettoyage trommel</v>
      </c>
      <c r="H89" s="26" t="str">
        <f>IF(NOMENCLATURE_GEN!H89="","",IF(NOMENCLATURE_GEN!F89="ACO",NOMENCLATURE_GEN!H89+160,NOMENCLATURE_GEN!H89))</f>
        <v/>
      </c>
      <c r="I89" s="26" t="str">
        <f>IF(NOMENCLATURE_GEN!I89="","",NOMENCLATURE_GEN!I89)</f>
        <v/>
      </c>
      <c r="J89" s="56" t="str">
        <f>IF(NOMENCLATURE_GEN!J89="","",NOMENCLATURE_GEN!J89)</f>
        <v/>
      </c>
      <c r="K89" s="12" t="str">
        <f>IFERROR(400/VLOOKUP(F89,données!$B$3:$D$30,3,FALSE),"")</f>
        <v/>
      </c>
      <c r="L89" s="13" t="str">
        <f>IFERROR(3/VLOOKUP(F89,données!$B$3:$D$30,3,FALSE),"")</f>
        <v/>
      </c>
      <c r="M89" s="13" t="str">
        <f>IF(L89="","",VLOOKUP(F89,données!$B$4:$I$30,8,FALSE))</f>
        <v/>
      </c>
      <c r="N89" s="14" t="str">
        <f t="shared" si="12"/>
        <v/>
      </c>
      <c r="O89" s="514" t="str">
        <f t="shared" si="11"/>
        <v/>
      </c>
      <c r="P89" s="14" t="str">
        <f t="shared" si="13"/>
        <v/>
      </c>
      <c r="Q89" s="326" t="str">
        <f>IF(K89="","",INT(((I89*2-VLOOKUP(F89,données!$B$4:$I$30,4,FALSE)+VLOOKUP(F89,données!$B$4:$I$30,5,FALSE)*NOMENCLATURE_GEN!O89+IF(OR(NOMENCLATURE_GEN!P89="",NOMENCLATURE_GEN!P89=0),0,2250)+NOMENCLATURE_GEN!Q89*2000)+0.3*H89+VLOOKUP(K89,données!$M$4:$Q$9,MATCH(L89,données!$M$3:$Q$3,0),FALSE)*(L89-1)+250)/1000)+1)</f>
        <v/>
      </c>
      <c r="R89" s="14" t="str">
        <f>IF(K89="","",IF(OR(F89=données!$B$12,F89=données!$B$13),"Bande à bords",IF(J89&gt;données!$P$11,"Bande à chevrons","Bande lisse")))</f>
        <v/>
      </c>
      <c r="S89" s="14" t="str">
        <f t="shared" si="14"/>
        <v/>
      </c>
      <c r="T89" s="406"/>
      <c r="U89" s="406"/>
      <c r="V89" s="17"/>
    </row>
    <row r="90" spans="1:22" s="8" customFormat="1" ht="39.950000000000003" customHeight="1">
      <c r="A90" s="3"/>
      <c r="B90" s="25" t="str">
        <f>IF(NOMENCLATURE_GEN!B90="","",NOMENCLATURE_GEN!B90)</f>
        <v/>
      </c>
      <c r="C90" s="243" t="str">
        <f>IF(NOMENCLATURE_GEN!C90="","",NOMENCLATURE_GEN!C90)</f>
        <v/>
      </c>
      <c r="D90" s="4">
        <f>IF(NOMENCLATURE_GEN!D90="","",NOMENCLATURE_GEN!D90)</f>
        <v>172</v>
      </c>
      <c r="E90" s="4" t="str">
        <f ca="1">IF(NOMENCLATURE_GEN!E90="","",NOMENCLATURE_GEN!E90)</f>
        <v>A</v>
      </c>
      <c r="F90" s="4" t="str">
        <f>IF(NOMENCLATURE_GEN!F90="","",NOMENCLATURE_GEN!F90)</f>
        <v>CBA</v>
      </c>
      <c r="G90" s="154" t="str">
        <f>IF(NOMENCLATURE_GEN!G90="","",NOMENCLATURE_GEN!G90)</f>
        <v>Convoyeur de reprise des légers 0-8mm by-pass (tampon ou métha)</v>
      </c>
      <c r="H90" s="26">
        <f>IF(NOMENCLATURE_GEN!H90="","",IF(NOMENCLATURE_GEN!F90="ACO",NOMENCLATURE_GEN!H90+160,NOMENCLATURE_GEN!H90))</f>
        <v>1000</v>
      </c>
      <c r="I90" s="26">
        <f>IF(NOMENCLATURE_GEN!I90="","",NOMENCLATURE_GEN!I90)</f>
        <v>18250</v>
      </c>
      <c r="J90" s="56">
        <f>IF(NOMENCLATURE_GEN!J90="","",NOMENCLATURE_GEN!J90)</f>
        <v>12</v>
      </c>
      <c r="K90" s="12">
        <f>IFERROR(400/VLOOKUP(F90,données!$B$3:$D$30,3,FALSE),"")</f>
        <v>400</v>
      </c>
      <c r="L90" s="13">
        <f>IFERROR(3/VLOOKUP(F90,données!$B$3:$D$30,3,FALSE),"")</f>
        <v>3</v>
      </c>
      <c r="M90" s="13" t="str">
        <f>IF(L90="","",VLOOKUP(F90,données!$B$4:$I$30,8,FALSE))</f>
        <v>4+2</v>
      </c>
      <c r="N90" s="14" t="str">
        <f t="shared" si="12"/>
        <v>CAOUTCHOUC</v>
      </c>
      <c r="O90" s="514" t="str">
        <f t="shared" si="11"/>
        <v>G2 Haute resistance aux huiles</v>
      </c>
      <c r="P90" s="14" t="str">
        <f t="shared" si="13"/>
        <v>Ouverte</v>
      </c>
      <c r="Q90" s="326">
        <f>IF(K90="","",INT(((I90*2-VLOOKUP(F90,données!$B$4:$I$30,4,FALSE)+VLOOKUP(F90,données!$B$4:$I$30,5,FALSE)*NOMENCLATURE_GEN!O90+IF(OR(NOMENCLATURE_GEN!P90="",NOMENCLATURE_GEN!P90=0),0,2250)+NOMENCLATURE_GEN!Q90*2000)+0.3*H90+VLOOKUP(K90,données!$M$4:$Q$9,MATCH(L90,données!$M$3:$Q$3,0),FALSE)*(L90-1)+250)/1000)+1)</f>
        <v>38</v>
      </c>
      <c r="R90" s="14" t="str">
        <f>IF(K90="","",IF(OR(F90=données!$B$12,F90=données!$B$13),"Bande à bords",IF(J90&gt;données!$P$11,"Bande à chevrons","Bande lisse")))</f>
        <v>Bande lisse</v>
      </c>
      <c r="S90" s="14" t="str">
        <f t="shared" si="14"/>
        <v/>
      </c>
      <c r="T90" s="406" t="s">
        <v>542</v>
      </c>
      <c r="U90" s="406" t="s">
        <v>542</v>
      </c>
      <c r="V90" s="17"/>
    </row>
    <row r="91" spans="1:22" s="8" customFormat="1" ht="39.950000000000003" customHeight="1">
      <c r="A91" s="3"/>
      <c r="B91" s="25" t="str">
        <f>IF(NOMENCLATURE_GEN!B91="","",NOMENCLATURE_GEN!B91)</f>
        <v/>
      </c>
      <c r="C91" s="243" t="str">
        <f>IF(NOMENCLATURE_GEN!C91="","",NOMENCLATURE_GEN!C91)</f>
        <v/>
      </c>
      <c r="D91" s="4">
        <f>IF(NOMENCLATURE_GEN!D91="","",NOMENCLATURE_GEN!D91)</f>
        <v>173</v>
      </c>
      <c r="E91" s="4" t="str">
        <f ca="1">IF(NOMENCLATURE_GEN!E91="","",NOMENCLATURE_GEN!E91)</f>
        <v>A</v>
      </c>
      <c r="F91" s="4" t="str">
        <f>IF(NOMENCLATURE_GEN!F91="","",NOMENCLATURE_GEN!F91)</f>
        <v>CBA</v>
      </c>
      <c r="G91" s="154" t="str">
        <f>IF(NOMENCLATURE_GEN!G91="","",NOMENCLATURE_GEN!G91)</f>
        <v>Convoyeur de transfert des légers 0-8mm vers métha</v>
      </c>
      <c r="H91" s="26">
        <f>IF(NOMENCLATURE_GEN!H91="","",IF(NOMENCLATURE_GEN!F91="ACO",NOMENCLATURE_GEN!H91+160,NOMENCLATURE_GEN!H91))</f>
        <v>1000</v>
      </c>
      <c r="I91" s="26">
        <f>IF(NOMENCLATURE_GEN!I91="","",NOMENCLATURE_GEN!I91)</f>
        <v>12750</v>
      </c>
      <c r="J91" s="56">
        <f>IF(NOMENCLATURE_GEN!J91="","",NOMENCLATURE_GEN!J91)</f>
        <v>18</v>
      </c>
      <c r="K91" s="12">
        <f>IFERROR(400/VLOOKUP(F91,données!$B$3:$D$30,3,FALSE),"")</f>
        <v>400</v>
      </c>
      <c r="L91" s="13">
        <f>IFERROR(3/VLOOKUP(F91,données!$B$3:$D$30,3,FALSE),"")</f>
        <v>3</v>
      </c>
      <c r="M91" s="13" t="str">
        <f>IF(L91="","",VLOOKUP(F91,données!$B$4:$I$30,8,FALSE))</f>
        <v>4+2</v>
      </c>
      <c r="N91" s="14" t="str">
        <f t="shared" si="12"/>
        <v>CAOUTCHOUC</v>
      </c>
      <c r="O91" s="514" t="str">
        <f t="shared" si="11"/>
        <v>G2 Haute resistance aux huiles</v>
      </c>
      <c r="P91" s="14" t="str">
        <f t="shared" si="13"/>
        <v>Ouverte</v>
      </c>
      <c r="Q91" s="326">
        <f>IF(K91="","",INT(((I91*2-VLOOKUP(F91,données!$B$4:$I$30,4,FALSE)+VLOOKUP(F91,données!$B$4:$I$30,5,FALSE)*NOMENCLATURE_GEN!O91+IF(OR(NOMENCLATURE_GEN!P91="",NOMENCLATURE_GEN!P91=0),0,2250)+NOMENCLATURE_GEN!Q91*2000)+0.3*H91+VLOOKUP(K91,données!$M$4:$Q$9,MATCH(L91,données!$M$3:$Q$3,0),FALSE)*(L91-1)+250)/1000)+1)</f>
        <v>27</v>
      </c>
      <c r="R91" s="14" t="s">
        <v>536</v>
      </c>
      <c r="S91" s="14" t="str">
        <f t="shared" si="14"/>
        <v/>
      </c>
      <c r="T91" s="406" t="s">
        <v>542</v>
      </c>
      <c r="U91" s="406" t="s">
        <v>542</v>
      </c>
      <c r="V91" s="17"/>
    </row>
    <row r="92" spans="1:22" s="8" customFormat="1" ht="39.950000000000003" customHeight="1">
      <c r="A92" s="3"/>
      <c r="B92" s="25" t="str">
        <f>IF(NOMENCLATURE_GEN!B92="","",NOMENCLATURE_GEN!B92)</f>
        <v/>
      </c>
      <c r="C92" s="243" t="str">
        <f>IF(NOMENCLATURE_GEN!C92="","",NOMENCLATURE_GEN!C92)</f>
        <v/>
      </c>
      <c r="D92" s="4">
        <f>IF(NOMENCLATURE_GEN!D92="","",NOMENCLATURE_GEN!D92)</f>
        <v>174</v>
      </c>
      <c r="E92" s="4" t="str">
        <f ca="1">IF(NOMENCLATURE_GEN!E92="","",NOMENCLATURE_GEN!E92)</f>
        <v>A</v>
      </c>
      <c r="F92" s="4" t="str">
        <f>IF(NOMENCLATURE_GEN!F92="","",NOMENCLATURE_GEN!F92)</f>
        <v>CBA</v>
      </c>
      <c r="G92" s="154" t="str">
        <f>IF(NOMENCLATURE_GEN!G92="","",NOMENCLATURE_GEN!G92)</f>
        <v>Convoyeur de transfert vers tampon (casier de stockage ou trémie tampon)</v>
      </c>
      <c r="H92" s="26">
        <f>IF(NOMENCLATURE_GEN!H92="","",IF(NOMENCLATURE_GEN!F92="ACO",NOMENCLATURE_GEN!H92+160,NOMENCLATURE_GEN!H92))</f>
        <v>1000</v>
      </c>
      <c r="I92" s="26">
        <f>IF(NOMENCLATURE_GEN!I92="","",NOMENCLATURE_GEN!I92)</f>
        <v>7250</v>
      </c>
      <c r="J92" s="56">
        <f>IF(NOMENCLATURE_GEN!J92="","",NOMENCLATURE_GEN!J92)</f>
        <v>15</v>
      </c>
      <c r="K92" s="12">
        <f>IFERROR(400/VLOOKUP(F92,données!$B$3:$D$30,3,FALSE),"")</f>
        <v>400</v>
      </c>
      <c r="L92" s="13">
        <f>IFERROR(3/VLOOKUP(F92,données!$B$3:$D$30,3,FALSE),"")</f>
        <v>3</v>
      </c>
      <c r="M92" s="13" t="str">
        <f>IF(L92="","",VLOOKUP(F92,données!$B$4:$I$30,8,FALSE))</f>
        <v>4+2</v>
      </c>
      <c r="N92" s="14" t="str">
        <f t="shared" si="12"/>
        <v>CAOUTCHOUC</v>
      </c>
      <c r="O92" s="514" t="str">
        <f t="shared" si="11"/>
        <v>G2 Haute resistance aux huiles</v>
      </c>
      <c r="P92" s="14" t="str">
        <f t="shared" si="13"/>
        <v>Ouverte</v>
      </c>
      <c r="Q92" s="326">
        <f>IF(K92="","",INT(((I92*2-VLOOKUP(F92,données!$B$4:$I$30,4,FALSE)+VLOOKUP(F92,données!$B$4:$I$30,5,FALSE)*NOMENCLATURE_GEN!O92+IF(OR(NOMENCLATURE_GEN!P92="",NOMENCLATURE_GEN!P92=0),0,2250)+NOMENCLATURE_GEN!Q92*2000)+0.3*H92+VLOOKUP(K92,données!$M$4:$Q$9,MATCH(L92,données!$M$3:$Q$3,0),FALSE)*(L92-1)+250)/1000)+1)</f>
        <v>16</v>
      </c>
      <c r="R92" s="14" t="str">
        <f>IF(K92="","",IF(OR(F92=données!$B$12,F92=données!$B$13),"Bande à bords",IF(J92&gt;données!$P$11,"Bande à chevrons","Bande lisse")))</f>
        <v>Bande lisse</v>
      </c>
      <c r="S92" s="14" t="str">
        <f t="shared" si="14"/>
        <v/>
      </c>
      <c r="T92" s="652" t="s">
        <v>542</v>
      </c>
      <c r="U92" s="652" t="s">
        <v>542</v>
      </c>
      <c r="V92" s="17"/>
    </row>
    <row r="93" spans="1:22" s="8" customFormat="1" ht="39.950000000000003" hidden="1" customHeight="1">
      <c r="A93" s="3"/>
      <c r="B93" s="25" t="str">
        <f>IF(NOMENCLATURE_GEN!B93="","",NOMENCLATURE_GEN!B93)</f>
        <v/>
      </c>
      <c r="C93" s="243" t="str">
        <f>IF(NOMENCLATURE_GEN!C93="","",NOMENCLATURE_GEN!C93)</f>
        <v/>
      </c>
      <c r="D93" s="4">
        <f>IF(NOMENCLATURE_GEN!D93="","",NOMENCLATURE_GEN!D93)</f>
        <v>175</v>
      </c>
      <c r="E93" s="4" t="str">
        <f ca="1">IF(NOMENCLATURE_GEN!E93="","",NOMENCLATURE_GEN!E93)</f>
        <v>A</v>
      </c>
      <c r="F93" s="4" t="str">
        <f>IF(NOMENCLATURE_GEN!F93="","",NOMENCLATURE_GEN!F93)</f>
        <v>GLT</v>
      </c>
      <c r="G93" s="154" t="str">
        <f>IF(NOMENCLATURE_GEN!G93="","",NOMENCLATURE_GEN!G93)</f>
        <v>Goulotte by-pass (casier ou trémie tampon)</v>
      </c>
      <c r="H93" s="26" t="str">
        <f>IF(NOMENCLATURE_GEN!H93="","",IF(NOMENCLATURE_GEN!F93="ACO",NOMENCLATURE_GEN!H93+160,NOMENCLATURE_GEN!H93))</f>
        <v/>
      </c>
      <c r="I93" s="26" t="str">
        <f>IF(NOMENCLATURE_GEN!I93="","",NOMENCLATURE_GEN!I93)</f>
        <v/>
      </c>
      <c r="J93" s="56" t="str">
        <f>IF(NOMENCLATURE_GEN!J93="","",NOMENCLATURE_GEN!J93)</f>
        <v/>
      </c>
      <c r="K93" s="12" t="str">
        <f>IFERROR(400/VLOOKUP(F93,données!$B$3:$D$30,3,FALSE),"")</f>
        <v/>
      </c>
      <c r="L93" s="13" t="str">
        <f>IFERROR(3/VLOOKUP(F93,données!$B$3:$D$30,3,FALSE),"")</f>
        <v/>
      </c>
      <c r="M93" s="13" t="str">
        <f>IF(L93="","",VLOOKUP(F93,données!$B$4:$I$30,8,FALSE))</f>
        <v/>
      </c>
      <c r="N93" s="14" t="str">
        <f t="shared" si="12"/>
        <v/>
      </c>
      <c r="O93" s="514" t="str">
        <f t="shared" si="11"/>
        <v/>
      </c>
      <c r="P93" s="14" t="str">
        <f t="shared" si="13"/>
        <v/>
      </c>
      <c r="Q93" s="326" t="str">
        <f>IF(K93="","",INT(((I93*2-VLOOKUP(F93,données!$B$4:$I$30,4,FALSE)+VLOOKUP(F93,données!$B$4:$I$30,5,FALSE)*NOMENCLATURE_GEN!O93+IF(OR(NOMENCLATURE_GEN!P93="",NOMENCLATURE_GEN!P93=0),0,2250)+NOMENCLATURE_GEN!Q93*2000)+0.3*H93+VLOOKUP(K93,données!$M$4:$Q$9,MATCH(L93,données!$M$3:$Q$3,0),FALSE)*(L93-1)+250)/1000)+1)</f>
        <v/>
      </c>
      <c r="R93" s="14" t="str">
        <f>IF(K93="","",IF(OR(F93=données!$B$12,F93=données!$B$13),"Bande à bords",IF(J93&gt;données!$P$11,"Bande à chevrons","Bande lisse")))</f>
        <v/>
      </c>
      <c r="S93" s="14" t="str">
        <f t="shared" si="14"/>
        <v/>
      </c>
      <c r="T93" s="406"/>
      <c r="U93" s="406"/>
      <c r="V93" s="17"/>
    </row>
    <row r="94" spans="1:22" s="8" customFormat="1" ht="39.950000000000003" hidden="1" customHeight="1">
      <c r="A94" s="3"/>
      <c r="B94" s="25" t="str">
        <f>IF(NOMENCLATURE_GEN!B94="","",NOMENCLATURE_GEN!B94)</f>
        <v>SUP</v>
      </c>
      <c r="C94" s="243" t="str">
        <f>IF(NOMENCLATURE_GEN!C94="","",NOMENCLATURE_GEN!C94)</f>
        <v/>
      </c>
      <c r="D94" s="4">
        <f>IF(NOMENCLATURE_GEN!D94="","",NOMENCLATURE_GEN!D94)</f>
        <v>176</v>
      </c>
      <c r="E94" s="4" t="str">
        <f ca="1">IF(NOMENCLATURE_GEN!E94="","",NOMENCLATURE_GEN!E94)</f>
        <v>A</v>
      </c>
      <c r="F94" s="4" t="str">
        <f>IF(NOMENCLATURE_GEN!F94="","",NOMENCLATURE_GEN!F94)</f>
        <v>TRE</v>
      </c>
      <c r="G94" s="154" t="str">
        <f>IF(NOMENCLATURE_GEN!G94="","",NOMENCLATURE_GEN!G94)</f>
        <v>Trémie de chargement</v>
      </c>
      <c r="H94" s="26" t="str">
        <f>IF(NOMENCLATURE_GEN!H94="","",IF(NOMENCLATURE_GEN!F94="ACO",NOMENCLATURE_GEN!H94+160,NOMENCLATURE_GEN!H94))</f>
        <v/>
      </c>
      <c r="I94" s="26" t="str">
        <f>IF(NOMENCLATURE_GEN!I94="","",NOMENCLATURE_GEN!I94)</f>
        <v/>
      </c>
      <c r="J94" s="56" t="str">
        <f>IF(NOMENCLATURE_GEN!J94="","",NOMENCLATURE_GEN!J94)</f>
        <v/>
      </c>
      <c r="K94" s="12" t="str">
        <f>IFERROR(400/VLOOKUP(F94,données!$B$3:$D$30,3,FALSE),"")</f>
        <v/>
      </c>
      <c r="L94" s="13" t="str">
        <f>IFERROR(3/VLOOKUP(F94,données!$B$3:$D$30,3,FALSE),"")</f>
        <v/>
      </c>
      <c r="M94" s="13" t="str">
        <f>IF(L94="","",VLOOKUP(F94,données!$B$4:$I$30,8,FALSE))</f>
        <v/>
      </c>
      <c r="N94" s="14" t="str">
        <f t="shared" si="12"/>
        <v/>
      </c>
      <c r="O94" s="514" t="str">
        <f t="shared" si="11"/>
        <v/>
      </c>
      <c r="P94" s="14" t="str">
        <f t="shared" si="13"/>
        <v/>
      </c>
      <c r="Q94" s="326" t="str">
        <f>IF(K94="","",INT(((I94*2-VLOOKUP(F94,données!$B$4:$I$30,4,FALSE)+VLOOKUP(F94,données!$B$4:$I$30,5,FALSE)*NOMENCLATURE_GEN!O94+IF(OR(NOMENCLATURE_GEN!P94="",NOMENCLATURE_GEN!P94=0),0,2250)+NOMENCLATURE_GEN!Q94*2000)+0.3*H94+VLOOKUP(K94,données!$M$4:$Q$9,MATCH(L94,données!$M$3:$Q$3,0),FALSE)*(L94-1)+250)/1000)+1)</f>
        <v/>
      </c>
      <c r="R94" s="14" t="str">
        <f>IF(K94="","",IF(OR(F94=données!$B$12,F94=données!$B$13),"Bande à bords",IF(J94&gt;données!$P$11,"Bande à chevrons","Bande lisse")))</f>
        <v/>
      </c>
      <c r="S94" s="14" t="str">
        <f t="shared" si="14"/>
        <v/>
      </c>
      <c r="T94" s="406"/>
      <c r="U94" s="406"/>
      <c r="V94" s="17"/>
    </row>
    <row r="95" spans="1:22" s="8" customFormat="1" ht="39.950000000000003" hidden="1" customHeight="1">
      <c r="A95" s="3"/>
      <c r="B95" s="25" t="str">
        <f>IF(NOMENCLATURE_GEN!B95="","",NOMENCLATURE_GEN!B95)</f>
        <v/>
      </c>
      <c r="C95" s="243" t="str">
        <f>IF(NOMENCLATURE_GEN!C95="","",NOMENCLATURE_GEN!C95)</f>
        <v/>
      </c>
      <c r="D95" s="4">
        <f>IF(NOMENCLATURE_GEN!D95="","",NOMENCLATURE_GEN!D95)</f>
        <v>177</v>
      </c>
      <c r="E95" s="4" t="str">
        <f ca="1">IF(NOMENCLATURE_GEN!E95="","",NOMENCLATURE_GEN!E95)</f>
        <v>A</v>
      </c>
      <c r="F95" s="4" t="str">
        <f>IF(NOMENCLATURE_GEN!F95="","",NOMENCLATURE_GEN!F95)</f>
        <v>EAB</v>
      </c>
      <c r="G95" s="154" t="str">
        <f>IF(NOMENCLATURE_GEN!G95="","",NOMENCLATURE_GEN!G95)</f>
        <v>Convoyeur alimentateur</v>
      </c>
      <c r="H95" s="26">
        <f>IF(NOMENCLATURE_GEN!H95="","",IF(NOMENCLATURE_GEN!F95="ACO",NOMENCLATURE_GEN!H95+160,NOMENCLATURE_GEN!H95))</f>
        <v>1600</v>
      </c>
      <c r="I95" s="26">
        <f>IF(NOMENCLATURE_GEN!I95="","",NOMENCLATURE_GEN!I95)</f>
        <v>11500</v>
      </c>
      <c r="J95" s="56">
        <f>IF(NOMENCLATURE_GEN!J95="","",NOMENCLATURE_GEN!J95)</f>
        <v>8</v>
      </c>
      <c r="K95" s="12">
        <f>IFERROR(400/VLOOKUP(F95,données!$B$3:$D$30,3,FALSE),"")</f>
        <v>400</v>
      </c>
      <c r="L95" s="13">
        <f>IFERROR(3/VLOOKUP(F95,données!$B$3:$D$30,3,FALSE),"")</f>
        <v>3</v>
      </c>
      <c r="M95" s="13" t="str">
        <f>IF(L95="","",VLOOKUP(F95,données!$B$4:$I$30,8,FALSE))</f>
        <v>4+2</v>
      </c>
      <c r="N95" s="14" t="str">
        <f t="shared" si="12"/>
        <v>CAOUTCHOUC</v>
      </c>
      <c r="O95" s="514" t="str">
        <f t="shared" si="11"/>
        <v>G2 Haute resistance aux huiles</v>
      </c>
      <c r="P95" s="14" t="str">
        <f t="shared" si="13"/>
        <v>Ouverte</v>
      </c>
      <c r="Q95" s="326">
        <f>IF(K95="","",INT(((I95*2-VLOOKUP(F95,données!$B$4:$I$30,4,FALSE)+VLOOKUP(F95,données!$B$4:$I$30,5,FALSE)*NOMENCLATURE_GEN!O95+IF(OR(NOMENCLATURE_GEN!P95="",NOMENCLATURE_GEN!P95=0),0,2250)+NOMENCLATURE_GEN!Q95*2000)+0.3*H95+VLOOKUP(K95,données!$M$4:$Q$9,MATCH(L95,données!$M$3:$Q$3,0),FALSE)*(L95-1)+250)/1000)+1)</f>
        <v>25</v>
      </c>
      <c r="R95" s="14" t="str">
        <f>IF(K95="","",IF(OR(F95=données!$B$12,F95=données!$B$13),"Bande à bords",IF(J95&gt;données!$P$11,"Bande à chevrons","Bande lisse")))</f>
        <v>Bande à bords</v>
      </c>
      <c r="S95" s="14" t="str">
        <f t="shared" si="14"/>
        <v>EAB160350</v>
      </c>
      <c r="T95" s="109" t="s">
        <v>26</v>
      </c>
      <c r="U95" s="406" t="s">
        <v>535</v>
      </c>
      <c r="V95" s="17"/>
    </row>
    <row r="96" spans="1:22" s="8" customFormat="1" ht="39.950000000000003" hidden="1" customHeight="1">
      <c r="A96" s="3"/>
      <c r="B96" s="25" t="str">
        <f>IF(NOMENCLATURE_GEN!B96="","",NOMENCLATURE_GEN!B96)</f>
        <v/>
      </c>
      <c r="C96" s="243" t="str">
        <f>IF(NOMENCLATURE_GEN!C96="","",NOMENCLATURE_GEN!C96)</f>
        <v/>
      </c>
      <c r="D96" s="4">
        <f>IF(NOMENCLATURE_GEN!D96="","",NOMENCLATURE_GEN!D96)</f>
        <v>177</v>
      </c>
      <c r="E96" s="4" t="str">
        <f ca="1">IF(NOMENCLATURE_GEN!E96="","",NOMENCLATURE_GEN!E96)</f>
        <v>B</v>
      </c>
      <c r="F96" s="4" t="str">
        <f>IF(NOMENCLATURE_GEN!F96="","",NOMENCLATURE_GEN!F96)</f>
        <v>GRA</v>
      </c>
      <c r="G96" s="154" t="str">
        <f>IF(NOMENCLATURE_GEN!G96="","",NOMENCLATURE_GEN!G96)</f>
        <v>Convoyeur à bande et chaines - Centrale de graissage</v>
      </c>
      <c r="H96" s="26" t="str">
        <f>IF(NOMENCLATURE_GEN!H96="","",IF(NOMENCLATURE_GEN!F96="ACO",NOMENCLATURE_GEN!H96+160,NOMENCLATURE_GEN!H96))</f>
        <v/>
      </c>
      <c r="I96" s="26" t="str">
        <f>IF(NOMENCLATURE_GEN!I96="","",NOMENCLATURE_GEN!I96)</f>
        <v/>
      </c>
      <c r="J96" s="56" t="str">
        <f>IF(NOMENCLATURE_GEN!J96="","",NOMENCLATURE_GEN!J96)</f>
        <v/>
      </c>
      <c r="K96" s="12" t="str">
        <f>IFERROR(400/VLOOKUP(F96,données!$B$3:$D$30,3,FALSE),"")</f>
        <v/>
      </c>
      <c r="L96" s="13" t="str">
        <f>IFERROR(3/VLOOKUP(F96,données!$B$3:$D$30,3,FALSE),"")</f>
        <v/>
      </c>
      <c r="M96" s="13" t="str">
        <f>IF(L96="","",VLOOKUP(F96,données!$B$4:$I$30,8,FALSE))</f>
        <v/>
      </c>
      <c r="N96" s="14" t="str">
        <f t="shared" si="12"/>
        <v/>
      </c>
      <c r="O96" s="514" t="str">
        <f t="shared" si="11"/>
        <v/>
      </c>
      <c r="P96" s="14" t="str">
        <f t="shared" si="13"/>
        <v/>
      </c>
      <c r="Q96" s="326" t="str">
        <f>IF(K96="","",INT(((I96*2-VLOOKUP(F96,données!$B$4:$I$30,4,FALSE)+VLOOKUP(F96,données!$B$4:$I$30,5,FALSE)*NOMENCLATURE_GEN!O96+IF(OR(NOMENCLATURE_GEN!P96="",NOMENCLATURE_GEN!P96=0),0,2250)+NOMENCLATURE_GEN!Q96*2000)+0.3*H96+VLOOKUP(K96,données!$M$4:$Q$9,MATCH(L96,données!$M$3:$Q$3,0),FALSE)*(L96-1)+250)/1000)+1)</f>
        <v/>
      </c>
      <c r="R96" s="14" t="str">
        <f>IF(K96="","",IF(OR(F96=données!$B$12,F96=données!$B$13),"Bande à bords",IF(J96&gt;données!$P$11,"Bande à chevrons","Bande lisse")))</f>
        <v/>
      </c>
      <c r="S96" s="14" t="str">
        <f t="shared" si="14"/>
        <v/>
      </c>
      <c r="T96" s="406"/>
      <c r="U96" s="406"/>
      <c r="V96" s="17"/>
    </row>
    <row r="97" spans="1:22" s="8" customFormat="1" ht="39.950000000000003" hidden="1" customHeight="1">
      <c r="A97" s="3"/>
      <c r="B97" s="25" t="str">
        <f>IF(NOMENCLATURE_GEN!B97="","",NOMENCLATURE_GEN!B97)</f>
        <v/>
      </c>
      <c r="C97" s="243" t="str">
        <f>IF(NOMENCLATURE_GEN!C97="","",NOMENCLATURE_GEN!C97)</f>
        <v/>
      </c>
      <c r="D97" s="4">
        <f>IF(NOMENCLATURE_GEN!D97="","",NOMENCLATURE_GEN!D97)</f>
        <v>178</v>
      </c>
      <c r="E97" s="4" t="str">
        <f ca="1">IF(NOMENCLATURE_GEN!E97="","",NOMENCLATURE_GEN!E97)</f>
        <v>A</v>
      </c>
      <c r="F97" s="4" t="str">
        <f>IF(NOMENCLATURE_GEN!F97="","",NOMENCLATURE_GEN!F97)</f>
        <v>REG</v>
      </c>
      <c r="G97" s="154" t="str">
        <f>IF(NOMENCLATURE_GEN!G97="","",NOMENCLATURE_GEN!G97)</f>
        <v>Ebouleur</v>
      </c>
      <c r="H97" s="26">
        <f>IF(NOMENCLATURE_GEN!H97="","",IF(NOMENCLATURE_GEN!F97="ACO",NOMENCLATURE_GEN!H97+160,NOMENCLATURE_GEN!H97))</f>
        <v>1600</v>
      </c>
      <c r="I97" s="26" t="str">
        <f>IF(NOMENCLATURE_GEN!I97="","",NOMENCLATURE_GEN!I97)</f>
        <v>Ø450</v>
      </c>
      <c r="J97" s="56" t="str">
        <f>IF(NOMENCLATURE_GEN!J97="","",NOMENCLATURE_GEN!J97)</f>
        <v/>
      </c>
      <c r="K97" s="12" t="str">
        <f>IFERROR(400/VLOOKUP(F97,données!$B$3:$D$30,3,FALSE),"")</f>
        <v/>
      </c>
      <c r="L97" s="13" t="str">
        <f>IFERROR(3/VLOOKUP(F97,données!$B$3:$D$30,3,FALSE),"")</f>
        <v/>
      </c>
      <c r="M97" s="13" t="str">
        <f>IF(L97="","",VLOOKUP(F97,données!$B$4:$I$30,8,FALSE))</f>
        <v/>
      </c>
      <c r="N97" s="14" t="str">
        <f t="shared" si="12"/>
        <v/>
      </c>
      <c r="O97" s="514" t="str">
        <f t="shared" si="11"/>
        <v/>
      </c>
      <c r="P97" s="14" t="str">
        <f t="shared" si="13"/>
        <v/>
      </c>
      <c r="Q97" s="326" t="str">
        <f>IF(K97="","",INT(((I97*2-VLOOKUP(F97,données!$B$4:$I$30,4,FALSE)+VLOOKUP(F97,données!$B$4:$I$30,5,FALSE)*NOMENCLATURE_GEN!O97+IF(OR(NOMENCLATURE_GEN!P97="",NOMENCLATURE_GEN!P97=0),0,2250)+NOMENCLATURE_GEN!Q97*2000)+0.3*H97+VLOOKUP(K97,données!$M$4:$Q$9,MATCH(L97,données!$M$3:$Q$3,0),FALSE)*(L97-1)+250)/1000)+1)</f>
        <v/>
      </c>
      <c r="R97" s="14" t="str">
        <f>IF(K97="","",IF(OR(F97=données!$B$12,F97=données!$B$13),"Bande à bords",IF(J97&gt;données!$P$11,"Bande à chevrons","Bande lisse")))</f>
        <v/>
      </c>
      <c r="S97" s="14" t="str">
        <f t="shared" si="14"/>
        <v/>
      </c>
      <c r="T97" s="406"/>
      <c r="U97" s="406"/>
      <c r="V97" s="17"/>
    </row>
    <row r="98" spans="1:22" s="8" customFormat="1" ht="39.950000000000003" hidden="1" customHeight="1">
      <c r="A98" s="3"/>
      <c r="B98" s="25" t="str">
        <f>IF(NOMENCLATURE_GEN!B98="","",NOMENCLATURE_GEN!B98)</f>
        <v/>
      </c>
      <c r="C98" s="243" t="str">
        <f>IF(NOMENCLATURE_GEN!C98="","",NOMENCLATURE_GEN!C98)</f>
        <v/>
      </c>
      <c r="D98" s="4">
        <f>IF(NOMENCLATURE_GEN!D98="","",NOMENCLATURE_GEN!D98)</f>
        <v>178</v>
      </c>
      <c r="E98" s="4" t="str">
        <f ca="1">IF(NOMENCLATURE_GEN!E98="","",NOMENCLATURE_GEN!E98)</f>
        <v>B</v>
      </c>
      <c r="F98" s="4" t="str">
        <f>IF(NOMENCLATURE_GEN!F98="","",NOMENCLATURE_GEN!F98)</f>
        <v>REG</v>
      </c>
      <c r="G98" s="154" t="str">
        <f>IF(NOMENCLATURE_GEN!G98="","",NOMENCLATURE_GEN!G98)</f>
        <v>Ebouleur</v>
      </c>
      <c r="H98" s="26">
        <f>IF(NOMENCLATURE_GEN!H98="","",IF(NOMENCLATURE_GEN!F98="ACO",NOMENCLATURE_GEN!H98+160,NOMENCLATURE_GEN!H98))</f>
        <v>1600</v>
      </c>
      <c r="I98" s="26" t="str">
        <f>IF(NOMENCLATURE_GEN!I98="","",NOMENCLATURE_GEN!I98)</f>
        <v>Ø450</v>
      </c>
      <c r="J98" s="56" t="str">
        <f>IF(NOMENCLATURE_GEN!J98="","",NOMENCLATURE_GEN!J98)</f>
        <v/>
      </c>
      <c r="K98" s="12" t="str">
        <f>IFERROR(400/VLOOKUP(F98,données!$B$3:$D$30,3,FALSE),"")</f>
        <v/>
      </c>
      <c r="L98" s="13" t="str">
        <f>IFERROR(3/VLOOKUP(F98,données!$B$3:$D$30,3,FALSE),"")</f>
        <v/>
      </c>
      <c r="M98" s="13" t="str">
        <f>IF(L98="","",VLOOKUP(F98,données!$B$4:$I$30,8,FALSE))</f>
        <v/>
      </c>
      <c r="N98" s="14" t="str">
        <f t="shared" si="12"/>
        <v/>
      </c>
      <c r="O98" s="514" t="str">
        <f t="shared" si="11"/>
        <v/>
      </c>
      <c r="P98" s="14" t="str">
        <f t="shared" si="13"/>
        <v/>
      </c>
      <c r="Q98" s="326" t="str">
        <f>IF(K98="","",INT(((I98*2-VLOOKUP(F98,données!$B$4:$I$30,4,FALSE)+VLOOKUP(F98,données!$B$4:$I$30,5,FALSE)*NOMENCLATURE_GEN!O98+IF(OR(NOMENCLATURE_GEN!P98="",NOMENCLATURE_GEN!P98=0),0,2250)+NOMENCLATURE_GEN!Q98*2000)+0.3*H98+VLOOKUP(K98,données!$M$4:$Q$9,MATCH(L98,données!$M$3:$Q$3,0),FALSE)*(L98-1)+250)/1000)+1)</f>
        <v/>
      </c>
      <c r="R98" s="14" t="str">
        <f>IF(K98="","",IF(OR(F98=données!$B$12,F98=données!$B$13),"Bande à bords",IF(J98&gt;données!$P$11,"Bande à chevrons","Bande lisse")))</f>
        <v/>
      </c>
      <c r="S98" s="14" t="str">
        <f t="shared" si="14"/>
        <v/>
      </c>
      <c r="T98" s="406"/>
      <c r="U98" s="406"/>
      <c r="V98" s="17"/>
    </row>
    <row r="99" spans="1:22" s="8" customFormat="1" ht="39.950000000000003" customHeight="1">
      <c r="A99" s="3"/>
      <c r="B99" s="25" t="str">
        <f>IF(NOMENCLATURE_GEN!B99="","",NOMENCLATURE_GEN!B99)</f>
        <v/>
      </c>
      <c r="C99" s="243" t="str">
        <f>IF(NOMENCLATURE_GEN!C99="","",NOMENCLATURE_GEN!C99)</f>
        <v/>
      </c>
      <c r="D99" s="4">
        <f>IF(NOMENCLATURE_GEN!D99="","",NOMENCLATURE_GEN!D99)</f>
        <v>179</v>
      </c>
      <c r="E99" s="4" t="str">
        <f ca="1">IF(NOMENCLATURE_GEN!E99="","",NOMENCLATURE_GEN!E99)</f>
        <v>A</v>
      </c>
      <c r="F99" s="4" t="str">
        <f>IF(NOMENCLATURE_GEN!F99="","",NOMENCLATURE_GEN!F99)</f>
        <v>CBA</v>
      </c>
      <c r="G99" s="154" t="str">
        <f>IF(NOMENCLATURE_GEN!G99="","",NOMENCLATURE_GEN!G99)</f>
        <v>Convoyeur de transfert des légers 0-8mm vers métha</v>
      </c>
      <c r="H99" s="26">
        <f>IF(NOMENCLATURE_GEN!H99="","",IF(NOMENCLATURE_GEN!F99="ACO",NOMENCLATURE_GEN!H99+160,NOMENCLATURE_GEN!H99))</f>
        <v>1000</v>
      </c>
      <c r="I99" s="26">
        <f>IF(NOMENCLATURE_GEN!I99="","",NOMENCLATURE_GEN!I99)</f>
        <v>18250</v>
      </c>
      <c r="J99" s="56">
        <f>IF(NOMENCLATURE_GEN!J99="","",NOMENCLATURE_GEN!J99)</f>
        <v>9</v>
      </c>
      <c r="K99" s="12">
        <f>IFERROR(400/VLOOKUP(F99,données!$B$3:$D$30,3,FALSE),"")</f>
        <v>400</v>
      </c>
      <c r="L99" s="13">
        <f>IFERROR(3/VLOOKUP(F99,données!$B$3:$D$30,3,FALSE),"")</f>
        <v>3</v>
      </c>
      <c r="M99" s="13" t="str">
        <f>IF(L99="","",VLOOKUP(F99,données!$B$4:$I$30,8,FALSE))</f>
        <v>4+2</v>
      </c>
      <c r="N99" s="14" t="str">
        <f t="shared" si="12"/>
        <v>CAOUTCHOUC</v>
      </c>
      <c r="O99" s="514" t="str">
        <f t="shared" si="11"/>
        <v>G2 Haute resistance aux huiles</v>
      </c>
      <c r="P99" s="14" t="str">
        <f t="shared" si="13"/>
        <v>Ouverte</v>
      </c>
      <c r="Q99" s="326">
        <f>IF(K99="","",INT(((I99*2-VLOOKUP(F99,données!$B$4:$I$30,4,FALSE)+VLOOKUP(F99,données!$B$4:$I$30,5,FALSE)*NOMENCLATURE_GEN!O99+IF(OR(NOMENCLATURE_GEN!P99="",NOMENCLATURE_GEN!P99=0),0,2250)+NOMENCLATURE_GEN!Q99*2000)+0.3*H99+VLOOKUP(K99,données!$M$4:$Q$9,MATCH(L99,données!$M$3:$Q$3,0),FALSE)*(L99-1)+250)/1000)+1)</f>
        <v>38</v>
      </c>
      <c r="R99" s="14" t="str">
        <f>IF(K99="","",IF(OR(F99=données!$B$12,F99=données!$B$13),"Bande à bords",IF(J99&gt;données!$P$11,"Bande à chevrons","Bande lisse")))</f>
        <v>Bande lisse</v>
      </c>
      <c r="S99" s="14" t="str">
        <f t="shared" si="14"/>
        <v/>
      </c>
      <c r="T99" s="406" t="s">
        <v>542</v>
      </c>
      <c r="U99" s="406" t="s">
        <v>542</v>
      </c>
      <c r="V99" s="17"/>
    </row>
    <row r="100" spans="1:22" s="8" customFormat="1" ht="39.950000000000003" customHeight="1">
      <c r="A100" s="3"/>
      <c r="B100" s="25" t="str">
        <f>IF(NOMENCLATURE_GEN!B100="","",NOMENCLATURE_GEN!B100)</f>
        <v/>
      </c>
      <c r="C100" s="243" t="str">
        <f>IF(NOMENCLATURE_GEN!C100="","",NOMENCLATURE_GEN!C100)</f>
        <v/>
      </c>
      <c r="D100" s="4">
        <f>IF(NOMENCLATURE_GEN!D100="","",NOMENCLATURE_GEN!D100)</f>
        <v>180</v>
      </c>
      <c r="E100" s="4" t="str">
        <f ca="1">IF(NOMENCLATURE_GEN!E100="","",NOMENCLATURE_GEN!E100)</f>
        <v>A</v>
      </c>
      <c r="F100" s="4" t="str">
        <f>IF(NOMENCLATURE_GEN!F100="","",NOMENCLATURE_GEN!F100)</f>
        <v>CBA</v>
      </c>
      <c r="G100" s="154" t="str">
        <f>IF(NOMENCLATURE_GEN!G100="","",NOMENCLATURE_GEN!G100)</f>
        <v>Convoyeur de transfert des légers 0-8mm vers métha</v>
      </c>
      <c r="H100" s="26">
        <f>IF(NOMENCLATURE_GEN!H100="","",IF(NOMENCLATURE_GEN!F100="ACO",NOMENCLATURE_GEN!H100+160,NOMENCLATURE_GEN!H100))</f>
        <v>1000</v>
      </c>
      <c r="I100" s="26">
        <f>IF(NOMENCLATURE_GEN!I100="","",NOMENCLATURE_GEN!I100)</f>
        <v>6250</v>
      </c>
      <c r="J100" s="56">
        <f>IF(NOMENCLATURE_GEN!J100="","",NOMENCLATURE_GEN!J100)</f>
        <v>18</v>
      </c>
      <c r="K100" s="12">
        <f>IFERROR(400/VLOOKUP(F100,données!$B$3:$D$30,3,FALSE),"")</f>
        <v>400</v>
      </c>
      <c r="L100" s="13">
        <f>IFERROR(3/VLOOKUP(F100,données!$B$3:$D$30,3,FALSE),"")</f>
        <v>3</v>
      </c>
      <c r="M100" s="13" t="str">
        <f>IF(L100="","",VLOOKUP(F100,données!$B$4:$I$30,8,FALSE))</f>
        <v>4+2</v>
      </c>
      <c r="N100" s="14" t="str">
        <f t="shared" si="12"/>
        <v>CAOUTCHOUC</v>
      </c>
      <c r="O100" s="514" t="str">
        <f t="shared" si="11"/>
        <v>G2 Haute resistance aux huiles</v>
      </c>
      <c r="P100" s="14" t="str">
        <f t="shared" si="13"/>
        <v>Ouverte</v>
      </c>
      <c r="Q100" s="326">
        <f>IF(K100="","",INT(((I100*2-VLOOKUP(F100,données!$B$4:$I$30,4,FALSE)+VLOOKUP(F100,données!$B$4:$I$30,5,FALSE)*NOMENCLATURE_GEN!O100+IF(OR(NOMENCLATURE_GEN!P100="",NOMENCLATURE_GEN!P100=0),0,2250)+NOMENCLATURE_GEN!Q100*2000)+0.3*H100+VLOOKUP(K100,données!$M$4:$Q$9,MATCH(L100,données!$M$3:$Q$3,0),FALSE)*(L100-1)+250)/1000)+1)</f>
        <v>14</v>
      </c>
      <c r="R100" s="14" t="s">
        <v>536</v>
      </c>
      <c r="S100" s="14" t="str">
        <f t="shared" si="14"/>
        <v/>
      </c>
      <c r="T100" s="652" t="s">
        <v>542</v>
      </c>
      <c r="U100" s="652" t="s">
        <v>542</v>
      </c>
      <c r="V100" s="17"/>
    </row>
    <row r="101" spans="1:22" s="8" customFormat="1" ht="39.950000000000003" customHeight="1">
      <c r="A101" s="3"/>
      <c r="B101" s="25" t="str">
        <f>IF(NOMENCLATURE_GEN!B101="","",NOMENCLATURE_GEN!B101)</f>
        <v/>
      </c>
      <c r="C101" s="243" t="str">
        <f>IF(NOMENCLATURE_GEN!C101="","",NOMENCLATURE_GEN!C101)</f>
        <v/>
      </c>
      <c r="D101" s="4">
        <f>IF(NOMENCLATURE_GEN!D101="","",NOMENCLATURE_GEN!D101)</f>
        <v>181</v>
      </c>
      <c r="E101" s="4" t="str">
        <f ca="1">IF(NOMENCLATURE_GEN!E101="","",NOMENCLATURE_GEN!E101)</f>
        <v>A</v>
      </c>
      <c r="F101" s="4" t="str">
        <f>IF(NOMENCLATURE_GEN!F101="","",NOMENCLATURE_GEN!F101)</f>
        <v>CBA</v>
      </c>
      <c r="G101" s="154" t="str">
        <f>IF(NOMENCLATURE_GEN!G101="","",NOMENCLATURE_GEN!G101)</f>
        <v>Convoyeur de transfert des légers 0-8mm vers métha</v>
      </c>
      <c r="H101" s="26">
        <f>IF(NOMENCLATURE_GEN!H101="","",IF(NOMENCLATURE_GEN!F101="ACO",NOMENCLATURE_GEN!H101+160,NOMENCLATURE_GEN!H101))</f>
        <v>1000</v>
      </c>
      <c r="I101" s="26">
        <f>IF(NOMENCLATURE_GEN!I101="","",NOMENCLATURE_GEN!I101)</f>
        <v>22250</v>
      </c>
      <c r="J101" s="56">
        <f>IF(NOMENCLATURE_GEN!J101="","",NOMENCLATURE_GEN!J101)</f>
        <v>19</v>
      </c>
      <c r="K101" s="12">
        <f>IFERROR(400/VLOOKUP(F101,données!$B$3:$D$30,3,FALSE),"")</f>
        <v>400</v>
      </c>
      <c r="L101" s="13">
        <f>IFERROR(3/VLOOKUP(F101,données!$B$3:$D$30,3,FALSE),"")</f>
        <v>3</v>
      </c>
      <c r="M101" s="13" t="str">
        <f>IF(L101="","",VLOOKUP(F101,données!$B$4:$I$30,8,FALSE))</f>
        <v>4+2</v>
      </c>
      <c r="N101" s="14" t="str">
        <f t="shared" si="12"/>
        <v>CAOUTCHOUC</v>
      </c>
      <c r="O101" s="514" t="str">
        <f t="shared" si="11"/>
        <v>G2 Haute resistance aux huiles</v>
      </c>
      <c r="P101" s="14" t="str">
        <f t="shared" si="13"/>
        <v>Ouverte</v>
      </c>
      <c r="Q101" s="326">
        <f>IF(K101="","",INT(((I101*2-VLOOKUP(F101,données!$B$4:$I$30,4,FALSE)+VLOOKUP(F101,données!$B$4:$I$30,5,FALSE)*NOMENCLATURE_GEN!O101+IF(OR(NOMENCLATURE_GEN!P101="",NOMENCLATURE_GEN!P101=0),0,2250)+NOMENCLATURE_GEN!Q101*2000)+0.3*H101+VLOOKUP(K101,données!$M$4:$Q$9,MATCH(L101,données!$M$3:$Q$3,0),FALSE)*(L101-1)+250)/1000)+1)</f>
        <v>46</v>
      </c>
      <c r="R101" s="14" t="s">
        <v>536</v>
      </c>
      <c r="S101" s="14" t="str">
        <f t="shared" si="14"/>
        <v/>
      </c>
      <c r="T101" s="406" t="s">
        <v>542</v>
      </c>
      <c r="U101" s="406" t="s">
        <v>542</v>
      </c>
      <c r="V101" s="17"/>
    </row>
    <row r="102" spans="1:22" s="8" customFormat="1" ht="39.950000000000003" hidden="1" customHeight="1">
      <c r="A102" s="3"/>
      <c r="B102" s="27" t="str">
        <f>IF(NOMENCLATURE_GEN!B102="","",NOMENCLATURE_GEN!B102)</f>
        <v/>
      </c>
      <c r="C102" s="243" t="str">
        <f>IF(NOMENCLATURE_GEN!C102="","",NOMENCLATURE_GEN!C102)</f>
        <v/>
      </c>
      <c r="D102" s="28">
        <f>IF(NOMENCLATURE_GEN!D102="","",NOMENCLATURE_GEN!D102)</f>
        <v>182</v>
      </c>
      <c r="E102" s="28" t="str">
        <f ca="1">IF(NOMENCLATURE_GEN!E102="","",NOMENCLATURE_GEN!E102)</f>
        <v>A</v>
      </c>
      <c r="F102" s="28" t="str">
        <f>IF(NOMENCLATURE_GEN!F102="","",NOMENCLATURE_GEN!F102)</f>
        <v>NAV</v>
      </c>
      <c r="G102" s="396" t="str">
        <f>IF(NOMENCLATURE_GEN!G102="","",NOMENCLATURE_GEN!G102)</f>
        <v>Système navette pour convoyeur mobile remplissage REPERE 165 benne métaux</v>
      </c>
      <c r="H102" s="29" t="str">
        <f>IF(NOMENCLATURE_GEN!H102="","",IF(NOMENCLATURE_GEN!F102="ACO",NOMENCLATURE_GEN!H102+160,NOMENCLATURE_GEN!H102))</f>
        <v/>
      </c>
      <c r="I102" s="29" t="str">
        <f>IF(NOMENCLATURE_GEN!I102="","",NOMENCLATURE_GEN!I102)</f>
        <v/>
      </c>
      <c r="J102" s="57" t="str">
        <f>IF(NOMENCLATURE_GEN!J102="","",NOMENCLATURE_GEN!J102)</f>
        <v/>
      </c>
      <c r="K102" s="12" t="str">
        <f>IFERROR(400/VLOOKUP(F102,données!$B$3:$D$30,3,FALSE),"")</f>
        <v/>
      </c>
      <c r="L102" s="13" t="str">
        <f>IFERROR(3/VLOOKUP(F102,données!$B$3:$D$30,3,FALSE),"")</f>
        <v/>
      </c>
      <c r="M102" s="13" t="str">
        <f>IF(L102="","",VLOOKUP(F102,données!$B$4:$I$30,8,FALSE))</f>
        <v/>
      </c>
      <c r="N102" s="22" t="str">
        <f t="shared" si="12"/>
        <v/>
      </c>
      <c r="O102" s="515" t="str">
        <f t="shared" si="11"/>
        <v/>
      </c>
      <c r="P102" s="22" t="str">
        <f t="shared" si="13"/>
        <v/>
      </c>
      <c r="Q102" s="326" t="str">
        <f>IF(K102="","",INT(((I102*2-VLOOKUP(F102,données!$B$4:$I$30,4,FALSE)+VLOOKUP(F102,données!$B$4:$I$30,5,FALSE)*NOMENCLATURE_GEN!O102+IF(OR(NOMENCLATURE_GEN!P102="",NOMENCLATURE_GEN!P102=0),0,2250)+NOMENCLATURE_GEN!Q102*2000)+0.3*H102+VLOOKUP(K102,données!$M$4:$Q$9,MATCH(L102,données!$M$3:$Q$3,0),FALSE)*(L102-1)+250)/1000)+1)</f>
        <v/>
      </c>
      <c r="R102" s="22" t="str">
        <f>IF(K102="","",IF(OR(F102=données!$B$12,F102=données!$B$13),"Bande à bords",IF(J102&gt;données!$P$11,"Bande à chevrons","Bande lisse")))</f>
        <v/>
      </c>
      <c r="S102" s="22" t="str">
        <f t="shared" si="14"/>
        <v/>
      </c>
      <c r="T102" s="407"/>
      <c r="U102" s="407"/>
      <c r="V102" s="21"/>
    </row>
    <row r="103" spans="1:22" s="8" customFormat="1" ht="39.950000000000003" hidden="1" customHeight="1">
      <c r="A103" s="3"/>
      <c r="B103" s="27" t="str">
        <f>IF(NOMENCLATURE_GEN!B103="","",NOMENCLATURE_GEN!B103)</f>
        <v/>
      </c>
      <c r="C103" s="243" t="str">
        <f>IF(NOMENCLATURE_GEN!C103="","",NOMENCLATURE_GEN!C103)</f>
        <v/>
      </c>
      <c r="D103" s="28">
        <f>IF(NOMENCLATURE_GEN!D103="","",NOMENCLATURE_GEN!D103)</f>
        <v>184</v>
      </c>
      <c r="E103" s="28" t="str">
        <f ca="1">IF(NOMENCLATURE_GEN!E103="","",NOMENCLATURE_GEN!E103)</f>
        <v>A</v>
      </c>
      <c r="F103" s="28" t="str">
        <f>IF(NOMENCLATURE_GEN!F103="","",NOMENCLATURE_GEN!F103)</f>
        <v>CHA</v>
      </c>
      <c r="G103" s="396" t="str">
        <f>IF(NOMENCLATURE_GEN!G103="","",NOMENCLATURE_GEN!G103)</f>
        <v>Charpente support trommel primaire &amp; passerelle d'accès maintenance</v>
      </c>
      <c r="H103" s="29" t="str">
        <f>IF(NOMENCLATURE_GEN!H103="","",IF(NOMENCLATURE_GEN!F103="ACO",NOMENCLATURE_GEN!H103+160,NOMENCLATURE_GEN!H103))</f>
        <v/>
      </c>
      <c r="I103" s="29" t="str">
        <f>IF(NOMENCLATURE_GEN!I103="","",NOMENCLATURE_GEN!I103)</f>
        <v/>
      </c>
      <c r="J103" s="57" t="str">
        <f>IF(NOMENCLATURE_GEN!J103="","",NOMENCLATURE_GEN!J103)</f>
        <v/>
      </c>
      <c r="K103" s="12" t="str">
        <f>IFERROR(400/VLOOKUP(F103,données!$B$3:$D$30,3,FALSE),"")</f>
        <v/>
      </c>
      <c r="L103" s="13" t="str">
        <f>IFERROR(3/VLOOKUP(F103,données!$B$3:$D$30,3,FALSE),"")</f>
        <v/>
      </c>
      <c r="M103" s="13" t="str">
        <f>IF(L103="","",VLOOKUP(F103,données!$B$4:$I$30,8,FALSE))</f>
        <v/>
      </c>
      <c r="N103" s="22" t="str">
        <f t="shared" si="12"/>
        <v/>
      </c>
      <c r="O103" s="515" t="str">
        <f t="shared" si="11"/>
        <v/>
      </c>
      <c r="P103" s="22" t="str">
        <f t="shared" si="13"/>
        <v/>
      </c>
      <c r="Q103" s="326" t="str">
        <f>IF(K103="","",INT(((I103*2-VLOOKUP(F103,données!$B$4:$I$30,4,FALSE)+VLOOKUP(F103,données!$B$4:$I$30,5,FALSE)*NOMENCLATURE_GEN!O103+IF(OR(NOMENCLATURE_GEN!P103="",NOMENCLATURE_GEN!P103=0),0,2250)+NOMENCLATURE_GEN!Q103*2000)+0.3*H103+VLOOKUP(K103,données!$M$4:$Q$9,MATCH(L103,données!$M$3:$Q$3,0),FALSE)*(L103-1)+250)/1000)+1)</f>
        <v/>
      </c>
      <c r="R103" s="22" t="str">
        <f>IF(K103="","",IF(OR(F103=données!$B$12,F103=données!$B$13),"Bande à bords",IF(J103&gt;données!$P$11,"Bande à chevrons","Bande lisse")))</f>
        <v/>
      </c>
      <c r="S103" s="22" t="str">
        <f t="shared" si="14"/>
        <v/>
      </c>
      <c r="T103" s="407"/>
      <c r="U103" s="407"/>
      <c r="V103" s="21"/>
    </row>
    <row r="104" spans="1:22" s="8" customFormat="1" ht="39.950000000000003" hidden="1" customHeight="1">
      <c r="A104" s="3"/>
      <c r="B104" s="27" t="str">
        <f>IF(NOMENCLATURE_GEN!B104="","",NOMENCLATURE_GEN!B104)</f>
        <v/>
      </c>
      <c r="C104" s="243" t="str">
        <f>IF(NOMENCLATURE_GEN!C104="","",NOMENCLATURE_GEN!C104)</f>
        <v/>
      </c>
      <c r="D104" s="28">
        <f>IF(NOMENCLATURE_GEN!D104="","",NOMENCLATURE_GEN!D104)</f>
        <v>185</v>
      </c>
      <c r="E104" s="28" t="str">
        <f ca="1">IF(NOMENCLATURE_GEN!E104="","",NOMENCLATURE_GEN!E104)</f>
        <v>A</v>
      </c>
      <c r="F104" s="28" t="str">
        <f>IF(NOMENCLATURE_GEN!F104="","",NOMENCLATURE_GEN!F104)</f>
        <v>CHA</v>
      </c>
      <c r="G104" s="396" t="str">
        <f>IF(NOMENCLATURE_GEN!G104="","",NOMENCLATURE_GEN!G104)</f>
        <v>Charpente support trommel secondaire &amp; passerelle d'accès maintenance</v>
      </c>
      <c r="H104" s="29" t="str">
        <f>IF(NOMENCLATURE_GEN!H104="","",IF(NOMENCLATURE_GEN!F104="ACO",NOMENCLATURE_GEN!H104+160,NOMENCLATURE_GEN!H104))</f>
        <v/>
      </c>
      <c r="I104" s="29" t="str">
        <f>IF(NOMENCLATURE_GEN!I104="","",NOMENCLATURE_GEN!I104)</f>
        <v/>
      </c>
      <c r="J104" s="57" t="str">
        <f>IF(NOMENCLATURE_GEN!J104="","",NOMENCLATURE_GEN!J104)</f>
        <v/>
      </c>
      <c r="K104" s="12" t="str">
        <f>IFERROR(400/VLOOKUP(F104,données!$B$3:$D$30,3,FALSE),"")</f>
        <v/>
      </c>
      <c r="L104" s="13" t="str">
        <f>IFERROR(3/VLOOKUP(F104,données!$B$3:$D$30,3,FALSE),"")</f>
        <v/>
      </c>
      <c r="M104" s="13" t="str">
        <f>IF(L104="","",VLOOKUP(F104,données!$B$4:$I$30,8,FALSE))</f>
        <v/>
      </c>
      <c r="N104" s="22" t="str">
        <f t="shared" si="12"/>
        <v/>
      </c>
      <c r="O104" s="515" t="str">
        <f t="shared" si="11"/>
        <v/>
      </c>
      <c r="P104" s="22" t="str">
        <f t="shared" si="13"/>
        <v/>
      </c>
      <c r="Q104" s="326" t="str">
        <f>IF(K104="","",INT(((I104*2-VLOOKUP(F104,données!$B$4:$I$30,4,FALSE)+VLOOKUP(F104,données!$B$4:$I$30,5,FALSE)*NOMENCLATURE_GEN!O104+IF(OR(NOMENCLATURE_GEN!P104="",NOMENCLATURE_GEN!P104=0),0,2250)+NOMENCLATURE_GEN!Q104*2000)+0.3*H104+VLOOKUP(K104,données!$M$4:$Q$9,MATCH(L104,données!$M$3:$Q$3,0),FALSE)*(L104-1)+250)/1000)+1)</f>
        <v/>
      </c>
      <c r="R104" s="22" t="str">
        <f>IF(K104="","",IF(OR(F104=données!$B$12,F104=données!$B$13),"Bande à bords",IF(J104&gt;données!$P$11,"Bande à chevrons","Bande lisse")))</f>
        <v/>
      </c>
      <c r="S104" s="22" t="str">
        <f t="shared" si="14"/>
        <v/>
      </c>
      <c r="T104" s="407"/>
      <c r="U104" s="407"/>
      <c r="V104" s="21"/>
    </row>
    <row r="105" spans="1:22" s="8" customFormat="1" ht="39.950000000000003" hidden="1" customHeight="1">
      <c r="A105" s="3"/>
      <c r="B105" s="27" t="str">
        <f>IF(NOMENCLATURE_GEN!B105="","",NOMENCLATURE_GEN!B105)</f>
        <v/>
      </c>
      <c r="C105" s="243" t="str">
        <f>IF(NOMENCLATURE_GEN!C105="","",NOMENCLATURE_GEN!C105)</f>
        <v/>
      </c>
      <c r="D105" s="28">
        <f>IF(NOMENCLATURE_GEN!D105="","",NOMENCLATURE_GEN!D105)</f>
        <v>186</v>
      </c>
      <c r="E105" s="28" t="str">
        <f ca="1">IF(NOMENCLATURE_GEN!E105="","",NOMENCLATURE_GEN!E105)</f>
        <v>A</v>
      </c>
      <c r="F105" s="28" t="str">
        <f>IF(NOMENCLATURE_GEN!F105="","",NOMENCLATURE_GEN!F105)</f>
        <v>CHA</v>
      </c>
      <c r="G105" s="396" t="str">
        <f>IF(NOMENCLATURE_GEN!G105="","",NOMENCLATURE_GEN!G105)</f>
        <v>Plateforme accès maintenancepour les SNF</v>
      </c>
      <c r="H105" s="29">
        <f>IF(NOMENCLATURE_GEN!H105="","",IF(NOMENCLATURE_GEN!F105="ACO",NOMENCLATURE_GEN!H105+160,NOMENCLATURE_GEN!H105))</f>
        <v>12000</v>
      </c>
      <c r="I105" s="29">
        <f>IF(NOMENCLATURE_GEN!I105="","",NOMENCLATURE_GEN!I105)</f>
        <v>10000</v>
      </c>
      <c r="J105" s="57" t="str">
        <f>IF(NOMENCLATURE_GEN!J105="","",NOMENCLATURE_GEN!J105)</f>
        <v/>
      </c>
      <c r="K105" s="12" t="str">
        <f>IFERROR(400/VLOOKUP(F105,données!$B$3:$D$30,3,FALSE),"")</f>
        <v/>
      </c>
      <c r="L105" s="13" t="str">
        <f>IFERROR(3/VLOOKUP(F105,données!$B$3:$D$30,3,FALSE),"")</f>
        <v/>
      </c>
      <c r="M105" s="13" t="str">
        <f>IF(L105="","",VLOOKUP(F105,données!$B$4:$I$30,8,FALSE))</f>
        <v/>
      </c>
      <c r="N105" s="22" t="str">
        <f t="shared" si="12"/>
        <v/>
      </c>
      <c r="O105" s="515" t="str">
        <f t="shared" si="11"/>
        <v/>
      </c>
      <c r="P105" s="22" t="str">
        <f t="shared" si="13"/>
        <v/>
      </c>
      <c r="Q105" s="326" t="str">
        <f>IF(K105="","",INT(((I105*2-VLOOKUP(F105,données!$B$4:$I$30,4,FALSE)+VLOOKUP(F105,données!$B$4:$I$30,5,FALSE)*NOMENCLATURE_GEN!O105+IF(OR(NOMENCLATURE_GEN!P105="",NOMENCLATURE_GEN!P105=0),0,2250)+NOMENCLATURE_GEN!Q105*2000)+0.3*H105+VLOOKUP(K105,données!$M$4:$Q$9,MATCH(L105,données!$M$3:$Q$3,0),FALSE)*(L105-1)+250)/1000)+1)</f>
        <v/>
      </c>
      <c r="R105" s="22" t="str">
        <f>IF(K105="","",IF(OR(F105=données!$B$12,F105=données!$B$13),"Bande à bords",IF(J105&gt;données!$P$11,"Bande à chevrons","Bande lisse")))</f>
        <v/>
      </c>
      <c r="S105" s="22" t="str">
        <f t="shared" si="14"/>
        <v/>
      </c>
      <c r="T105" s="407"/>
      <c r="U105" s="407"/>
      <c r="V105" s="21"/>
    </row>
    <row r="106" spans="1:22" s="8" customFormat="1" ht="39.950000000000003" hidden="1" customHeight="1">
      <c r="A106" s="3"/>
      <c r="B106" s="27" t="str">
        <f>IF(NOMENCLATURE_GEN!B106="","",NOMENCLATURE_GEN!B106)</f>
        <v/>
      </c>
      <c r="C106" s="243" t="str">
        <f>IF(NOMENCLATURE_GEN!C106="","",NOMENCLATURE_GEN!C106)</f>
        <v/>
      </c>
      <c r="D106" s="28">
        <f>IF(NOMENCLATURE_GEN!D106="","",NOMENCLATURE_GEN!D106)</f>
        <v>187</v>
      </c>
      <c r="E106" s="28" t="str">
        <f ca="1">IF(NOMENCLATURE_GEN!E106="","",NOMENCLATURE_GEN!E106)</f>
        <v>A</v>
      </c>
      <c r="F106" s="28" t="str">
        <f>IF(NOMENCLATURE_GEN!F106="","",NOMENCLATURE_GEN!F106)</f>
        <v>CHA</v>
      </c>
      <c r="G106" s="396" t="str">
        <f>IF(NOMENCLATURE_GEN!G106="","",NOMENCLATURE_GEN!G106)</f>
        <v>Charpente support pour OVB y compris goulotte inox et protection</v>
      </c>
      <c r="H106" s="29" t="str">
        <f>IF(NOMENCLATURE_GEN!H106="","",IF(NOMENCLATURE_GEN!F106="ACO",NOMENCLATURE_GEN!H106+160,NOMENCLATURE_GEN!H106))</f>
        <v/>
      </c>
      <c r="I106" s="29" t="str">
        <f>IF(NOMENCLATURE_GEN!I106="","",NOMENCLATURE_GEN!I106)</f>
        <v/>
      </c>
      <c r="J106" s="57" t="str">
        <f>IF(NOMENCLATURE_GEN!J106="","",NOMENCLATURE_GEN!J106)</f>
        <v/>
      </c>
      <c r="K106" s="12" t="str">
        <f>IFERROR(400/VLOOKUP(F106,données!$B$3:$D$30,3,FALSE),"")</f>
        <v/>
      </c>
      <c r="L106" s="13" t="str">
        <f>IFERROR(3/VLOOKUP(F106,données!$B$3:$D$30,3,FALSE),"")</f>
        <v/>
      </c>
      <c r="M106" s="13" t="str">
        <f>IF(L106="","",VLOOKUP(F106,données!$B$4:$I$30,8,FALSE))</f>
        <v/>
      </c>
      <c r="N106" s="22" t="str">
        <f t="shared" si="12"/>
        <v/>
      </c>
      <c r="O106" s="515" t="str">
        <f t="shared" si="11"/>
        <v/>
      </c>
      <c r="P106" s="22" t="str">
        <f t="shared" si="13"/>
        <v/>
      </c>
      <c r="Q106" s="326" t="str">
        <f>IF(K106="","",INT(((I106*2-VLOOKUP(F106,données!$B$4:$I$30,4,FALSE)+VLOOKUP(F106,données!$B$4:$I$30,5,FALSE)*NOMENCLATURE_GEN!O106+IF(OR(NOMENCLATURE_GEN!P106="",NOMENCLATURE_GEN!P106=0),0,2250)+NOMENCLATURE_GEN!Q106*2000)+0.3*H106+VLOOKUP(K106,données!$M$4:$Q$9,MATCH(L106,données!$M$3:$Q$3,0),FALSE)*(L106-1)+250)/1000)+1)</f>
        <v/>
      </c>
      <c r="R106" s="22" t="str">
        <f>IF(K106="","",IF(OR(F106=données!$B$12,F106=données!$B$13),"Bande à bords",IF(J106&gt;données!$P$11,"Bande à chevrons","Bande lisse")))</f>
        <v/>
      </c>
      <c r="S106" s="22" t="str">
        <f t="shared" si="14"/>
        <v/>
      </c>
      <c r="T106" s="407"/>
      <c r="U106" s="407"/>
      <c r="V106" s="21"/>
    </row>
    <row r="107" spans="1:22" s="8" customFormat="1" ht="39.950000000000003" hidden="1" customHeight="1">
      <c r="A107" s="3"/>
      <c r="B107" s="27" t="str">
        <f>IF(NOMENCLATURE_GEN!B107="","",NOMENCLATURE_GEN!B107)</f>
        <v/>
      </c>
      <c r="C107" s="243" t="str">
        <f>IF(NOMENCLATURE_GEN!C107="","",NOMENCLATURE_GEN!C107)</f>
        <v/>
      </c>
      <c r="D107" s="28">
        <f>IF(NOMENCLATURE_GEN!D107="","",NOMENCLATURE_GEN!D107)</f>
        <v>188</v>
      </c>
      <c r="E107" s="28" t="str">
        <f ca="1">IF(NOMENCLATURE_GEN!E107="","",NOMENCLATURE_GEN!E107)</f>
        <v>A</v>
      </c>
      <c r="F107" s="28" t="str">
        <f>IF(NOMENCLATURE_GEN!F107="","",NOMENCLATURE_GEN!F107)</f>
        <v>CHA</v>
      </c>
      <c r="G107" s="396" t="str">
        <f>IF(NOMENCLATURE_GEN!G107="","",NOMENCLATURE_GEN!G107)</f>
        <v>Plateforme accès maintenance NIV1 pour balistiques &amp; crible trampoline</v>
      </c>
      <c r="H107" s="29">
        <f>IF(NOMENCLATURE_GEN!H107="","",IF(NOMENCLATURE_GEN!F107="ACO",NOMENCLATURE_GEN!H107+160,NOMENCLATURE_GEN!H107))</f>
        <v>5200</v>
      </c>
      <c r="I107" s="29">
        <f>IF(NOMENCLATURE_GEN!I107="","",NOMENCLATURE_GEN!I107)</f>
        <v>26500</v>
      </c>
      <c r="J107" s="57" t="str">
        <f>IF(NOMENCLATURE_GEN!J107="","",NOMENCLATURE_GEN!J107)</f>
        <v/>
      </c>
      <c r="K107" s="12" t="str">
        <f>IFERROR(400/VLOOKUP(F107,données!$B$3:$D$30,3,FALSE),"")</f>
        <v/>
      </c>
      <c r="L107" s="13" t="str">
        <f>IFERROR(3/VLOOKUP(F107,données!$B$3:$D$30,3,FALSE),"")</f>
        <v/>
      </c>
      <c r="M107" s="13" t="str">
        <f>IF(L107="","",VLOOKUP(F107,données!$B$4:$I$30,8,FALSE))</f>
        <v/>
      </c>
      <c r="N107" s="22" t="str">
        <f t="shared" si="12"/>
        <v/>
      </c>
      <c r="O107" s="515" t="str">
        <f t="shared" si="11"/>
        <v/>
      </c>
      <c r="P107" s="22" t="str">
        <f t="shared" si="13"/>
        <v/>
      </c>
      <c r="Q107" s="326" t="str">
        <f>IF(K107="","",INT(((I107*2-VLOOKUP(F107,données!$B$4:$I$30,4,FALSE)+VLOOKUP(F107,données!$B$4:$I$30,5,FALSE)*NOMENCLATURE_GEN!O107+IF(OR(NOMENCLATURE_GEN!P107="",NOMENCLATURE_GEN!P107=0),0,2250)+NOMENCLATURE_GEN!Q107*2000)+0.3*H107+VLOOKUP(K107,données!$M$4:$Q$9,MATCH(L107,données!$M$3:$Q$3,0),FALSE)*(L107-1)+250)/1000)+1)</f>
        <v/>
      </c>
      <c r="R107" s="22" t="str">
        <f>IF(K107="","",IF(OR(F107=données!$B$12,F107=données!$B$13),"Bande à bords",IF(J107&gt;données!$P$11,"Bande à chevrons","Bande lisse")))</f>
        <v/>
      </c>
      <c r="S107" s="22" t="str">
        <f t="shared" si="14"/>
        <v/>
      </c>
      <c r="T107" s="407"/>
      <c r="U107" s="407"/>
      <c r="V107" s="21"/>
    </row>
    <row r="108" spans="1:22" s="8" customFormat="1" ht="39.950000000000003" hidden="1" customHeight="1">
      <c r="A108" s="3"/>
      <c r="B108" s="27" t="str">
        <f>IF(NOMENCLATURE_GEN!B108="","",NOMENCLATURE_GEN!B108)</f>
        <v/>
      </c>
      <c r="C108" s="243" t="str">
        <f>IF(NOMENCLATURE_GEN!C108="","",NOMENCLATURE_GEN!C108)</f>
        <v/>
      </c>
      <c r="D108" s="28">
        <f>IF(NOMENCLATURE_GEN!D108="","",NOMENCLATURE_GEN!D108)</f>
        <v>189</v>
      </c>
      <c r="E108" s="28" t="str">
        <f ca="1">IF(NOMENCLATURE_GEN!E108="","",NOMENCLATURE_GEN!E108)</f>
        <v>A</v>
      </c>
      <c r="F108" s="28" t="str">
        <f>IF(NOMENCLATURE_GEN!F108="","",NOMENCLATURE_GEN!F108)</f>
        <v>CHA</v>
      </c>
      <c r="G108" s="396" t="str">
        <f>IF(NOMENCLATURE_GEN!G108="","",NOMENCLATURE_GEN!G108)</f>
        <v>Plateforme accès maintenance NIV2 pour balistiques &amp; crible trampoline</v>
      </c>
      <c r="H108" s="29">
        <f>IF(NOMENCLATURE_GEN!H108="","",IF(NOMENCLATURE_GEN!F108="ACO",NOMENCLATURE_GEN!H108+160,NOMENCLATURE_GEN!H108))</f>
        <v>5200</v>
      </c>
      <c r="I108" s="29">
        <f>IF(NOMENCLATURE_GEN!I108="","",NOMENCLATURE_GEN!I108)</f>
        <v>23000</v>
      </c>
      <c r="J108" s="57" t="str">
        <f>IF(NOMENCLATURE_GEN!J108="","",NOMENCLATURE_GEN!J108)</f>
        <v/>
      </c>
      <c r="K108" s="12" t="str">
        <f>IFERROR(400/VLOOKUP(F108,données!$B$3:$D$30,3,FALSE),"")</f>
        <v/>
      </c>
      <c r="L108" s="13" t="str">
        <f>IFERROR(3/VLOOKUP(F108,données!$B$3:$D$30,3,FALSE),"")</f>
        <v/>
      </c>
      <c r="M108" s="13" t="str">
        <f>IF(L108="","",VLOOKUP(F108,données!$B$4:$I$30,8,FALSE))</f>
        <v/>
      </c>
      <c r="N108" s="22" t="str">
        <f t="shared" si="12"/>
        <v/>
      </c>
      <c r="O108" s="515" t="str">
        <f t="shared" si="11"/>
        <v/>
      </c>
      <c r="P108" s="22" t="str">
        <f t="shared" si="13"/>
        <v/>
      </c>
      <c r="Q108" s="326" t="str">
        <f>IF(K108="","",INT(((I108*2-VLOOKUP(F108,données!$B$4:$I$30,4,FALSE)+VLOOKUP(F108,données!$B$4:$I$30,5,FALSE)*NOMENCLATURE_GEN!O108+IF(OR(NOMENCLATURE_GEN!P108="",NOMENCLATURE_GEN!P108=0),0,2250)+NOMENCLATURE_GEN!Q108*2000)+0.3*H108+VLOOKUP(K108,données!$M$4:$Q$9,MATCH(L108,données!$M$3:$Q$3,0),FALSE)*(L108-1)+250)/1000)+1)</f>
        <v/>
      </c>
      <c r="R108" s="22" t="str">
        <f>IF(K108="","",IF(OR(F108=données!$B$12,F108=données!$B$13),"Bande à bords",IF(J108&gt;données!$P$11,"Bande à chevrons","Bande lisse")))</f>
        <v/>
      </c>
      <c r="S108" s="22" t="str">
        <f t="shared" si="14"/>
        <v/>
      </c>
      <c r="T108" s="407"/>
      <c r="U108" s="407"/>
      <c r="V108" s="21"/>
    </row>
    <row r="109" spans="1:22" s="8" customFormat="1" ht="39.950000000000003" hidden="1" customHeight="1">
      <c r="A109" s="3"/>
      <c r="B109" s="27" t="str">
        <f>IF(NOMENCLATURE_GEN!B109="","",NOMENCLATURE_GEN!B109)</f>
        <v/>
      </c>
      <c r="C109" s="243" t="str">
        <f>IF(NOMENCLATURE_GEN!C109="","",NOMENCLATURE_GEN!C109)</f>
        <v/>
      </c>
      <c r="D109" s="28">
        <f>IF(NOMENCLATURE_GEN!D109="","",NOMENCLATURE_GEN!D109)</f>
        <v>190</v>
      </c>
      <c r="E109" s="28" t="str">
        <f ca="1">IF(NOMENCLATURE_GEN!E109="","",NOMENCLATURE_GEN!E109)</f>
        <v>A</v>
      </c>
      <c r="F109" s="28" t="str">
        <f>IF(NOMENCLATURE_GEN!F109="","",NOMENCLATURE_GEN!F109)</f>
        <v>CHA</v>
      </c>
      <c r="G109" s="396" t="str">
        <f>IF(NOMENCLATURE_GEN!G109="","",NOMENCLATURE_GEN!G109)</f>
        <v>Plateforme accès maintenance pour crible trampoline + charpente</v>
      </c>
      <c r="H109" s="29" t="str">
        <f>IF(NOMENCLATURE_GEN!H109="","",IF(NOMENCLATURE_GEN!F109="ACO",NOMENCLATURE_GEN!H109+160,NOMENCLATURE_GEN!H109))</f>
        <v/>
      </c>
      <c r="I109" s="29" t="str">
        <f>IF(NOMENCLATURE_GEN!I109="","",NOMENCLATURE_GEN!I109)</f>
        <v/>
      </c>
      <c r="J109" s="57" t="str">
        <f>IF(NOMENCLATURE_GEN!J109="","",NOMENCLATURE_GEN!J109)</f>
        <v/>
      </c>
      <c r="K109" s="12" t="str">
        <f>IFERROR(400/VLOOKUP(F109,données!$B$3:$D$30,3,FALSE),"")</f>
        <v/>
      </c>
      <c r="L109" s="13" t="str">
        <f>IFERROR(3/VLOOKUP(F109,données!$B$3:$D$30,3,FALSE),"")</f>
        <v/>
      </c>
      <c r="M109" s="13" t="str">
        <f>IF(L109="","",VLOOKUP(F109,données!$B$4:$I$30,8,FALSE))</f>
        <v/>
      </c>
      <c r="N109" s="22" t="str">
        <f t="shared" si="12"/>
        <v/>
      </c>
      <c r="O109" s="515" t="str">
        <f t="shared" si="11"/>
        <v/>
      </c>
      <c r="P109" s="22" t="str">
        <f t="shared" si="13"/>
        <v/>
      </c>
      <c r="Q109" s="326" t="str">
        <f>IF(K109="","",INT(((I109*2-VLOOKUP(F109,données!$B$4:$I$30,4,FALSE)+VLOOKUP(F109,données!$B$4:$I$30,5,FALSE)*NOMENCLATURE_GEN!O109+IF(OR(NOMENCLATURE_GEN!P109="",NOMENCLATURE_GEN!P109=0),0,2250)+NOMENCLATURE_GEN!Q109*2000)+0.3*H109+VLOOKUP(K109,données!$M$4:$Q$9,MATCH(L109,données!$M$3:$Q$3,0),FALSE)*(L109-1)+250)/1000)+1)</f>
        <v/>
      </c>
      <c r="R109" s="22" t="str">
        <f>IF(K109="","",IF(OR(F109=données!$B$12,F109=données!$B$13),"Bande à bords",IF(J109&gt;données!$P$11,"Bande à chevrons","Bande lisse")))</f>
        <v/>
      </c>
      <c r="S109" s="22" t="str">
        <f t="shared" si="14"/>
        <v/>
      </c>
      <c r="T109" s="407"/>
      <c r="U109" s="407"/>
      <c r="V109" s="21"/>
    </row>
    <row r="110" spans="1:22" s="8" customFormat="1" ht="39.950000000000003" hidden="1" customHeight="1">
      <c r="A110" s="3"/>
      <c r="B110" s="27" t="str">
        <f>IF(NOMENCLATURE_GEN!B110="","",NOMENCLATURE_GEN!B110)</f>
        <v/>
      </c>
      <c r="C110" s="243" t="str">
        <f>IF(NOMENCLATURE_GEN!C110="","",NOMENCLATURE_GEN!C110)</f>
        <v/>
      </c>
      <c r="D110" s="28">
        <f>IF(NOMENCLATURE_GEN!D110="","",NOMENCLATURE_GEN!D110)</f>
        <v>191</v>
      </c>
      <c r="E110" s="28" t="str">
        <f ca="1">IF(NOMENCLATURE_GEN!E110="","",NOMENCLATURE_GEN!E110)</f>
        <v>A</v>
      </c>
      <c r="F110" s="28" t="str">
        <f>IF(NOMENCLATURE_GEN!F110="","",NOMENCLATURE_GEN!F110)</f>
        <v>CHA</v>
      </c>
      <c r="G110" s="396" t="str">
        <f>IF(NOMENCLATURE_GEN!G110="","",NOMENCLATURE_GEN!G110)</f>
        <v>Plateforme accès maintenance table TF &amp; cyclone</v>
      </c>
      <c r="H110" s="29">
        <f>IF(NOMENCLATURE_GEN!H110="","",IF(NOMENCLATURE_GEN!F110="ACO",NOMENCLATURE_GEN!H110+160,NOMENCLATURE_GEN!H110))</f>
        <v>5500</v>
      </c>
      <c r="I110" s="29">
        <f>IF(NOMENCLATURE_GEN!I110="","",NOMENCLATURE_GEN!I110)</f>
        <v>9600</v>
      </c>
      <c r="J110" s="57" t="str">
        <f>IF(NOMENCLATURE_GEN!J110="","",NOMENCLATURE_GEN!J110)</f>
        <v/>
      </c>
      <c r="K110" s="12" t="str">
        <f>IFERROR(400/VLOOKUP(F110,données!$B$3:$D$30,3,FALSE),"")</f>
        <v/>
      </c>
      <c r="L110" s="13" t="str">
        <f>IFERROR(3/VLOOKUP(F110,données!$B$3:$D$30,3,FALSE),"")</f>
        <v/>
      </c>
      <c r="M110" s="13" t="str">
        <f>IF(L110="","",VLOOKUP(F110,données!$B$4:$I$30,8,FALSE))</f>
        <v/>
      </c>
      <c r="N110" s="22" t="str">
        <f t="shared" si="12"/>
        <v/>
      </c>
      <c r="O110" s="515" t="str">
        <f t="shared" si="11"/>
        <v/>
      </c>
      <c r="P110" s="22" t="str">
        <f t="shared" si="13"/>
        <v/>
      </c>
      <c r="Q110" s="326" t="str">
        <f>IF(K110="","",INT(((I110*2-VLOOKUP(F110,données!$B$4:$I$30,4,FALSE)+VLOOKUP(F110,données!$B$4:$I$30,5,FALSE)*NOMENCLATURE_GEN!O110+IF(OR(NOMENCLATURE_GEN!P110="",NOMENCLATURE_GEN!P110=0),0,2250)+NOMENCLATURE_GEN!Q110*2000)+0.3*H110+VLOOKUP(K110,données!$M$4:$Q$9,MATCH(L110,données!$M$3:$Q$3,0),FALSE)*(L110-1)+250)/1000)+1)</f>
        <v/>
      </c>
      <c r="R110" s="22" t="str">
        <f>IF(K110="","",IF(OR(F110=données!$B$12,F110=données!$B$13),"Bande à bords",IF(J110&gt;données!$P$11,"Bande à chevrons","Bande lisse")))</f>
        <v/>
      </c>
      <c r="S110" s="22" t="str">
        <f t="shared" si="14"/>
        <v/>
      </c>
      <c r="T110" s="407"/>
      <c r="U110" s="407"/>
      <c r="V110" s="21"/>
    </row>
    <row r="111" spans="1:22" s="8" customFormat="1" ht="39.950000000000003" hidden="1" customHeight="1">
      <c r="A111" s="3"/>
      <c r="B111" s="27" t="str">
        <f>IF(NOMENCLATURE_GEN!B111="","",NOMENCLATURE_GEN!B111)</f>
        <v/>
      </c>
      <c r="C111" s="243" t="str">
        <f>IF(NOMENCLATURE_GEN!C111="","",NOMENCLATURE_GEN!C111)</f>
        <v/>
      </c>
      <c r="D111" s="28">
        <f>IF(NOMENCLATURE_GEN!D111="","",NOMENCLATURE_GEN!D111)</f>
        <v>192</v>
      </c>
      <c r="E111" s="28" t="str">
        <f ca="1">IF(NOMENCLATURE_GEN!E111="","",NOMENCLATURE_GEN!E111)</f>
        <v>A</v>
      </c>
      <c r="F111" s="28" t="str">
        <f>IF(NOMENCLATURE_GEN!F111="","",NOMENCLATURE_GEN!F111)</f>
        <v>CHA</v>
      </c>
      <c r="G111" s="396" t="str">
        <f>IF(NOMENCLATURE_GEN!G111="","",NOMENCLATURE_GEN!G111)</f>
        <v>Ensemble des passerelles d'accès maintenance tête &amp; pied CVY</v>
      </c>
      <c r="H111" s="29">
        <f>IF(NOMENCLATURE_GEN!H111="","",IF(NOMENCLATURE_GEN!F111="ACO",NOMENCLATURE_GEN!H111+160,NOMENCLATURE_GEN!H111))</f>
        <v>4500</v>
      </c>
      <c r="I111" s="29">
        <f>IF(NOMENCLATURE_GEN!I111="","",NOMENCLATURE_GEN!I111)</f>
        <v>4500</v>
      </c>
      <c r="J111" s="57" t="str">
        <f>IF(NOMENCLATURE_GEN!J111="","",NOMENCLATURE_GEN!J111)</f>
        <v/>
      </c>
      <c r="K111" s="12" t="str">
        <f>IFERROR(400/VLOOKUP(F111,données!$B$3:$D$30,3,FALSE),"")</f>
        <v/>
      </c>
      <c r="L111" s="13" t="str">
        <f>IFERROR(3/VLOOKUP(F111,données!$B$3:$D$30,3,FALSE),"")</f>
        <v/>
      </c>
      <c r="M111" s="13" t="str">
        <f>IF(L111="","",VLOOKUP(F111,données!$B$4:$I$30,8,FALSE))</f>
        <v/>
      </c>
      <c r="N111" s="22" t="str">
        <f t="shared" si="12"/>
        <v/>
      </c>
      <c r="O111" s="515" t="str">
        <f t="shared" si="11"/>
        <v/>
      </c>
      <c r="P111" s="22" t="str">
        <f t="shared" si="13"/>
        <v/>
      </c>
      <c r="Q111" s="326" t="str">
        <f>IF(K111="","",INT(((I111*2-VLOOKUP(F111,données!$B$4:$I$30,4,FALSE)+VLOOKUP(F111,données!$B$4:$I$30,5,FALSE)*NOMENCLATURE_GEN!O111+IF(OR(NOMENCLATURE_GEN!P111="",NOMENCLATURE_GEN!P111=0),0,2250)+NOMENCLATURE_GEN!Q111*2000)+0.3*H111+VLOOKUP(K111,données!$M$4:$Q$9,MATCH(L111,données!$M$3:$Q$3,0),FALSE)*(L111-1)+250)/1000)+1)</f>
        <v/>
      </c>
      <c r="R111" s="22" t="str">
        <f>IF(K111="","",IF(OR(F111=données!$B$12,F111=données!$B$13),"Bande à bords",IF(J111&gt;données!$P$11,"Bande à chevrons","Bande lisse")))</f>
        <v/>
      </c>
      <c r="S111" s="22" t="str">
        <f t="shared" si="14"/>
        <v/>
      </c>
      <c r="T111" s="407"/>
      <c r="U111" s="407"/>
      <c r="V111" s="21"/>
    </row>
    <row r="112" spans="1:22" s="8" customFormat="1" ht="39.950000000000003" hidden="1" customHeight="1">
      <c r="A112" s="3"/>
      <c r="B112" s="27" t="str">
        <f>IF(NOMENCLATURE_GEN!B112="","",NOMENCLATURE_GEN!B112)</f>
        <v/>
      </c>
      <c r="C112" s="243" t="str">
        <f>IF(NOMENCLATURE_GEN!C112="","",NOMENCLATURE_GEN!C112)</f>
        <v/>
      </c>
      <c r="D112" s="28">
        <f>IF(NOMENCLATURE_GEN!D112="","",NOMENCLATURE_GEN!D112)</f>
        <v>193</v>
      </c>
      <c r="E112" s="28" t="str">
        <f ca="1">IF(NOMENCLATURE_GEN!E112="","",NOMENCLATURE_GEN!E112)</f>
        <v>A</v>
      </c>
      <c r="F112" s="28" t="str">
        <f>IF(NOMENCLATURE_GEN!F112="","",NOMENCLATURE_GEN!F112)</f>
        <v>CHA</v>
      </c>
      <c r="G112" s="396" t="str">
        <f>IF(NOMENCLATURE_GEN!G112="","",NOMENCLATURE_GEN!G112)</f>
        <v>Ensemble des passerelles de liaison</v>
      </c>
      <c r="H112" s="29">
        <f>IF(NOMENCLATURE_GEN!H112="","",IF(NOMENCLATURE_GEN!F112="ACO",NOMENCLATURE_GEN!H112+160,NOMENCLATURE_GEN!H112))</f>
        <v>900</v>
      </c>
      <c r="I112" s="29">
        <f>IF(NOMENCLATURE_GEN!I112="","",NOMENCLATURE_GEN!I112)</f>
        <v>50000</v>
      </c>
      <c r="J112" s="57" t="str">
        <f>IF(NOMENCLATURE_GEN!J112="","",NOMENCLATURE_GEN!J112)</f>
        <v/>
      </c>
      <c r="K112" s="12" t="str">
        <f>IFERROR(400/VLOOKUP(F112,données!$B$3:$D$30,3,FALSE),"")</f>
        <v/>
      </c>
      <c r="L112" s="13" t="str">
        <f>IFERROR(3/VLOOKUP(F112,données!$B$3:$D$30,3,FALSE),"")</f>
        <v/>
      </c>
      <c r="M112" s="13" t="str">
        <f>IF(L112="","",VLOOKUP(F112,données!$B$4:$I$30,8,FALSE))</f>
        <v/>
      </c>
      <c r="N112" s="22" t="str">
        <f t="shared" si="12"/>
        <v/>
      </c>
      <c r="O112" s="515" t="str">
        <f t="shared" si="11"/>
        <v/>
      </c>
      <c r="P112" s="22" t="str">
        <f t="shared" si="13"/>
        <v/>
      </c>
      <c r="Q112" s="326" t="str">
        <f>IF(K112="","",INT(((I112*2-VLOOKUP(F112,données!$B$4:$I$30,4,FALSE)+VLOOKUP(F112,données!$B$4:$I$30,5,FALSE)*NOMENCLATURE_GEN!O112+IF(OR(NOMENCLATURE_GEN!P112="",NOMENCLATURE_GEN!P112=0),0,2250)+NOMENCLATURE_GEN!Q112*2000)+0.3*H112+VLOOKUP(K112,données!$M$4:$Q$9,MATCH(L112,données!$M$3:$Q$3,0),FALSE)*(L112-1)+250)/1000)+1)</f>
        <v/>
      </c>
      <c r="R112" s="22" t="str">
        <f>IF(K112="","",IF(OR(F112=données!$B$12,F112=données!$B$13),"Bande à bords",IF(J112&gt;données!$P$11,"Bande à chevrons","Bande lisse")))</f>
        <v/>
      </c>
      <c r="S112" s="22" t="str">
        <f t="shared" si="14"/>
        <v/>
      </c>
      <c r="T112" s="407"/>
      <c r="U112" s="407"/>
      <c r="V112" s="21"/>
    </row>
    <row r="113" spans="1:22" s="8" customFormat="1" ht="39.950000000000003" hidden="1" customHeight="1">
      <c r="A113" s="3"/>
      <c r="B113" s="27" t="str">
        <f>IF(NOMENCLATURE_GEN!B113="","",NOMENCLATURE_GEN!B113)</f>
        <v/>
      </c>
      <c r="C113" s="243" t="str">
        <f>IF(NOMENCLATURE_GEN!C113="","",NOMENCLATURE_GEN!C113)</f>
        <v/>
      </c>
      <c r="D113" s="28">
        <f>IF(NOMENCLATURE_GEN!D113="","",NOMENCLATURE_GEN!D113)</f>
        <v>194</v>
      </c>
      <c r="E113" s="28" t="str">
        <f ca="1">IF(NOMENCLATURE_GEN!E113="","",NOMENCLATURE_GEN!E113)</f>
        <v>A</v>
      </c>
      <c r="F113" s="28" t="str">
        <f>IF(NOMENCLATURE_GEN!F113="","",NOMENCLATURE_GEN!F113)</f>
        <v>CHA</v>
      </c>
      <c r="G113" s="396" t="str">
        <f>IF(NOMENCLATURE_GEN!G113="","",NOMENCLATURE_GEN!G113)</f>
        <v>Ensemble des escaliers d'accès maintenance</v>
      </c>
      <c r="H113" s="29">
        <f>IF(NOMENCLATURE_GEN!H113="","",IF(NOMENCLATURE_GEN!F113="ACO",NOMENCLATURE_GEN!H113+160,NOMENCLATURE_GEN!H113))</f>
        <v>900</v>
      </c>
      <c r="I113" s="29">
        <f>IF(NOMENCLATURE_GEN!I113="","",NOMENCLATURE_GEN!I113)</f>
        <v>4500</v>
      </c>
      <c r="J113" s="57" t="str">
        <f>IF(NOMENCLATURE_GEN!J113="","",NOMENCLATURE_GEN!J113)</f>
        <v/>
      </c>
      <c r="K113" s="12" t="str">
        <f>IFERROR(400/VLOOKUP(F113,données!$B$3:$D$30,3,FALSE),"")</f>
        <v/>
      </c>
      <c r="L113" s="13" t="str">
        <f>IFERROR(3/VLOOKUP(F113,données!$B$3:$D$30,3,FALSE),"")</f>
        <v/>
      </c>
      <c r="M113" s="13" t="str">
        <f>IF(L113="","",VLOOKUP(F113,données!$B$4:$I$30,8,FALSE))</f>
        <v/>
      </c>
      <c r="N113" s="22" t="str">
        <f t="shared" si="12"/>
        <v/>
      </c>
      <c r="O113" s="515" t="str">
        <f t="shared" si="11"/>
        <v/>
      </c>
      <c r="P113" s="22" t="str">
        <f t="shared" si="13"/>
        <v/>
      </c>
      <c r="Q113" s="326" t="str">
        <f>IF(K113="","",INT(((I113*2-VLOOKUP(F113,données!$B$4:$I$30,4,FALSE)+VLOOKUP(F113,données!$B$4:$I$30,5,FALSE)*NOMENCLATURE_GEN!O113+IF(OR(NOMENCLATURE_GEN!P113="",NOMENCLATURE_GEN!P113=0),0,2250)+NOMENCLATURE_GEN!Q113*2000)+0.3*H113+VLOOKUP(K113,données!$M$4:$Q$9,MATCH(L113,données!$M$3:$Q$3,0),FALSE)*(L113-1)+250)/1000)+1)</f>
        <v/>
      </c>
      <c r="R113" s="22" t="str">
        <f>IF(K113="","",IF(OR(F113=données!$B$12,F113=données!$B$13),"Bande à bords",IF(J113&gt;données!$P$11,"Bande à chevrons","Bande lisse")))</f>
        <v/>
      </c>
      <c r="S113" s="22" t="str">
        <f t="shared" si="14"/>
        <v/>
      </c>
      <c r="T113" s="407"/>
      <c r="U113" s="407"/>
      <c r="V113" s="21"/>
    </row>
    <row r="114" spans="1:22" s="8" customFormat="1" ht="39.950000000000003" hidden="1" customHeight="1">
      <c r="A114" s="3"/>
      <c r="B114" s="27" t="str">
        <f>IF(NOMENCLATURE_GEN!B114="","",NOMENCLATURE_GEN!B114)</f>
        <v/>
      </c>
      <c r="C114" s="243" t="str">
        <f>IF(NOMENCLATURE_GEN!C114="","",NOMENCLATURE_GEN!C114)</f>
        <v/>
      </c>
      <c r="D114" s="28">
        <f>IF(NOMENCLATURE_GEN!D114="","",NOMENCLATURE_GEN!D114)</f>
        <v>195</v>
      </c>
      <c r="E114" s="28" t="str">
        <f ca="1">IF(NOMENCLATURE_GEN!E114="","",NOMENCLATURE_GEN!E114)</f>
        <v>A</v>
      </c>
      <c r="F114" s="28" t="str">
        <f>IF(NOMENCLATURE_GEN!F114="","",NOMENCLATURE_GEN!F114)</f>
        <v>CHA</v>
      </c>
      <c r="G114" s="396" t="str">
        <f>IF(NOMENCLATURE_GEN!G114="","",NOMENCLATURE_GEN!G114)</f>
        <v>Ensemble des potences et rails de maintenance + 2 portiques</v>
      </c>
      <c r="H114" s="29" t="str">
        <f>IF(NOMENCLATURE_GEN!H114="","",IF(NOMENCLATURE_GEN!F114="ACO",NOMENCLATURE_GEN!H114+160,NOMENCLATURE_GEN!H114))</f>
        <v/>
      </c>
      <c r="I114" s="29" t="str">
        <f>IF(NOMENCLATURE_GEN!I114="","",NOMENCLATURE_GEN!I114)</f>
        <v/>
      </c>
      <c r="J114" s="57" t="str">
        <f>IF(NOMENCLATURE_GEN!J114="","",NOMENCLATURE_GEN!J114)</f>
        <v/>
      </c>
      <c r="K114" s="12" t="str">
        <f>IFERROR(400/VLOOKUP(F114,données!$B$3:$D$30,3,FALSE),"")</f>
        <v/>
      </c>
      <c r="L114" s="13" t="str">
        <f>IFERROR(3/VLOOKUP(F114,données!$B$3:$D$30,3,FALSE),"")</f>
        <v/>
      </c>
      <c r="M114" s="13" t="str">
        <f>IF(L114="","",VLOOKUP(F114,données!$B$4:$I$30,8,FALSE))</f>
        <v/>
      </c>
      <c r="N114" s="22" t="str">
        <f t="shared" si="12"/>
        <v/>
      </c>
      <c r="O114" s="515" t="str">
        <f t="shared" si="11"/>
        <v/>
      </c>
      <c r="P114" s="22" t="str">
        <f t="shared" si="13"/>
        <v/>
      </c>
      <c r="Q114" s="326" t="str">
        <f>IF(K114="","",INT(((I114*2-VLOOKUP(F114,données!$B$4:$I$30,4,FALSE)+VLOOKUP(F114,données!$B$4:$I$30,5,FALSE)*NOMENCLATURE_GEN!O114+IF(OR(NOMENCLATURE_GEN!P114="",NOMENCLATURE_GEN!P114=0),0,2250)+NOMENCLATURE_GEN!Q114*2000)+0.3*H114+VLOOKUP(K114,données!$M$4:$Q$9,MATCH(L114,données!$M$3:$Q$3,0),FALSE)*(L114-1)+250)/1000)+1)</f>
        <v/>
      </c>
      <c r="R114" s="22" t="str">
        <f>IF(K114="","",IF(OR(F114=données!$B$12,F114=données!$B$13),"Bande à bords",IF(J114&gt;données!$P$11,"Bande à chevrons","Bande lisse")))</f>
        <v/>
      </c>
      <c r="S114" s="22" t="str">
        <f t="shared" si="14"/>
        <v/>
      </c>
      <c r="T114" s="407"/>
      <c r="U114" s="407"/>
      <c r="V114" s="21"/>
    </row>
    <row r="115" spans="1:22" s="8" customFormat="1" ht="39.950000000000003" hidden="1" customHeight="1">
      <c r="A115" s="3"/>
      <c r="B115" s="27" t="str">
        <f>IF(NOMENCLATURE_GEN!B115="","",NOMENCLATURE_GEN!B115)</f>
        <v/>
      </c>
      <c r="C115" s="243" t="str">
        <f>IF(NOMENCLATURE_GEN!C115="","",NOMENCLATURE_GEN!C115)</f>
        <v/>
      </c>
      <c r="D115" s="28">
        <f>IF(NOMENCLATURE_GEN!D115="","",NOMENCLATURE_GEN!D115)</f>
        <v>196</v>
      </c>
      <c r="E115" s="28" t="str">
        <f ca="1">IF(NOMENCLATURE_GEN!E115="","",NOMENCLATURE_GEN!E115)</f>
        <v>A</v>
      </c>
      <c r="F115" s="28" t="str">
        <f>IF(NOMENCLATURE_GEN!F115="","",NOMENCLATURE_GEN!F115)</f>
        <v>CHA</v>
      </c>
      <c r="G115" s="396" t="str">
        <f>IF(NOMENCLATURE_GEN!G115="","",NOMENCLATURE_GEN!G115)</f>
        <v>Ensemble passerelles et rails pour convoyeur navettes refus légers</v>
      </c>
      <c r="H115" s="29">
        <f>IF(NOMENCLATURE_GEN!H115="","",IF(NOMENCLATURE_GEN!F115="ACO",NOMENCLATURE_GEN!H115+160,NOMENCLATURE_GEN!H115))</f>
        <v>8150</v>
      </c>
      <c r="I115" s="29">
        <f>IF(NOMENCLATURE_GEN!I115="","",NOMENCLATURE_GEN!I115)</f>
        <v>15600</v>
      </c>
      <c r="J115" s="57" t="str">
        <f>IF(NOMENCLATURE_GEN!J115="","",NOMENCLATURE_GEN!J115)</f>
        <v/>
      </c>
      <c r="K115" s="12" t="str">
        <f>IFERROR(400/VLOOKUP(F115,données!$B$3:$D$30,3,FALSE),"")</f>
        <v/>
      </c>
      <c r="L115" s="13" t="str">
        <f>IFERROR(3/VLOOKUP(F115,données!$B$3:$D$30,3,FALSE),"")</f>
        <v/>
      </c>
      <c r="M115" s="13" t="str">
        <f>IF(L115="","",VLOOKUP(F115,données!$B$4:$I$30,8,FALSE))</f>
        <v/>
      </c>
      <c r="N115" s="22" t="str">
        <f t="shared" si="12"/>
        <v/>
      </c>
      <c r="O115" s="515" t="str">
        <f t="shared" si="11"/>
        <v/>
      </c>
      <c r="P115" s="22" t="str">
        <f t="shared" si="13"/>
        <v/>
      </c>
      <c r="Q115" s="326" t="str">
        <f>IF(K115="","",INT(((I115*2-VLOOKUP(F115,données!$B$4:$I$30,4,FALSE)+VLOOKUP(F115,données!$B$4:$I$30,5,FALSE)*NOMENCLATURE_GEN!O115+IF(OR(NOMENCLATURE_GEN!P115="",NOMENCLATURE_GEN!P115=0),0,2250)+NOMENCLATURE_GEN!Q115*2000)+0.3*H115+VLOOKUP(K115,données!$M$4:$Q$9,MATCH(L115,données!$M$3:$Q$3,0),FALSE)*(L115-1)+250)/1000)+1)</f>
        <v/>
      </c>
      <c r="R115" s="22" t="str">
        <f>IF(K115="","",IF(OR(F115=données!$B$12,F115=données!$B$13),"Bande à bords",IF(J115&gt;données!$P$11,"Bande à chevrons","Bande lisse")))</f>
        <v/>
      </c>
      <c r="S115" s="22" t="str">
        <f t="shared" si="14"/>
        <v/>
      </c>
      <c r="T115" s="407"/>
      <c r="U115" s="407"/>
      <c r="V115" s="21"/>
    </row>
    <row r="116" spans="1:22" s="8" customFormat="1" ht="39.950000000000003" hidden="1" customHeight="1">
      <c r="A116" s="3"/>
      <c r="B116" s="27" t="str">
        <f>IF(NOMENCLATURE_GEN!B116="","",NOMENCLATURE_GEN!B116)</f>
        <v/>
      </c>
      <c r="C116" s="243" t="str">
        <f>IF(NOMENCLATURE_GEN!C116="","",NOMENCLATURE_GEN!C116)</f>
        <v/>
      </c>
      <c r="D116" s="28">
        <f>IF(NOMENCLATURE_GEN!D116="","",NOMENCLATURE_GEN!D116)</f>
        <v>197</v>
      </c>
      <c r="E116" s="28" t="str">
        <f ca="1">IF(NOMENCLATURE_GEN!E116="","",NOMENCLATURE_GEN!E116)</f>
        <v>A</v>
      </c>
      <c r="F116" s="28" t="str">
        <f>IF(NOMENCLATURE_GEN!F116="","",NOMENCLATURE_GEN!F116)</f>
        <v>CHA</v>
      </c>
      <c r="G116" s="396" t="str">
        <f>IF(NOMENCLATURE_GEN!G116="","",NOMENCLATURE_GEN!G116)</f>
        <v>Ensemble passerelles et rails pour convoyeurs navettes métaux</v>
      </c>
      <c r="H116" s="29">
        <f>IF(NOMENCLATURE_GEN!H116="","",IF(NOMENCLATURE_GEN!F116="ACO",NOMENCLATURE_GEN!H116+160,NOMENCLATURE_GEN!H116))</f>
        <v>8150</v>
      </c>
      <c r="I116" s="29">
        <f>IF(NOMENCLATURE_GEN!I116="","",NOMENCLATURE_GEN!I116)</f>
        <v>7000</v>
      </c>
      <c r="J116" s="57" t="str">
        <f>IF(NOMENCLATURE_GEN!J116="","",NOMENCLATURE_GEN!J116)</f>
        <v/>
      </c>
      <c r="K116" s="12" t="str">
        <f>IFERROR(400/VLOOKUP(F116,données!$B$3:$D$30,3,FALSE),"")</f>
        <v/>
      </c>
      <c r="L116" s="13" t="str">
        <f>IFERROR(3/VLOOKUP(F116,données!$B$3:$D$30,3,FALSE),"")</f>
        <v/>
      </c>
      <c r="M116" s="13" t="str">
        <f>IF(L116="","",VLOOKUP(F116,données!$B$4:$I$30,8,FALSE))</f>
        <v/>
      </c>
      <c r="N116" s="22" t="str">
        <f t="shared" si="12"/>
        <v/>
      </c>
      <c r="O116" s="515" t="str">
        <f t="shared" si="11"/>
        <v/>
      </c>
      <c r="P116" s="22" t="str">
        <f t="shared" si="13"/>
        <v/>
      </c>
      <c r="Q116" s="326" t="str">
        <f>IF(K116="","",INT(((I116*2-VLOOKUP(F116,données!$B$4:$I$30,4,FALSE)+VLOOKUP(F116,données!$B$4:$I$30,5,FALSE)*NOMENCLATURE_GEN!O116+IF(OR(NOMENCLATURE_GEN!P116="",NOMENCLATURE_GEN!P116=0),0,2250)+NOMENCLATURE_GEN!Q116*2000)+0.3*H116+VLOOKUP(K116,données!$M$4:$Q$9,MATCH(L116,données!$M$3:$Q$3,0),FALSE)*(L116-1)+250)/1000)+1)</f>
        <v/>
      </c>
      <c r="R116" s="22" t="str">
        <f>IF(K116="","",IF(OR(F116=données!$B$12,F116=données!$B$13),"Bande à bords",IF(J116&gt;données!$P$11,"Bande à chevrons","Bande lisse")))</f>
        <v/>
      </c>
      <c r="S116" s="22" t="str">
        <f t="shared" si="14"/>
        <v/>
      </c>
      <c r="T116" s="407"/>
      <c r="U116" s="407"/>
      <c r="V116" s="21"/>
    </row>
    <row r="117" spans="1:22" s="8" customFormat="1" ht="39.950000000000003" hidden="1" customHeight="1">
      <c r="A117" s="3"/>
      <c r="B117" s="27" t="str">
        <f>IF(NOMENCLATURE_GEN!B117="","",NOMENCLATURE_GEN!B117)</f>
        <v/>
      </c>
      <c r="C117" s="243" t="str">
        <f>IF(NOMENCLATURE_GEN!C117="","",NOMENCLATURE_GEN!C117)</f>
        <v/>
      </c>
      <c r="D117" s="28">
        <f>IF(NOMENCLATURE_GEN!D117="","",NOMENCLATURE_GEN!D117)</f>
        <v>199</v>
      </c>
      <c r="E117" s="28" t="str">
        <f ca="1">IF(NOMENCLATURE_GEN!E117="","",NOMENCLATURE_GEN!E117)</f>
        <v>A</v>
      </c>
      <c r="F117" s="28" t="str">
        <f>IF(NOMENCLATURE_GEN!F117="","",NOMENCLATURE_GEN!F117)</f>
        <v>BRO</v>
      </c>
      <c r="G117" s="396" t="str">
        <f>IF(NOMENCLATURE_GEN!G117="","",NOMENCLATURE_GEN!G117)</f>
        <v>Broyeur pour métaux 30-180mm</v>
      </c>
      <c r="H117" s="29" t="str">
        <f>IF(NOMENCLATURE_GEN!H117="","",IF(NOMENCLATURE_GEN!F117="ACO",NOMENCLATURE_GEN!H117+160,NOMENCLATURE_GEN!H117))</f>
        <v/>
      </c>
      <c r="I117" s="29" t="str">
        <f>IF(NOMENCLATURE_GEN!I117="","",NOMENCLATURE_GEN!I117)</f>
        <v/>
      </c>
      <c r="J117" s="57" t="str">
        <f>IF(NOMENCLATURE_GEN!J117="","",NOMENCLATURE_GEN!J117)</f>
        <v/>
      </c>
      <c r="K117" s="12" t="str">
        <f>IFERROR(400/VLOOKUP(F117,données!$B$3:$D$30,3,FALSE),"")</f>
        <v/>
      </c>
      <c r="L117" s="13" t="str">
        <f>IFERROR(3/VLOOKUP(F117,données!$B$3:$D$30,3,FALSE),"")</f>
        <v/>
      </c>
      <c r="M117" s="13" t="str">
        <f>IF(L117="","",VLOOKUP(F117,données!$B$4:$I$30,8,FALSE))</f>
        <v/>
      </c>
      <c r="N117" s="22" t="str">
        <f t="shared" si="12"/>
        <v/>
      </c>
      <c r="O117" s="515" t="str">
        <f t="shared" si="11"/>
        <v/>
      </c>
      <c r="P117" s="22" t="str">
        <f t="shared" si="13"/>
        <v/>
      </c>
      <c r="Q117" s="326" t="str">
        <f>IF(K117="","",INT(((I117*2-VLOOKUP(F117,données!$B$4:$I$30,4,FALSE)+VLOOKUP(F117,données!$B$4:$I$30,5,FALSE)*NOMENCLATURE_GEN!O117+IF(OR(NOMENCLATURE_GEN!P117="",NOMENCLATURE_GEN!P117=0),0,2250)+NOMENCLATURE_GEN!Q117*2000)+0.3*H117+VLOOKUP(K117,données!$M$4:$Q$9,MATCH(L117,données!$M$3:$Q$3,0),FALSE)*(L117-1)+250)/1000)+1)</f>
        <v/>
      </c>
      <c r="R117" s="22" t="str">
        <f>IF(K117="","",IF(OR(F117=données!$B$12,F117=données!$B$13),"Bande à bords",IF(J117&gt;données!$P$11,"Bande à chevrons","Bande lisse")))</f>
        <v/>
      </c>
      <c r="S117" s="22" t="str">
        <f t="shared" si="14"/>
        <v/>
      </c>
      <c r="T117" s="407"/>
      <c r="U117" s="407"/>
      <c r="V117" s="21"/>
    </row>
    <row r="118" spans="1:22" s="8" customFormat="1" ht="39.950000000000003" hidden="1" customHeight="1">
      <c r="A118" s="3"/>
      <c r="B118" s="27" t="str">
        <f>IF(NOMENCLATURE_GEN!B118="","",NOMENCLATURE_GEN!B118)</f>
        <v/>
      </c>
      <c r="C118" s="243" t="str">
        <f>IF(NOMENCLATURE_GEN!C118="","",NOMENCLATURE_GEN!C118)</f>
        <v/>
      </c>
      <c r="D118" s="28">
        <f>IF(NOMENCLATURE_GEN!D118="","",NOMENCLATURE_GEN!D118)</f>
        <v>200</v>
      </c>
      <c r="E118" s="28" t="str">
        <f ca="1">IF(NOMENCLATURE_GEN!E118="","",NOMENCLATURE_GEN!E118)</f>
        <v>A</v>
      </c>
      <c r="F118" s="28" t="str">
        <f>IF(NOMENCLATURE_GEN!F118="","",NOMENCLATURE_GEN!F118)</f>
        <v>TBE</v>
      </c>
      <c r="G118" s="396" t="str">
        <f>IF(NOMENCLATURE_GEN!G118="","",NOMENCLATURE_GEN!G118)</f>
        <v>Convoyeur de reprise sous broyeur des aciers 30-180mm</v>
      </c>
      <c r="H118" s="29">
        <f>IF(NOMENCLATURE_GEN!H118="","",IF(NOMENCLATURE_GEN!F118="ACO",NOMENCLATURE_GEN!H118+160,NOMENCLATURE_GEN!H118))</f>
        <v>1000</v>
      </c>
      <c r="I118" s="29">
        <f>IF(NOMENCLATURE_GEN!I118="","",NOMENCLATURE_GEN!I118)</f>
        <v>6000</v>
      </c>
      <c r="J118" s="57">
        <f>IF(NOMENCLATURE_GEN!J118="","",NOMENCLATURE_GEN!J118)</f>
        <v>13</v>
      </c>
      <c r="K118" s="12">
        <f>IFERROR(400/VLOOKUP(F118,données!$B$3:$D$30,3,FALSE),"")</f>
        <v>400</v>
      </c>
      <c r="L118" s="13">
        <f>IFERROR(3/VLOOKUP(F118,données!$B$3:$D$30,3,FALSE),"")</f>
        <v>3</v>
      </c>
      <c r="M118" s="13" t="str">
        <f>IF(L118="","",VLOOKUP(F118,données!$B$4:$I$30,8,FALSE))</f>
        <v>4+0</v>
      </c>
      <c r="N118" s="22" t="str">
        <f t="shared" si="12"/>
        <v>CAOUTCHOUC</v>
      </c>
      <c r="O118" s="515" t="str">
        <f t="shared" si="11"/>
        <v>G2 Haute resistance aux huiles</v>
      </c>
      <c r="P118" s="22" t="str">
        <f t="shared" si="13"/>
        <v>Ouverte</v>
      </c>
      <c r="Q118" s="326">
        <f>IF(K118="","",INT(((I118*2-VLOOKUP(F118,données!$B$4:$I$30,4,FALSE)+VLOOKUP(F118,données!$B$4:$I$30,5,FALSE)*NOMENCLATURE_GEN!O118+IF(OR(NOMENCLATURE_GEN!P118="",NOMENCLATURE_GEN!P118=0),0,2250)+NOMENCLATURE_GEN!Q118*2000)+0.3*H118+VLOOKUP(K118,données!$M$4:$Q$9,MATCH(L118,données!$M$3:$Q$3,0),FALSE)*(L118-1)+250)/1000)+1)</f>
        <v>14</v>
      </c>
      <c r="R118" s="22" t="str">
        <f>IF(K118="","",IF(OR(F118=données!$B$12,F118=données!$B$13),"Bande à bords",IF(J118&gt;données!$P$11,"Bande à chevrons","Bande lisse")))</f>
        <v>Bande lisse</v>
      </c>
      <c r="S118" s="22" t="str">
        <f t="shared" si="14"/>
        <v/>
      </c>
      <c r="T118" s="653" t="s">
        <v>542</v>
      </c>
      <c r="U118" s="653" t="s">
        <v>542</v>
      </c>
      <c r="V118" s="21"/>
    </row>
    <row r="119" spans="1:22" s="8" customFormat="1" ht="39.950000000000003" hidden="1" customHeight="1">
      <c r="A119" s="3"/>
      <c r="B119" s="27" t="str">
        <f>IF(NOMENCLATURE_GEN!B119="","",NOMENCLATURE_GEN!B119)</f>
        <v/>
      </c>
      <c r="C119" s="243" t="str">
        <f>IF(NOMENCLATURE_GEN!C119="","",NOMENCLATURE_GEN!C119)</f>
        <v/>
      </c>
      <c r="D119" s="28">
        <f>IF(NOMENCLATURE_GEN!D119="","",NOMENCLATURE_GEN!D119)</f>
        <v>201</v>
      </c>
      <c r="E119" s="28" t="str">
        <f ca="1">IF(NOMENCLATURE_GEN!E119="","",NOMENCLATURE_GEN!E119)</f>
        <v>A</v>
      </c>
      <c r="F119" s="28" t="str">
        <f>IF(NOMENCLATURE_GEN!F119="","",NOMENCLATURE_GEN!F119)</f>
        <v>TBE</v>
      </c>
      <c r="G119" s="396" t="str">
        <f>IF(NOMENCLATURE_GEN!G119="","",NOMENCLATURE_GEN!G119)</f>
        <v>Convoyeur de transfert des aciers 30-180mm vers OVB</v>
      </c>
      <c r="H119" s="29">
        <f>IF(NOMENCLATURE_GEN!H119="","",IF(NOMENCLATURE_GEN!F119="ACO",NOMENCLATURE_GEN!H119+160,NOMENCLATURE_GEN!H119))</f>
        <v>1000</v>
      </c>
      <c r="I119" s="29">
        <f>IF(NOMENCLATURE_GEN!I119="","",NOMENCLATURE_GEN!I119)</f>
        <v>14750</v>
      </c>
      <c r="J119" s="57">
        <f>IF(NOMENCLATURE_GEN!J119="","",NOMENCLATURE_GEN!J119)</f>
        <v>19</v>
      </c>
      <c r="K119" s="12">
        <f>IFERROR(400/VLOOKUP(F119,données!$B$3:$D$30,3,FALSE),"")</f>
        <v>400</v>
      </c>
      <c r="L119" s="13">
        <f>IFERROR(3/VLOOKUP(F119,données!$B$3:$D$30,3,FALSE),"")</f>
        <v>3</v>
      </c>
      <c r="M119" s="13" t="str">
        <f>IF(L119="","",VLOOKUP(F119,données!$B$4:$I$30,8,FALSE))</f>
        <v>4+0</v>
      </c>
      <c r="N119" s="22" t="str">
        <f t="shared" si="12"/>
        <v>CAOUTCHOUC</v>
      </c>
      <c r="O119" s="515" t="str">
        <f t="shared" si="11"/>
        <v>G2 Haute resistance aux huiles</v>
      </c>
      <c r="P119" s="22" t="str">
        <f t="shared" si="13"/>
        <v>Ouverte</v>
      </c>
      <c r="Q119" s="326">
        <f>IF(K119="","",INT(((I119*2-VLOOKUP(F119,données!$B$4:$I$30,4,FALSE)+VLOOKUP(F119,données!$B$4:$I$30,5,FALSE)*NOMENCLATURE_GEN!O119+IF(OR(NOMENCLATURE_GEN!P119="",NOMENCLATURE_GEN!P119=0),0,2250)+NOMENCLATURE_GEN!Q119*2000)+0.3*H119+VLOOKUP(K119,données!$M$4:$Q$9,MATCH(L119,données!$M$3:$Q$3,0),FALSE)*(L119-1)+250)/1000)+1)</f>
        <v>31</v>
      </c>
      <c r="R119" s="22" t="str">
        <f>IF(K119="","",IF(OR(F119=données!$B$12,F119=données!$B$13),"Bande à bords",IF(J119&gt;données!$P$11,"Bande à chevrons","Bande lisse")))</f>
        <v>Bande à chevrons</v>
      </c>
      <c r="S119" s="655" t="s">
        <v>748</v>
      </c>
      <c r="T119" s="407" t="s">
        <v>542</v>
      </c>
      <c r="U119" s="407" t="s">
        <v>542</v>
      </c>
      <c r="V119" s="21"/>
    </row>
    <row r="120" spans="1:22" s="8" customFormat="1" ht="39.950000000000003" hidden="1" customHeight="1">
      <c r="A120" s="3"/>
      <c r="B120" s="27" t="str">
        <f>IF(NOMENCLATURE_GEN!B120="","",NOMENCLATURE_GEN!B120)</f>
        <v/>
      </c>
      <c r="C120" s="243" t="str">
        <f>IF(NOMENCLATURE_GEN!C120="","",NOMENCLATURE_GEN!C120)</f>
        <v/>
      </c>
      <c r="D120" s="28">
        <f>IF(NOMENCLATURE_GEN!D120="","",NOMENCLATURE_GEN!D120)</f>
        <v>202</v>
      </c>
      <c r="E120" s="28" t="str">
        <f ca="1">IF(NOMENCLATURE_GEN!E120="","",NOMENCLATURE_GEN!E120)</f>
        <v>A</v>
      </c>
      <c r="F120" s="28" t="str">
        <f>IF(NOMENCLATURE_GEN!F120="","",NOMENCLATURE_GEN!F120)</f>
        <v>TBE</v>
      </c>
      <c r="G120" s="396" t="str">
        <f>IF(NOMENCLATURE_GEN!G120="","",NOMENCLATURE_GEN!G120)</f>
        <v>Convoyeur d'alimentation du séparateur de ferreux</v>
      </c>
      <c r="H120" s="29">
        <f>IF(NOMENCLATURE_GEN!H120="","",IF(NOMENCLATURE_GEN!F120="ACO",NOMENCLATURE_GEN!H120+160,NOMENCLATURE_GEN!H120))</f>
        <v>1000</v>
      </c>
      <c r="I120" s="29">
        <f>IF(NOMENCLATURE_GEN!I120="","",NOMENCLATURE_GEN!I120)</f>
        <v>7500</v>
      </c>
      <c r="J120" s="57">
        <f>IF(NOMENCLATURE_GEN!J120="","",NOMENCLATURE_GEN!J120)</f>
        <v>19</v>
      </c>
      <c r="K120" s="12">
        <f>IFERROR(400/VLOOKUP(F120,données!$B$3:$D$30,3,FALSE),"")</f>
        <v>400</v>
      </c>
      <c r="L120" s="13">
        <f>IFERROR(3/VLOOKUP(F120,données!$B$3:$D$30,3,FALSE),"")</f>
        <v>3</v>
      </c>
      <c r="M120" s="13" t="str">
        <f>IF(L120="","",VLOOKUP(F120,données!$B$4:$I$30,8,FALSE))</f>
        <v>4+0</v>
      </c>
      <c r="N120" s="22" t="str">
        <f t="shared" si="12"/>
        <v>CAOUTCHOUC</v>
      </c>
      <c r="O120" s="515" t="str">
        <f t="shared" si="11"/>
        <v>G2 Haute resistance aux huiles</v>
      </c>
      <c r="P120" s="22" t="str">
        <f t="shared" si="13"/>
        <v>Ouverte</v>
      </c>
      <c r="Q120" s="326">
        <f>IF(K120="","",INT(((I120*2-VLOOKUP(F120,données!$B$4:$I$30,4,FALSE)+VLOOKUP(F120,données!$B$4:$I$30,5,FALSE)*NOMENCLATURE_GEN!O120+IF(OR(NOMENCLATURE_GEN!P120="",NOMENCLATURE_GEN!P120=0),0,2250)+NOMENCLATURE_GEN!Q120*2000)+0.3*H120+VLOOKUP(K120,données!$M$4:$Q$9,MATCH(L120,données!$M$3:$Q$3,0),FALSE)*(L120-1)+250)/1000)+1)</f>
        <v>17</v>
      </c>
      <c r="R120" s="22" t="str">
        <f>IF(K120="","",IF(OR(F120=données!$B$12,F120=données!$B$13),"Bande à bords",IF(J120&gt;données!$P$11,"Bande à chevrons","Bande lisse")))</f>
        <v>Bande à chevrons</v>
      </c>
      <c r="S120" s="655" t="s">
        <v>748</v>
      </c>
      <c r="T120" s="653" t="s">
        <v>542</v>
      </c>
      <c r="U120" s="653" t="s">
        <v>542</v>
      </c>
      <c r="V120" s="21"/>
    </row>
    <row r="121" spans="1:22" s="8" customFormat="1" ht="39.950000000000003" hidden="1" customHeight="1">
      <c r="A121" s="3"/>
      <c r="B121" s="27" t="str">
        <f>IF(NOMENCLATURE_GEN!B121="","",NOMENCLATURE_GEN!B121)</f>
        <v/>
      </c>
      <c r="C121" s="243" t="str">
        <f>IF(NOMENCLATURE_GEN!C121="","",NOMENCLATURE_GEN!C121)</f>
        <v/>
      </c>
      <c r="D121" s="28">
        <f>IF(NOMENCLATURE_GEN!D121="","",NOMENCLATURE_GEN!D121)</f>
        <v>203</v>
      </c>
      <c r="E121" s="28" t="str">
        <f ca="1">IF(NOMENCLATURE_GEN!E121="","",NOMENCLATURE_GEN!E121)</f>
        <v>A</v>
      </c>
      <c r="F121" s="28" t="str">
        <f>IF(NOMENCLATURE_GEN!F121="","",NOMENCLATURE_GEN!F121)</f>
        <v>OVB</v>
      </c>
      <c r="G121" s="396" t="str">
        <f>IF(NOMENCLATURE_GEN!G121="","",NOMENCLATURE_GEN!G121)</f>
        <v>Séparateur magnétique à aimant permament</v>
      </c>
      <c r="H121" s="29">
        <f>IF(NOMENCLATURE_GEN!H121="","",IF(NOMENCLATURE_GEN!F121="ACO",NOMENCLATURE_GEN!H121+160,NOMENCLATURE_GEN!H121))</f>
        <v>1000</v>
      </c>
      <c r="I121" s="29">
        <f>IF(NOMENCLATURE_GEN!I121="","",NOMENCLATURE_GEN!I121)</f>
        <v>2500</v>
      </c>
      <c r="J121" s="57" t="str">
        <f>IF(NOMENCLATURE_GEN!J121="","",NOMENCLATURE_GEN!J121)</f>
        <v/>
      </c>
      <c r="K121" s="12" t="str">
        <f>IFERROR(400/VLOOKUP(F121,données!$B$3:$D$30,3,FALSE),"")</f>
        <v/>
      </c>
      <c r="L121" s="13" t="str">
        <f>IFERROR(3/VLOOKUP(F121,données!$B$3:$D$30,3,FALSE),"")</f>
        <v/>
      </c>
      <c r="M121" s="13" t="str">
        <f>IF(L121="","",VLOOKUP(F121,données!$B$4:$I$30,8,FALSE))</f>
        <v/>
      </c>
      <c r="N121" s="22" t="str">
        <f t="shared" si="12"/>
        <v/>
      </c>
      <c r="O121" s="515" t="str">
        <f t="shared" si="11"/>
        <v/>
      </c>
      <c r="P121" s="22" t="str">
        <f t="shared" si="13"/>
        <v/>
      </c>
      <c r="Q121" s="326" t="str">
        <f>IF(K121="","",INT(((I121*2-VLOOKUP(F121,données!$B$4:$I$30,4,FALSE)+VLOOKUP(F121,données!$B$4:$I$30,5,FALSE)*NOMENCLATURE_GEN!O121+IF(OR(NOMENCLATURE_GEN!P121="",NOMENCLATURE_GEN!P121=0),0,2250)+NOMENCLATURE_GEN!Q121*2000)+0.3*H121+VLOOKUP(K121,données!$M$4:$Q$9,MATCH(L121,données!$M$3:$Q$3,0),FALSE)*(L121-1)+250)/1000)+1)</f>
        <v/>
      </c>
      <c r="R121" s="22" t="str">
        <f>IF(K121="","",IF(OR(F121=données!$B$12,F121=données!$B$13),"Bande à bords",IF(J121&gt;données!$P$11,"Bande à chevrons","Bande lisse")))</f>
        <v/>
      </c>
      <c r="S121" s="22" t="str">
        <f t="shared" si="14"/>
        <v/>
      </c>
      <c r="T121" s="407"/>
      <c r="U121" s="407"/>
      <c r="V121" s="21"/>
    </row>
    <row r="122" spans="1:22" s="8" customFormat="1" ht="39.950000000000003" hidden="1" customHeight="1">
      <c r="A122" s="3"/>
      <c r="B122" s="27" t="str">
        <f>IF(NOMENCLATURE_GEN!B122="","",NOMENCLATURE_GEN!B122)</f>
        <v/>
      </c>
      <c r="C122" s="243" t="str">
        <f>IF(NOMENCLATURE_GEN!C122="","",NOMENCLATURE_GEN!C122)</f>
        <v/>
      </c>
      <c r="D122" s="28">
        <f>IF(NOMENCLATURE_GEN!D122="","",NOMENCLATURE_GEN!D122)</f>
        <v>203</v>
      </c>
      <c r="E122" s="28" t="str">
        <f ca="1">IF(NOMENCLATURE_GEN!E122="","",NOMENCLATURE_GEN!E122)</f>
        <v>B</v>
      </c>
      <c r="F122" s="28" t="str">
        <f>IF(NOMENCLATURE_GEN!F122="","",NOMENCLATURE_GEN!F122)</f>
        <v>GLT</v>
      </c>
      <c r="G122" s="396" t="str">
        <f>IF(NOMENCLATURE_GEN!G122="","",NOMENCLATURE_GEN!G122)</f>
        <v>GOULOTTE AVEC VERIN</v>
      </c>
      <c r="H122" s="29" t="str">
        <f>IF(NOMENCLATURE_GEN!H122="","",IF(NOMENCLATURE_GEN!F122="ACO",NOMENCLATURE_GEN!H122+160,NOMENCLATURE_GEN!H122))</f>
        <v/>
      </c>
      <c r="I122" s="29" t="str">
        <f>IF(NOMENCLATURE_GEN!I122="","",NOMENCLATURE_GEN!I122)</f>
        <v/>
      </c>
      <c r="J122" s="57" t="str">
        <f>IF(NOMENCLATURE_GEN!J122="","",NOMENCLATURE_GEN!J122)</f>
        <v/>
      </c>
      <c r="K122" s="12" t="str">
        <f>IFERROR(400/VLOOKUP(F122,données!$B$3:$D$30,3,FALSE),"")</f>
        <v/>
      </c>
      <c r="L122" s="13" t="str">
        <f>IFERROR(3/VLOOKUP(F122,données!$B$3:$D$30,3,FALSE),"")</f>
        <v/>
      </c>
      <c r="M122" s="13" t="str">
        <f>IF(L122="","",VLOOKUP(F122,données!$B$4:$I$30,8,FALSE))</f>
        <v/>
      </c>
      <c r="N122" s="22" t="str">
        <f t="shared" ref="N122" si="15">IF(L122="","","CAOUTCHOUC")</f>
        <v/>
      </c>
      <c r="O122" s="515" t="str">
        <f t="shared" ref="O122" si="16">IF(L122="","","G2 Haute resistance aux huiles")</f>
        <v/>
      </c>
      <c r="P122" s="22" t="str">
        <f t="shared" ref="P122" si="17">IF(L122="","","Ouverte")</f>
        <v/>
      </c>
      <c r="Q122" s="326" t="str">
        <f>IF(K122="","",INT(((I122*2-VLOOKUP(F122,données!$B$4:$I$30,4,FALSE)+VLOOKUP(F122,données!$B$4:$I$30,5,FALSE)*NOMENCLATURE_GEN!O122+IF(OR(NOMENCLATURE_GEN!P122="",NOMENCLATURE_GEN!P122=0),0,2250)+NOMENCLATURE_GEN!Q122*2000)+0.3*H122+VLOOKUP(K122,données!$M$4:$Q$9,MATCH(L122,données!$M$3:$Q$3,0),FALSE)*(L122-1)+250)/1000)+1)</f>
        <v/>
      </c>
      <c r="R122" s="22" t="str">
        <f>IF(K122="","",IF(OR(F122=données!$B$12,F122=données!$B$13),"Bande à bords",IF(J122&gt;données!$P$11,"Bande à chevrons","Bande lisse")))</f>
        <v/>
      </c>
      <c r="S122" s="22" t="str">
        <f t="shared" ref="S122" si="18">IFERROR(_xlfn.IFS(R122="Bande à bords",CONCATENATE("EAB",H122*100+350),R122="Bande à tasseaux",IF(H122&lt;1000,CONCATENATE("TBE0",H122,"048"),CONCATENATE("TBE",H122,"048"))),"")</f>
        <v/>
      </c>
      <c r="T122" s="407"/>
      <c r="U122" s="407"/>
      <c r="V122" s="21"/>
    </row>
    <row r="123" spans="1:22" s="8" customFormat="1" ht="39.950000000000003" hidden="1" customHeight="1">
      <c r="A123" s="3"/>
      <c r="B123" s="27" t="str">
        <f>IF(NOMENCLATURE_GEN!B123="","",NOMENCLATURE_GEN!B123)</f>
        <v>SUP</v>
      </c>
      <c r="C123" s="243" t="str">
        <f>IF(NOMENCLATURE_GEN!C123="","",NOMENCLATURE_GEN!C123)</f>
        <v/>
      </c>
      <c r="D123" s="28">
        <f>IF(NOMENCLATURE_GEN!D123="","",NOMENCLATURE_GEN!D123)</f>
        <v>204</v>
      </c>
      <c r="E123" s="28" t="str">
        <f ca="1">IF(NOMENCLATURE_GEN!E123="","",NOMENCLATURE_GEN!E123)</f>
        <v>A</v>
      </c>
      <c r="F123" s="28" t="str">
        <f>IF(NOMENCLATURE_GEN!F123="","",NOMENCLATURE_GEN!F123)</f>
        <v>CHA</v>
      </c>
      <c r="G123" s="396" t="str">
        <f>IF(NOMENCLATURE_GEN!G123="","",NOMENCLATURE_GEN!G123)</f>
        <v>Charpente support OVB + protection grillagée et goulotte inox</v>
      </c>
      <c r="H123" s="29" t="str">
        <f>IF(NOMENCLATURE_GEN!H123="","",IF(NOMENCLATURE_GEN!F123="ACO",NOMENCLATURE_GEN!H123+160,NOMENCLATURE_GEN!H123))</f>
        <v/>
      </c>
      <c r="I123" s="29" t="str">
        <f>IF(NOMENCLATURE_GEN!I123="","",NOMENCLATURE_GEN!I123)</f>
        <v/>
      </c>
      <c r="J123" s="57" t="str">
        <f>IF(NOMENCLATURE_GEN!J123="","",NOMENCLATURE_GEN!J123)</f>
        <v/>
      </c>
      <c r="K123" s="12" t="str">
        <f>IFERROR(400/VLOOKUP(F123,données!$B$3:$D$30,3,FALSE),"")</f>
        <v/>
      </c>
      <c r="L123" s="13" t="str">
        <f>IFERROR(3/VLOOKUP(F123,données!$B$3:$D$30,3,FALSE),"")</f>
        <v/>
      </c>
      <c r="M123" s="13" t="str">
        <f>IF(L123="","",VLOOKUP(F123,données!$B$4:$I$30,8,FALSE))</f>
        <v/>
      </c>
      <c r="N123" s="22" t="str">
        <f t="shared" si="12"/>
        <v/>
      </c>
      <c r="O123" s="515" t="str">
        <f t="shared" si="11"/>
        <v/>
      </c>
      <c r="P123" s="22" t="str">
        <f t="shared" si="13"/>
        <v/>
      </c>
      <c r="Q123" s="326" t="str">
        <f>IF(K123="","",INT(((I123*2-VLOOKUP(F123,données!$B$4:$I$30,4,FALSE)+VLOOKUP(F123,données!$B$4:$I$30,5,FALSE)*NOMENCLATURE_GEN!O123+IF(OR(NOMENCLATURE_GEN!P123="",NOMENCLATURE_GEN!P123=0),0,2250)+NOMENCLATURE_GEN!Q123*2000)+0.3*H123+VLOOKUP(K123,données!$M$4:$Q$9,MATCH(L123,données!$M$3:$Q$3,0),FALSE)*(L123-1)+250)/1000)+1)</f>
        <v/>
      </c>
      <c r="R123" s="22" t="str">
        <f>IF(K123="","",IF(OR(F123=données!$B$12,F123=données!$B$13),"Bande à bords",IF(J123&gt;données!$P$11,"Bande à chevrons","Bande lisse")))</f>
        <v/>
      </c>
      <c r="S123" s="22" t="str">
        <f t="shared" si="14"/>
        <v/>
      </c>
      <c r="T123" s="407"/>
      <c r="U123" s="407"/>
      <c r="V123" s="21"/>
    </row>
    <row r="124" spans="1:22" s="8" customFormat="1" ht="39.950000000000003" hidden="1" customHeight="1">
      <c r="A124" s="3"/>
      <c r="B124" s="27" t="str">
        <f>IF(NOMENCLATURE_GEN!B124="","",NOMENCLATURE_GEN!B124)</f>
        <v>SUP</v>
      </c>
      <c r="C124" s="243" t="str">
        <f>IF(NOMENCLATURE_GEN!C124="","",NOMENCLATURE_GEN!C124)</f>
        <v/>
      </c>
      <c r="D124" s="28">
        <f>IF(NOMENCLATURE_GEN!D124="","",NOMENCLATURE_GEN!D124)</f>
        <v>205</v>
      </c>
      <c r="E124" s="28" t="str">
        <f ca="1">IF(NOMENCLATURE_GEN!E124="","",NOMENCLATURE_GEN!E124)</f>
        <v>A</v>
      </c>
      <c r="F124" s="28" t="str">
        <f>IF(NOMENCLATURE_GEN!F124="","",NOMENCLATURE_GEN!F124)</f>
        <v>CHA</v>
      </c>
      <c r="G124" s="396" t="str">
        <f>IF(NOMENCLATURE_GEN!G124="","",NOMENCLATURE_GEN!G124)</f>
        <v>Charpente support et accès maintenance broyeur</v>
      </c>
      <c r="H124" s="29">
        <f>IF(NOMENCLATURE_GEN!H124="","",IF(NOMENCLATURE_GEN!F124="ACO",NOMENCLATURE_GEN!H124+160,NOMENCLATURE_GEN!H124))</f>
        <v>3500</v>
      </c>
      <c r="I124" s="29">
        <f>IF(NOMENCLATURE_GEN!I124="","",NOMENCLATURE_GEN!I124)</f>
        <v>4000</v>
      </c>
      <c r="J124" s="57" t="str">
        <f>IF(NOMENCLATURE_GEN!J124="","",NOMENCLATURE_GEN!J124)</f>
        <v/>
      </c>
      <c r="K124" s="12" t="str">
        <f>IFERROR(400/VLOOKUP(F124,données!$B$3:$D$30,3,FALSE),"")</f>
        <v/>
      </c>
      <c r="L124" s="13" t="str">
        <f>IFERROR(3/VLOOKUP(F124,données!$B$3:$D$30,3,FALSE),"")</f>
        <v/>
      </c>
      <c r="M124" s="13" t="str">
        <f>IF(L124="","",VLOOKUP(F124,données!$B$4:$I$30,8,FALSE))</f>
        <v/>
      </c>
      <c r="N124" s="22" t="str">
        <f t="shared" si="12"/>
        <v/>
      </c>
      <c r="O124" s="515" t="str">
        <f t="shared" si="11"/>
        <v/>
      </c>
      <c r="P124" s="22" t="str">
        <f t="shared" si="13"/>
        <v/>
      </c>
      <c r="Q124" s="326" t="str">
        <f>IF(K124="","",INT(((I124*2-VLOOKUP(F124,données!$B$4:$I$30,4,FALSE)+VLOOKUP(F124,données!$B$4:$I$30,5,FALSE)*NOMENCLATURE_GEN!O124+IF(OR(NOMENCLATURE_GEN!P124="",NOMENCLATURE_GEN!P124=0),0,2250)+NOMENCLATURE_GEN!Q124*2000)+0.3*H124+VLOOKUP(K124,données!$M$4:$Q$9,MATCH(L124,données!$M$3:$Q$3,0),FALSE)*(L124-1)+250)/1000)+1)</f>
        <v/>
      </c>
      <c r="R124" s="22" t="str">
        <f>IF(K124="","",IF(OR(F124=données!$B$12,F124=données!$B$13),"Bande à bords",IF(J124&gt;données!$P$11,"Bande à chevrons","Bande lisse")))</f>
        <v/>
      </c>
      <c r="S124" s="22" t="str">
        <f t="shared" si="14"/>
        <v/>
      </c>
      <c r="T124" s="407"/>
      <c r="U124" s="407"/>
      <c r="V124" s="21"/>
    </row>
    <row r="125" spans="1:22" s="8" customFormat="1" ht="39.950000000000003" hidden="1" customHeight="1">
      <c r="A125" s="3"/>
      <c r="B125" s="27" t="str">
        <f>IF(NOMENCLATURE_GEN!B125="","",NOMENCLATURE_GEN!B125)</f>
        <v/>
      </c>
      <c r="C125" s="243" t="str">
        <f>IF(NOMENCLATURE_GEN!C125="","",NOMENCLATURE_GEN!C125)</f>
        <v/>
      </c>
      <c r="D125" s="28">
        <f>IF(NOMENCLATURE_GEN!D125="","",NOMENCLATURE_GEN!D125)</f>
        <v>207</v>
      </c>
      <c r="E125" s="28" t="str">
        <f ca="1">IF(NOMENCLATURE_GEN!E125="","",NOMENCLATURE_GEN!E125)</f>
        <v>A</v>
      </c>
      <c r="F125" s="28" t="str">
        <f>IF(NOMENCLATURE_GEN!F125="","",NOMENCLATURE_GEN!F125)</f>
        <v>TBE</v>
      </c>
      <c r="G125" s="396" t="str">
        <f>IF(NOMENCLATURE_GEN!G125="","",NOMENCLATURE_GEN!G125)</f>
        <v>Convoyeur by-pass presse à paquets</v>
      </c>
      <c r="H125" s="29">
        <f>IF(NOMENCLATURE_GEN!H125="","",IF(NOMENCLATURE_GEN!F125="ACO",NOMENCLATURE_GEN!H125+160,NOMENCLATURE_GEN!H125))</f>
        <v>800</v>
      </c>
      <c r="I125" s="29">
        <f>IF(NOMENCLATURE_GEN!I125="","",NOMENCLATURE_GEN!I125)</f>
        <v>3500</v>
      </c>
      <c r="J125" s="57">
        <f>IF(NOMENCLATURE_GEN!J125="","",NOMENCLATURE_GEN!J125)</f>
        <v>0</v>
      </c>
      <c r="K125" s="12">
        <f>IFERROR(400/VLOOKUP(F125,données!$B$3:$D$30,3,FALSE),"")</f>
        <v>400</v>
      </c>
      <c r="L125" s="13">
        <f>IFERROR(3/VLOOKUP(F125,données!$B$3:$D$30,3,FALSE),"")</f>
        <v>3</v>
      </c>
      <c r="M125" s="13" t="str">
        <f>IF(L125="","",VLOOKUP(F125,données!$B$4:$I$30,8,FALSE))</f>
        <v>4+0</v>
      </c>
      <c r="N125" s="22" t="str">
        <f t="shared" ref="N125:N139" si="19">IF(L125="","","CAOUTCHOUC")</f>
        <v>CAOUTCHOUC</v>
      </c>
      <c r="O125" s="515" t="str">
        <f t="shared" si="11"/>
        <v>G2 Haute resistance aux huiles</v>
      </c>
      <c r="P125" s="22" t="str">
        <f t="shared" ref="P125:P139" si="20">IF(L125="","","Ouverte")</f>
        <v>Ouverte</v>
      </c>
      <c r="Q125" s="326">
        <f>IF(K125="","",INT(((I125*2-VLOOKUP(F125,données!$B$4:$I$30,4,FALSE)+VLOOKUP(F125,données!$B$4:$I$30,5,FALSE)*NOMENCLATURE_GEN!O125+IF(OR(NOMENCLATURE_GEN!P125="",NOMENCLATURE_GEN!P125=0),0,2250)+NOMENCLATURE_GEN!Q125*2000)+0.3*H125+VLOOKUP(K125,données!$M$4:$Q$9,MATCH(L125,données!$M$3:$Q$3,0),FALSE)*(L125-1)+250)/1000)+1)</f>
        <v>8</v>
      </c>
      <c r="R125" s="22" t="str">
        <f>IF(K125="","",IF(OR(F125=données!$B$12,F125=données!$B$13),"Bande à bords",IF(J125&gt;données!$P$11,"Bande à chevrons","Bande lisse")))</f>
        <v>Bande lisse</v>
      </c>
      <c r="S125" s="22" t="str">
        <f t="shared" ref="S125:S139" si="21">IFERROR(_xlfn.IFS(R125="Bande à bords",CONCATENATE("EAB",H125*100+350),R125="Bande à tasseaux",IF(H125&lt;1000,CONCATENATE("TBE0",H125,"048"),CONCATENATE("TBE",H125,"048"))),"")</f>
        <v/>
      </c>
      <c r="T125" s="653" t="s">
        <v>542</v>
      </c>
      <c r="U125" s="653" t="s">
        <v>542</v>
      </c>
      <c r="V125" s="21"/>
    </row>
    <row r="126" spans="1:22" s="8" customFormat="1" ht="39.950000000000003" hidden="1" customHeight="1">
      <c r="A126" s="3"/>
      <c r="B126" s="27" t="str">
        <f>IF(NOMENCLATURE_GEN!B126="","",NOMENCLATURE_GEN!B126)</f>
        <v/>
      </c>
      <c r="C126" s="243" t="str">
        <f>IF(NOMENCLATURE_GEN!C126="","",NOMENCLATURE_GEN!C126)</f>
        <v/>
      </c>
      <c r="D126" s="28">
        <f>IF(NOMENCLATURE_GEN!D126="","",NOMENCLATURE_GEN!D126)</f>
        <v>208</v>
      </c>
      <c r="E126" s="28" t="str">
        <f ca="1">IF(NOMENCLATURE_GEN!E126="","",NOMENCLATURE_GEN!E126)</f>
        <v>A</v>
      </c>
      <c r="F126" s="28" t="str">
        <f>IF(NOMENCLATURE_GEN!F126="","",NOMENCLATURE_GEN!F126)</f>
        <v>SOL</v>
      </c>
      <c r="G126" s="396" t="str">
        <f>IF(NOMENCLATURE_GEN!G126="","",NOMENCLATURE_GEN!G126)</f>
        <v>RLX séparateur objets longs SUR CVY 162</v>
      </c>
      <c r="H126" s="29" t="str">
        <f>IF(NOMENCLATURE_GEN!H126="","",IF(NOMENCLATURE_GEN!F126="ACO",NOMENCLATURE_GEN!H126+160,NOMENCLATURE_GEN!H126))</f>
        <v/>
      </c>
      <c r="I126" s="29" t="str">
        <f>IF(NOMENCLATURE_GEN!I126="","",NOMENCLATURE_GEN!I126)</f>
        <v/>
      </c>
      <c r="J126" s="57" t="str">
        <f>IF(NOMENCLATURE_GEN!J126="","",NOMENCLATURE_GEN!J126)</f>
        <v/>
      </c>
      <c r="K126" s="12" t="str">
        <f>IFERROR(400/VLOOKUP(F126,données!$B$3:$D$30,3,FALSE),"")</f>
        <v/>
      </c>
      <c r="L126" s="13" t="str">
        <f>IFERROR(3/VLOOKUP(F126,données!$B$3:$D$30,3,FALSE),"")</f>
        <v/>
      </c>
      <c r="M126" s="13" t="str">
        <f>IF(L126="","",VLOOKUP(F126,données!$B$4:$I$30,8,FALSE))</f>
        <v/>
      </c>
      <c r="N126" s="22" t="str">
        <f t="shared" si="19"/>
        <v/>
      </c>
      <c r="O126" s="515" t="str">
        <f t="shared" si="11"/>
        <v/>
      </c>
      <c r="P126" s="22" t="str">
        <f t="shared" si="20"/>
        <v/>
      </c>
      <c r="Q126" s="326" t="str">
        <f>IF(K126="","",INT(((I126*2-VLOOKUP(F126,données!$B$4:$I$30,4,FALSE)+VLOOKUP(F126,données!$B$4:$I$30,5,FALSE)*NOMENCLATURE_GEN!O126+IF(OR(NOMENCLATURE_GEN!P126="",NOMENCLATURE_GEN!P126=0),0,2250)+NOMENCLATURE_GEN!Q126*2000)+0.3*H126+VLOOKUP(K126,données!$M$4:$Q$9,MATCH(L126,données!$M$3:$Q$3,0),FALSE)*(L126-1)+250)/1000)+1)</f>
        <v/>
      </c>
      <c r="R126" s="22" t="str">
        <f>IF(K126="","",IF(OR(F126=données!$B$12,F126=données!$B$13),"Bande à bords",IF(J126&gt;données!$P$11,"Bande à chevrons","Bande lisse")))</f>
        <v/>
      </c>
      <c r="S126" s="22" t="str">
        <f t="shared" si="21"/>
        <v/>
      </c>
      <c r="T126" s="407"/>
      <c r="U126" s="407"/>
      <c r="V126" s="21"/>
    </row>
    <row r="127" spans="1:22" s="8" customFormat="1" ht="39.950000000000003" hidden="1" customHeight="1">
      <c r="A127" s="3"/>
      <c r="B127" s="27" t="str">
        <f>IF(NOMENCLATURE_GEN!B127="","",NOMENCLATURE_GEN!B127)</f>
        <v/>
      </c>
      <c r="C127" s="243" t="str">
        <f>IF(NOMENCLATURE_GEN!C127="","",NOMENCLATURE_GEN!C127)</f>
        <v/>
      </c>
      <c r="D127" s="28">
        <f>IF(NOMENCLATURE_GEN!D127="","",NOMENCLATURE_GEN!D127)</f>
        <v>209</v>
      </c>
      <c r="E127" s="28" t="str">
        <f ca="1">IF(NOMENCLATURE_GEN!E127="","",NOMENCLATURE_GEN!E127)</f>
        <v>A</v>
      </c>
      <c r="F127" s="28" t="str">
        <f>IF(NOMENCLATURE_GEN!F127="","",NOMENCLATURE_GEN!F127)</f>
        <v>PRP</v>
      </c>
      <c r="G127" s="396" t="str">
        <f>IF(NOMENCLATURE_GEN!G127="","",NOMENCLATURE_GEN!G127)</f>
        <v>Fourniture et pose d'une presse à paquets PP11</v>
      </c>
      <c r="H127" s="29" t="str">
        <f>IF(NOMENCLATURE_GEN!H127="","",IF(NOMENCLATURE_GEN!F127="ACO",NOMENCLATURE_GEN!H127+160,NOMENCLATURE_GEN!H127))</f>
        <v/>
      </c>
      <c r="I127" s="29" t="str">
        <f>IF(NOMENCLATURE_GEN!I127="","",NOMENCLATURE_GEN!I127)</f>
        <v/>
      </c>
      <c r="J127" s="57" t="str">
        <f>IF(NOMENCLATURE_GEN!J127="","",NOMENCLATURE_GEN!J127)</f>
        <v/>
      </c>
      <c r="K127" s="12" t="str">
        <f>IFERROR(400/VLOOKUP(F127,données!$B$3:$D$30,3,FALSE),"")</f>
        <v/>
      </c>
      <c r="L127" s="13" t="str">
        <f>IFERROR(3/VLOOKUP(F127,données!$B$3:$D$30,3,FALSE),"")</f>
        <v/>
      </c>
      <c r="M127" s="13" t="str">
        <f>IF(L127="","",VLOOKUP(F127,données!$B$4:$I$30,8,FALSE))</f>
        <v/>
      </c>
      <c r="N127" s="22" t="str">
        <f t="shared" si="19"/>
        <v/>
      </c>
      <c r="O127" s="515" t="str">
        <f t="shared" si="11"/>
        <v/>
      </c>
      <c r="P127" s="22" t="str">
        <f t="shared" si="20"/>
        <v/>
      </c>
      <c r="Q127" s="326" t="str">
        <f>IF(K127="","",INT(((I127*2-VLOOKUP(F127,données!$B$4:$I$30,4,FALSE)+VLOOKUP(F127,données!$B$4:$I$30,5,FALSE)*NOMENCLATURE_GEN!O127+IF(OR(NOMENCLATURE_GEN!P127="",NOMENCLATURE_GEN!P127=0),0,2250)+NOMENCLATURE_GEN!Q127*2000)+0.3*H127+VLOOKUP(K127,données!$M$4:$Q$9,MATCH(L127,données!$M$3:$Q$3,0),FALSE)*(L127-1)+250)/1000)+1)</f>
        <v/>
      </c>
      <c r="R127" s="22" t="str">
        <f>IF(K127="","",IF(OR(F127=données!$B$12,F127=données!$B$13),"Bande à bords",IF(J127&gt;données!$P$11,"Bande à chevrons","Bande lisse")))</f>
        <v/>
      </c>
      <c r="S127" s="22" t="str">
        <f t="shared" si="21"/>
        <v/>
      </c>
      <c r="T127" s="407"/>
      <c r="U127" s="407"/>
      <c r="V127" s="21"/>
    </row>
    <row r="128" spans="1:22" s="8" customFormat="1" ht="39.950000000000003" hidden="1" customHeight="1">
      <c r="A128" s="3"/>
      <c r="B128" s="27" t="str">
        <f>IF(NOMENCLATURE_GEN!B128="","",NOMENCLATURE_GEN!B128)</f>
        <v>SUP</v>
      </c>
      <c r="C128" s="243" t="str">
        <f>IF(NOMENCLATURE_GEN!C128="","",NOMENCLATURE_GEN!C128)</f>
        <v/>
      </c>
      <c r="D128" s="28">
        <f>IF(NOMENCLATURE_GEN!D128="","",NOMENCLATURE_GEN!D128)</f>
        <v>210</v>
      </c>
      <c r="E128" s="28" t="str">
        <f ca="1">IF(NOMENCLATURE_GEN!E128="","",NOMENCLATURE_GEN!E128)</f>
        <v>A</v>
      </c>
      <c r="F128" s="28" t="str">
        <f>IF(NOMENCLATURE_GEN!F128="","",NOMENCLATURE_GEN!F128)</f>
        <v>COU</v>
      </c>
      <c r="G128" s="396" t="str">
        <f>IF(NOMENCLATURE_GEN!G128="","",NOMENCLATURE_GEN!G128)</f>
        <v>Moins value pour suppressions Couronne rotatif pour convoyeur de mise en tas FFOM</v>
      </c>
      <c r="H128" s="29" t="str">
        <f>IF(NOMENCLATURE_GEN!H128="","",IF(NOMENCLATURE_GEN!F128="ACO",NOMENCLATURE_GEN!H128+160,NOMENCLATURE_GEN!H128))</f>
        <v/>
      </c>
      <c r="I128" s="29" t="str">
        <f>IF(NOMENCLATURE_GEN!I128="","",NOMENCLATURE_GEN!I128)</f>
        <v/>
      </c>
      <c r="J128" s="57" t="str">
        <f>IF(NOMENCLATURE_GEN!J128="","",NOMENCLATURE_GEN!J128)</f>
        <v/>
      </c>
      <c r="K128" s="12" t="str">
        <f>IFERROR(400/VLOOKUP(F128,données!$B$3:$D$30,3,FALSE),"")</f>
        <v/>
      </c>
      <c r="L128" s="13" t="str">
        <f>IFERROR(3/VLOOKUP(F128,données!$B$3:$D$30,3,FALSE),"")</f>
        <v/>
      </c>
      <c r="M128" s="13" t="str">
        <f>IF(L128="","",VLOOKUP(F128,données!$B$4:$I$30,8,FALSE))</f>
        <v/>
      </c>
      <c r="N128" s="22" t="str">
        <f t="shared" si="19"/>
        <v/>
      </c>
      <c r="O128" s="515" t="str">
        <f t="shared" si="11"/>
        <v/>
      </c>
      <c r="P128" s="22" t="str">
        <f t="shared" si="20"/>
        <v/>
      </c>
      <c r="Q128" s="326" t="str">
        <f>IF(K128="","",INT(((I128*2-VLOOKUP(F128,données!$B$4:$I$30,4,FALSE)+VLOOKUP(F128,données!$B$4:$I$30,5,FALSE)*NOMENCLATURE_GEN!O128+IF(OR(NOMENCLATURE_GEN!P128="",NOMENCLATURE_GEN!P128=0),0,2250)+NOMENCLATURE_GEN!Q128*2000)+0.3*H128+VLOOKUP(K128,données!$M$4:$Q$9,MATCH(L128,données!$M$3:$Q$3,0),FALSE)*(L128-1)+250)/1000)+1)</f>
        <v/>
      </c>
      <c r="R128" s="22" t="str">
        <f>IF(K128="","",IF(OR(F128=données!$B$12,F128=données!$B$13),"Bande à bords",IF(J128&gt;données!$P$11,"Bande à chevrons","Bande lisse")))</f>
        <v/>
      </c>
      <c r="S128" s="22" t="str">
        <f t="shared" si="21"/>
        <v/>
      </c>
      <c r="T128" s="407"/>
      <c r="U128" s="407"/>
      <c r="V128" s="21"/>
    </row>
    <row r="129" spans="1:24" s="8" customFormat="1" ht="39.950000000000003" hidden="1" customHeight="1">
      <c r="A129" s="3"/>
      <c r="B129" s="27" t="str">
        <f>IF(NOMENCLATURE_GEN!B129="","",NOMENCLATURE_GEN!B129)</f>
        <v/>
      </c>
      <c r="C129" s="243" t="str">
        <f>IF(NOMENCLATURE_GEN!C129="","",NOMENCLATURE_GEN!C129)</f>
        <v/>
      </c>
      <c r="D129" s="28">
        <f>IF(NOMENCLATURE_GEN!D129="","",NOMENCLATURE_GEN!D129)</f>
        <v>211</v>
      </c>
      <c r="E129" s="28" t="str">
        <f ca="1">IF(NOMENCLATURE_GEN!E129="","",NOMENCLATURE_GEN!E129)</f>
        <v>A</v>
      </c>
      <c r="F129" s="28" t="str">
        <f>IF(NOMENCLATURE_GEN!F129="","",NOMENCLATURE_GEN!F129)</f>
        <v>NAV</v>
      </c>
      <c r="G129" s="396" t="str">
        <f>IF(NOMENCLATURE_GEN!G129="","",NOMENCLATURE_GEN!G129)</f>
        <v>Navette pour convoyeur mobile remplissage benne FFOM TBE 160</v>
      </c>
      <c r="H129" s="29" t="str">
        <f>IF(NOMENCLATURE_GEN!H129="","",IF(NOMENCLATURE_GEN!F129="ACO",NOMENCLATURE_GEN!H129+160,NOMENCLATURE_GEN!H129))</f>
        <v/>
      </c>
      <c r="I129" s="29" t="str">
        <f>IF(NOMENCLATURE_GEN!I129="","",NOMENCLATURE_GEN!I129)</f>
        <v/>
      </c>
      <c r="J129" s="57" t="str">
        <f>IF(NOMENCLATURE_GEN!J129="","",NOMENCLATURE_GEN!J129)</f>
        <v/>
      </c>
      <c r="K129" s="12" t="str">
        <f>IFERROR(400/VLOOKUP(F129,données!$B$3:$D$30,3,FALSE),"")</f>
        <v/>
      </c>
      <c r="L129" s="13" t="str">
        <f>IFERROR(3/VLOOKUP(F129,données!$B$3:$D$30,3,FALSE),"")</f>
        <v/>
      </c>
      <c r="M129" s="13" t="str">
        <f>IF(L129="","",VLOOKUP(F129,données!$B$4:$I$30,8,FALSE))</f>
        <v/>
      </c>
      <c r="N129" s="22" t="str">
        <f t="shared" si="19"/>
        <v/>
      </c>
      <c r="O129" s="515" t="str">
        <f t="shared" si="11"/>
        <v/>
      </c>
      <c r="P129" s="22" t="str">
        <f t="shared" si="20"/>
        <v/>
      </c>
      <c r="Q129" s="326" t="str">
        <f>IF(K129="","",INT(((I129*2-VLOOKUP(F129,données!$B$4:$I$30,4,FALSE)+VLOOKUP(F129,données!$B$4:$I$30,5,FALSE)*NOMENCLATURE_GEN!O129+IF(OR(NOMENCLATURE_GEN!P129="",NOMENCLATURE_GEN!P129=0),0,2250)+NOMENCLATURE_GEN!Q129*2000)+0.3*H129+VLOOKUP(K129,données!$M$4:$Q$9,MATCH(L129,données!$M$3:$Q$3,0),FALSE)*(L129-1)+250)/1000)+1)</f>
        <v/>
      </c>
      <c r="R129" s="22" t="str">
        <f>IF(K129="","",IF(OR(F129=données!$B$12,F129=données!$B$13),"Bande à bords",IF(J129&gt;données!$P$11,"Bande à chevrons","Bande lisse")))</f>
        <v/>
      </c>
      <c r="S129" s="22" t="str">
        <f t="shared" si="21"/>
        <v/>
      </c>
      <c r="T129" s="407"/>
      <c r="U129" s="407"/>
      <c r="V129" s="21"/>
    </row>
    <row r="130" spans="1:24" s="8" customFormat="1" ht="39.950000000000003" hidden="1" customHeight="1">
      <c r="A130" s="3"/>
      <c r="B130" s="27" t="str">
        <f>IF(NOMENCLATURE_GEN!B130="","",NOMENCLATURE_GEN!B130)</f>
        <v/>
      </c>
      <c r="C130" s="243" t="str">
        <f>IF(NOMENCLATURE_GEN!C130="","",NOMENCLATURE_GEN!C130)</f>
        <v/>
      </c>
      <c r="D130" s="28">
        <f>IF(NOMENCLATURE_GEN!D130="","",NOMENCLATURE_GEN!D130)</f>
        <v>212</v>
      </c>
      <c r="E130" s="28" t="str">
        <f ca="1">IF(NOMENCLATURE_GEN!E130="","",NOMENCLATURE_GEN!E130)</f>
        <v>A</v>
      </c>
      <c r="F130" s="28" t="str">
        <f>IF(NOMENCLATURE_GEN!F130="","",NOMENCLATURE_GEN!F130)</f>
        <v>CHA</v>
      </c>
      <c r="G130" s="396" t="str">
        <f>IF(NOMENCLATURE_GEN!G130="","",NOMENCLATURE_GEN!G130)</f>
        <v>Ensemble passerelle pour convoyeur navette FFOM</v>
      </c>
      <c r="H130" s="29" t="str">
        <f>IF(NOMENCLATURE_GEN!H130="","",IF(NOMENCLATURE_GEN!F130="ACO",NOMENCLATURE_GEN!H130+160,NOMENCLATURE_GEN!H130))</f>
        <v/>
      </c>
      <c r="I130" s="29" t="str">
        <f>IF(NOMENCLATURE_GEN!I130="","",NOMENCLATURE_GEN!I130)</f>
        <v/>
      </c>
      <c r="J130" s="57" t="str">
        <f>IF(NOMENCLATURE_GEN!J130="","",NOMENCLATURE_GEN!J130)</f>
        <v/>
      </c>
      <c r="K130" s="12" t="str">
        <f>IFERROR(400/VLOOKUP(F130,données!$B$3:$D$30,3,FALSE),"")</f>
        <v/>
      </c>
      <c r="L130" s="13" t="str">
        <f>IFERROR(3/VLOOKUP(F130,données!$B$3:$D$30,3,FALSE),"")</f>
        <v/>
      </c>
      <c r="M130" s="13" t="str">
        <f>IF(L130="","",VLOOKUP(F130,données!$B$4:$I$30,8,FALSE))</f>
        <v/>
      </c>
      <c r="N130" s="22" t="str">
        <f t="shared" si="19"/>
        <v/>
      </c>
      <c r="O130" s="515" t="str">
        <f t="shared" si="11"/>
        <v/>
      </c>
      <c r="P130" s="22" t="str">
        <f t="shared" si="20"/>
        <v/>
      </c>
      <c r="Q130" s="326" t="str">
        <f>IF(K130="","",INT(((I130*2-VLOOKUP(F130,données!$B$4:$I$30,4,FALSE)+VLOOKUP(F130,données!$B$4:$I$30,5,FALSE)*NOMENCLATURE_GEN!O130+IF(OR(NOMENCLATURE_GEN!P130="",NOMENCLATURE_GEN!P130=0),0,2250)+NOMENCLATURE_GEN!Q130*2000)+0.3*H130+VLOOKUP(K130,données!$M$4:$Q$9,MATCH(L130,données!$M$3:$Q$3,0),FALSE)*(L130-1)+250)/1000)+1)</f>
        <v/>
      </c>
      <c r="R130" s="22" t="str">
        <f>IF(K130="","",IF(OR(F130=données!$B$12,F130=données!$B$13),"Bande à bords",IF(J130&gt;données!$P$11,"Bande à chevrons","Bande lisse")))</f>
        <v/>
      </c>
      <c r="S130" s="22" t="str">
        <f t="shared" si="21"/>
        <v/>
      </c>
      <c r="T130" s="407"/>
      <c r="U130" s="407"/>
      <c r="V130" s="21"/>
    </row>
    <row r="131" spans="1:24" s="8" customFormat="1" ht="39.950000000000003" hidden="1" customHeight="1">
      <c r="A131" s="3"/>
      <c r="B131" s="27" t="str">
        <f>IF(NOMENCLATURE_GEN!B131="","",NOMENCLATURE_GEN!B131)</f>
        <v/>
      </c>
      <c r="C131" s="243" t="str">
        <f>IF(NOMENCLATURE_GEN!C131="","",NOMENCLATURE_GEN!C131)</f>
        <v/>
      </c>
      <c r="D131" s="28">
        <f>IF(NOMENCLATURE_GEN!D131="","",NOMENCLATURE_GEN!D131)</f>
        <v>213</v>
      </c>
      <c r="E131" s="28" t="str">
        <f ca="1">IF(NOMENCLATURE_GEN!E131="","",NOMENCLATURE_GEN!E131)</f>
        <v>A</v>
      </c>
      <c r="F131" s="28" t="str">
        <f>IF(NOMENCLATURE_GEN!F131="","",NOMENCLATURE_GEN!F131)</f>
        <v>PES</v>
      </c>
      <c r="G131" s="396" t="str">
        <f>IF(NOMENCLATURE_GEN!G131="","",NOMENCLATURE_GEN!G131)</f>
        <v>Pesage des paquets d'aciers en sortie</v>
      </c>
      <c r="H131" s="29" t="str">
        <f>IF(NOMENCLATURE_GEN!H131="","",IF(NOMENCLATURE_GEN!F131="ACO",NOMENCLATURE_GEN!H131+160,NOMENCLATURE_GEN!H131))</f>
        <v/>
      </c>
      <c r="I131" s="29" t="str">
        <f>IF(NOMENCLATURE_GEN!I131="","",NOMENCLATURE_GEN!I131)</f>
        <v/>
      </c>
      <c r="J131" s="57" t="str">
        <f>IF(NOMENCLATURE_GEN!J131="","",NOMENCLATURE_GEN!J131)</f>
        <v/>
      </c>
      <c r="K131" s="12" t="str">
        <f>IFERROR(400/VLOOKUP(F131,données!$B$3:$D$30,3,FALSE),"")</f>
        <v/>
      </c>
      <c r="L131" s="13" t="str">
        <f>IFERROR(3/VLOOKUP(F131,données!$B$3:$D$30,3,FALSE),"")</f>
        <v/>
      </c>
      <c r="M131" s="13" t="str">
        <f>IF(L131="","",VLOOKUP(F131,données!$B$4:$I$30,8,FALSE))</f>
        <v/>
      </c>
      <c r="N131" s="22" t="str">
        <f t="shared" si="19"/>
        <v/>
      </c>
      <c r="O131" s="515" t="str">
        <f t="shared" si="11"/>
        <v/>
      </c>
      <c r="P131" s="22" t="str">
        <f t="shared" si="20"/>
        <v/>
      </c>
      <c r="Q131" s="326" t="str">
        <f>IF(K131="","",INT(((I131*2-VLOOKUP(F131,données!$B$4:$I$30,4,FALSE)+VLOOKUP(F131,données!$B$4:$I$30,5,FALSE)*NOMENCLATURE_GEN!O131+IF(OR(NOMENCLATURE_GEN!P131="",NOMENCLATURE_GEN!P131=0),0,2250)+NOMENCLATURE_GEN!Q131*2000)+0.3*H131+VLOOKUP(K131,données!$M$4:$Q$9,MATCH(L131,données!$M$3:$Q$3,0),FALSE)*(L131-1)+250)/1000)+1)</f>
        <v/>
      </c>
      <c r="R131" s="22" t="str">
        <f>IF(K131="","",IF(OR(F131=données!$B$12,F131=données!$B$13),"Bande à bords",IF(J131&gt;données!$P$11,"Bande à chevrons","Bande lisse")))</f>
        <v/>
      </c>
      <c r="S131" s="22" t="str">
        <f t="shared" si="21"/>
        <v/>
      </c>
      <c r="T131" s="407"/>
      <c r="U131" s="407"/>
      <c r="V131" s="21"/>
    </row>
    <row r="132" spans="1:24" s="8" customFormat="1" ht="39.950000000000003" hidden="1" customHeight="1">
      <c r="A132" s="3"/>
      <c r="B132" s="27" t="str">
        <f>IF(NOMENCLATURE_GEN!B132="","",NOMENCLATURE_GEN!B132)</f>
        <v/>
      </c>
      <c r="C132" s="243" t="str">
        <f>IF(NOMENCLATURE_GEN!C132="","",NOMENCLATURE_GEN!C132)</f>
        <v/>
      </c>
      <c r="D132" s="28">
        <f>IF(NOMENCLATURE_GEN!D132="","",NOMENCLATURE_GEN!D132)</f>
        <v>215</v>
      </c>
      <c r="E132" s="28" t="str">
        <f ca="1">IF(NOMENCLATURE_GEN!E132="","",NOMENCLATURE_GEN!E132)</f>
        <v>A</v>
      </c>
      <c r="F132" s="28" t="str">
        <f>IF(NOMENCLATURE_GEN!F132="","",NOMENCLATURE_GEN!F132)</f>
        <v>ELEC</v>
      </c>
      <c r="G132" s="396" t="str">
        <f>IF(NOMENCLATURE_GEN!G132="","",NOMENCLATURE_GEN!G132)</f>
        <v>Cablage électrique + capteurs</v>
      </c>
      <c r="H132" s="29" t="str">
        <f>IF(NOMENCLATURE_GEN!H132="","",IF(NOMENCLATURE_GEN!F132="ACO",NOMENCLATURE_GEN!H132+160,NOMENCLATURE_GEN!H132))</f>
        <v/>
      </c>
      <c r="I132" s="29" t="str">
        <f>IF(NOMENCLATURE_GEN!I132="","",NOMENCLATURE_GEN!I132)</f>
        <v/>
      </c>
      <c r="J132" s="57" t="str">
        <f>IF(NOMENCLATURE_GEN!J132="","",NOMENCLATURE_GEN!J132)</f>
        <v/>
      </c>
      <c r="K132" s="12" t="str">
        <f>IFERROR(400/VLOOKUP(F132,données!$B$3:$D$30,3,FALSE),"")</f>
        <v/>
      </c>
      <c r="L132" s="13" t="str">
        <f>IFERROR(3/VLOOKUP(F132,données!$B$3:$D$30,3,FALSE),"")</f>
        <v/>
      </c>
      <c r="M132" s="13" t="str">
        <f>IF(L132="","",VLOOKUP(F132,données!$B$4:$I$30,8,FALSE))</f>
        <v/>
      </c>
      <c r="N132" s="22" t="str">
        <f t="shared" si="19"/>
        <v/>
      </c>
      <c r="O132" s="515" t="str">
        <f t="shared" si="11"/>
        <v/>
      </c>
      <c r="P132" s="22" t="str">
        <f t="shared" si="20"/>
        <v/>
      </c>
      <c r="Q132" s="326" t="str">
        <f>IF(K132="","",INT(((I132*2-VLOOKUP(F132,données!$B$4:$I$30,4,FALSE)+VLOOKUP(F132,données!$B$4:$I$30,5,FALSE)*NOMENCLATURE_GEN!O132+IF(OR(NOMENCLATURE_GEN!P132="",NOMENCLATURE_GEN!P132=0),0,2250)+NOMENCLATURE_GEN!Q132*2000)+0.3*H132+VLOOKUP(K132,données!$M$4:$Q$9,MATCH(L132,données!$M$3:$Q$3,0),FALSE)*(L132-1)+250)/1000)+1)</f>
        <v/>
      </c>
      <c r="R132" s="22" t="str">
        <f>IF(K132="","",IF(OR(F132=données!$B$12,F132=données!$B$13),"Bande à bords",IF(J132&gt;données!$P$11,"Bande à chevrons","Bande lisse")))</f>
        <v/>
      </c>
      <c r="S132" s="22" t="str">
        <f t="shared" si="21"/>
        <v/>
      </c>
      <c r="T132" s="407"/>
      <c r="U132" s="407"/>
      <c r="V132" s="21"/>
    </row>
    <row r="133" spans="1:24" s="8" customFormat="1" ht="39.950000000000003" hidden="1" customHeight="1">
      <c r="A133" s="3"/>
      <c r="B133" s="27" t="str">
        <f>IF(NOMENCLATURE_GEN!B133="","",NOMENCLATURE_GEN!B133)</f>
        <v/>
      </c>
      <c r="C133" s="243" t="str">
        <f>IF(NOMENCLATURE_GEN!C133="","",NOMENCLATURE_GEN!C133)</f>
        <v/>
      </c>
      <c r="D133" s="28">
        <f>IF(NOMENCLATURE_GEN!D133="","",NOMENCLATURE_GEN!D133)</f>
        <v>219</v>
      </c>
      <c r="E133" s="28" t="str">
        <f ca="1">IF(NOMENCLATURE_GEN!E133="","",NOMENCLATURE_GEN!E133)</f>
        <v>A</v>
      </c>
      <c r="F133" s="28" t="str">
        <f>IF(NOMENCLATURE_GEN!F133="","",NOMENCLATURE_GEN!F133)</f>
        <v>PES</v>
      </c>
      <c r="G133" s="396" t="str">
        <f>IF(NOMENCLATURE_GEN!G133="","",NOMENCLATURE_GEN!G133)</f>
        <v>Station de pesage dynamique sur CBA 199 fraction FFOM vers métha</v>
      </c>
      <c r="H133" s="29" t="str">
        <f>IF(NOMENCLATURE_GEN!H133="","",IF(NOMENCLATURE_GEN!F133="ACO",NOMENCLATURE_GEN!H133+160,NOMENCLATURE_GEN!H133))</f>
        <v/>
      </c>
      <c r="I133" s="29" t="str">
        <f>IF(NOMENCLATURE_GEN!I133="","",NOMENCLATURE_GEN!I133)</f>
        <v/>
      </c>
      <c r="J133" s="57" t="str">
        <f>IF(NOMENCLATURE_GEN!J133="","",NOMENCLATURE_GEN!J133)</f>
        <v/>
      </c>
      <c r="K133" s="12" t="str">
        <f>IFERROR(400/VLOOKUP(F133,données!$B$3:$D$30,3,FALSE),"")</f>
        <v/>
      </c>
      <c r="L133" s="13" t="str">
        <f>IFERROR(3/VLOOKUP(F133,données!$B$3:$D$30,3,FALSE),"")</f>
        <v/>
      </c>
      <c r="M133" s="13" t="str">
        <f>IF(L133="","",VLOOKUP(F133,données!$B$4:$I$30,8,FALSE))</f>
        <v/>
      </c>
      <c r="N133" s="22" t="str">
        <f t="shared" si="19"/>
        <v/>
      </c>
      <c r="O133" s="515" t="str">
        <f t="shared" si="11"/>
        <v/>
      </c>
      <c r="P133" s="22" t="str">
        <f t="shared" si="20"/>
        <v/>
      </c>
      <c r="Q133" s="326" t="str">
        <f>IF(K133="","",INT(((I133*2-VLOOKUP(F133,données!$B$4:$I$30,4,FALSE)+VLOOKUP(F133,données!$B$4:$I$30,5,FALSE)*NOMENCLATURE_GEN!O133+IF(OR(NOMENCLATURE_GEN!P133="",NOMENCLATURE_GEN!P133=0),0,2250)+NOMENCLATURE_GEN!Q133*2000)+0.3*H133+VLOOKUP(K133,données!$M$4:$Q$9,MATCH(L133,données!$M$3:$Q$3,0),FALSE)*(L133-1)+250)/1000)+1)</f>
        <v/>
      </c>
      <c r="R133" s="22" t="str">
        <f>IF(K133="","",IF(OR(F133=données!$B$12,F133=données!$B$13),"Bande à bords",IF(J133&gt;données!$P$11,"Bande à chevrons","Bande lisse")))</f>
        <v/>
      </c>
      <c r="S133" s="22" t="str">
        <f t="shared" si="21"/>
        <v/>
      </c>
      <c r="T133" s="407"/>
      <c r="U133" s="407"/>
      <c r="V133" s="21"/>
    </row>
    <row r="134" spans="1:24" s="8" customFormat="1" ht="39.950000000000003" hidden="1" customHeight="1">
      <c r="A134" s="3"/>
      <c r="B134" s="27" t="str">
        <f>IF(NOMENCLATURE_GEN!B134="","",NOMENCLATURE_GEN!B134)</f>
        <v>SUP</v>
      </c>
      <c r="C134" s="243" t="str">
        <f>IF(NOMENCLATURE_GEN!C134="","",NOMENCLATURE_GEN!C134)</f>
        <v/>
      </c>
      <c r="D134" s="28">
        <f>IF(NOMENCLATURE_GEN!D134="","",NOMENCLATURE_GEN!D134)</f>
        <v>221</v>
      </c>
      <c r="E134" s="28" t="str">
        <f ca="1">IF(NOMENCLATURE_GEN!E134="","",NOMENCLATURE_GEN!E134)</f>
        <v>A</v>
      </c>
      <c r="F134" s="28" t="str">
        <f>IF(NOMENCLATURE_GEN!F134="","",NOMENCLATURE_GEN!F134)</f>
        <v>TVB</v>
      </c>
      <c r="G134" s="396" t="str">
        <f>IF(NOMENCLATURE_GEN!G134="","",NOMENCLATURE_GEN!G134)</f>
        <v>Alimentateur vibrant pour tri optique verre</v>
      </c>
      <c r="H134" s="29" t="str">
        <f>IF(NOMENCLATURE_GEN!H134="","",IF(NOMENCLATURE_GEN!F134="ACO",NOMENCLATURE_GEN!H134+160,NOMENCLATURE_GEN!H134))</f>
        <v/>
      </c>
      <c r="I134" s="29" t="str">
        <f>IF(NOMENCLATURE_GEN!I134="","",NOMENCLATURE_GEN!I134)</f>
        <v/>
      </c>
      <c r="J134" s="57" t="str">
        <f>IF(NOMENCLATURE_GEN!J134="","",NOMENCLATURE_GEN!J134)</f>
        <v/>
      </c>
      <c r="K134" s="12" t="str">
        <f>IFERROR(400/VLOOKUP(F134,données!$B$3:$D$30,3,FALSE),"")</f>
        <v/>
      </c>
      <c r="L134" s="13" t="str">
        <f>IFERROR(3/VLOOKUP(F134,données!$B$3:$D$30,3,FALSE),"")</f>
        <v/>
      </c>
      <c r="M134" s="13" t="str">
        <f>IF(L134="","",VLOOKUP(F134,données!$B$4:$I$30,8,FALSE))</f>
        <v/>
      </c>
      <c r="N134" s="22" t="str">
        <f t="shared" si="19"/>
        <v/>
      </c>
      <c r="O134" s="515" t="str">
        <f t="shared" si="11"/>
        <v/>
      </c>
      <c r="P134" s="22" t="str">
        <f t="shared" si="20"/>
        <v/>
      </c>
      <c r="Q134" s="326" t="str">
        <f>IF(K134="","",INT(((I134*2-VLOOKUP(F134,données!$B$4:$I$30,4,FALSE)+VLOOKUP(F134,données!$B$4:$I$30,5,FALSE)*NOMENCLATURE_GEN!O134+IF(OR(NOMENCLATURE_GEN!P134="",NOMENCLATURE_GEN!P134=0),0,2250)+NOMENCLATURE_GEN!Q134*2000)+0.3*H134+VLOOKUP(K134,données!$M$4:$Q$9,MATCH(L134,données!$M$3:$Q$3,0),FALSE)*(L134-1)+250)/1000)+1)</f>
        <v/>
      </c>
      <c r="R134" s="22" t="str">
        <f>IF(K134="","",IF(OR(F134=données!$B$12,F134=données!$B$13),"Bande à bords",IF(J134&gt;données!$P$11,"Bande à chevrons","Bande lisse")))</f>
        <v/>
      </c>
      <c r="S134" s="22" t="str">
        <f t="shared" si="21"/>
        <v/>
      </c>
      <c r="T134" s="407"/>
      <c r="U134" s="407"/>
      <c r="V134" s="21"/>
    </row>
    <row r="135" spans="1:24" s="8" customFormat="1" ht="39.950000000000003" hidden="1" customHeight="1">
      <c r="A135" s="3"/>
      <c r="B135" s="27" t="str">
        <f>IF(NOMENCLATURE_GEN!B135="","",NOMENCLATURE_GEN!B135)</f>
        <v>SUP</v>
      </c>
      <c r="C135" s="243" t="str">
        <f>IF(NOMENCLATURE_GEN!C135="","",NOMENCLATURE_GEN!C135)</f>
        <v/>
      </c>
      <c r="D135" s="28">
        <f>IF(NOMENCLATURE_GEN!D135="","",NOMENCLATURE_GEN!D135)</f>
        <v>222</v>
      </c>
      <c r="E135" s="28" t="str">
        <f ca="1">IF(NOMENCLATURE_GEN!E135="","",NOMENCLATURE_GEN!E135)</f>
        <v>A</v>
      </c>
      <c r="F135" s="28" t="str">
        <f>IF(NOMENCLATURE_GEN!F135="","",NOMENCLATURE_GEN!F135)</f>
        <v>SOP</v>
      </c>
      <c r="G135" s="396" t="str">
        <f>IF(NOMENCLATURE_GEN!G135="","",NOMENCLATURE_GEN!G135)</f>
        <v>Séparateur optique verre</v>
      </c>
      <c r="H135" s="29" t="str">
        <f>IF(NOMENCLATURE_GEN!H135="","",IF(NOMENCLATURE_GEN!F135="ACO",NOMENCLATURE_GEN!H135+160,NOMENCLATURE_GEN!H135))</f>
        <v/>
      </c>
      <c r="I135" s="29" t="str">
        <f>IF(NOMENCLATURE_GEN!I135="","",NOMENCLATURE_GEN!I135)</f>
        <v/>
      </c>
      <c r="J135" s="57" t="str">
        <f>IF(NOMENCLATURE_GEN!J135="","",NOMENCLATURE_GEN!J135)</f>
        <v/>
      </c>
      <c r="K135" s="12" t="str">
        <f>IFERROR(400/VLOOKUP(F135,données!$B$3:$D$30,3,FALSE),"")</f>
        <v/>
      </c>
      <c r="L135" s="13" t="str">
        <f>IFERROR(3/VLOOKUP(F135,données!$B$3:$D$30,3,FALSE),"")</f>
        <v/>
      </c>
      <c r="M135" s="13" t="str">
        <f>IF(L135="","",VLOOKUP(F135,données!$B$4:$I$30,8,FALSE))</f>
        <v/>
      </c>
      <c r="N135" s="22" t="str">
        <f t="shared" si="19"/>
        <v/>
      </c>
      <c r="O135" s="515" t="str">
        <f t="shared" si="11"/>
        <v/>
      </c>
      <c r="P135" s="22" t="str">
        <f t="shared" si="20"/>
        <v/>
      </c>
      <c r="Q135" s="326" t="str">
        <f>IF(K135="","",INT(((I135*2-VLOOKUP(F135,données!$B$4:$I$30,4,FALSE)+VLOOKUP(F135,données!$B$4:$I$30,5,FALSE)*NOMENCLATURE_GEN!O135+IF(OR(NOMENCLATURE_GEN!P135="",NOMENCLATURE_GEN!P135=0),0,2250)+NOMENCLATURE_GEN!Q135*2000)+0.3*H135+VLOOKUP(K135,données!$M$4:$Q$9,MATCH(L135,données!$M$3:$Q$3,0),FALSE)*(L135-1)+250)/1000)+1)</f>
        <v/>
      </c>
      <c r="R135" s="22" t="str">
        <f>IF(K135="","",IF(OR(F135=données!$B$12,F135=données!$B$13),"Bande à bords",IF(J135&gt;données!$P$11,"Bande à chevrons","Bande lisse")))</f>
        <v/>
      </c>
      <c r="S135" s="22" t="str">
        <f t="shared" si="21"/>
        <v/>
      </c>
      <c r="T135" s="407"/>
      <c r="U135" s="407"/>
      <c r="V135" s="21"/>
    </row>
    <row r="136" spans="1:24" s="8" customFormat="1" ht="39.950000000000003" hidden="1" customHeight="1">
      <c r="A136" s="3"/>
      <c r="B136" s="27" t="str">
        <f>IF(NOMENCLATURE_GEN!B136="","",NOMENCLATURE_GEN!B136)</f>
        <v>SUP</v>
      </c>
      <c r="C136" s="243" t="str">
        <f>IF(NOMENCLATURE_GEN!C136="","",NOMENCLATURE_GEN!C136)</f>
        <v/>
      </c>
      <c r="D136" s="28">
        <f>IF(NOMENCLATURE_GEN!D136="","",NOMENCLATURE_GEN!D136)</f>
        <v>224</v>
      </c>
      <c r="E136" s="28" t="str">
        <f ca="1">IF(NOMENCLATURE_GEN!E136="","",NOMENCLATURE_GEN!E136)</f>
        <v>A</v>
      </c>
      <c r="F136" s="28" t="str">
        <f>IF(NOMENCLATURE_GEN!F136="","",NOMENCLATURE_GEN!F136)</f>
        <v>CHA</v>
      </c>
      <c r="G136" s="396" t="str">
        <f>IF(NOMENCLATURE_GEN!G136="","",NOMENCLATURE_GEN!G136)</f>
        <v>Plateforme d'accès maintenance pour tri optique et vibrant</v>
      </c>
      <c r="H136" s="29" t="str">
        <f>IF(NOMENCLATURE_GEN!H136="","",IF(NOMENCLATURE_GEN!F136="ACO",NOMENCLATURE_GEN!H136+160,NOMENCLATURE_GEN!H136))</f>
        <v/>
      </c>
      <c r="I136" s="29" t="str">
        <f>IF(NOMENCLATURE_GEN!I136="","",NOMENCLATURE_GEN!I136)</f>
        <v/>
      </c>
      <c r="J136" s="57" t="str">
        <f>IF(NOMENCLATURE_GEN!J136="","",NOMENCLATURE_GEN!J136)</f>
        <v/>
      </c>
      <c r="K136" s="12" t="str">
        <f>IFERROR(400/VLOOKUP(F136,données!$B$3:$D$30,3,FALSE),"")</f>
        <v/>
      </c>
      <c r="L136" s="13" t="str">
        <f>IFERROR(3/VLOOKUP(F136,données!$B$3:$D$30,3,FALSE),"")</f>
        <v/>
      </c>
      <c r="M136" s="13" t="str">
        <f>IF(L136="","",VLOOKUP(F136,données!$B$4:$I$30,8,FALSE))</f>
        <v/>
      </c>
      <c r="N136" s="22" t="str">
        <f t="shared" si="19"/>
        <v/>
      </c>
      <c r="O136" s="515" t="str">
        <f t="shared" si="11"/>
        <v/>
      </c>
      <c r="P136" s="22" t="str">
        <f t="shared" si="20"/>
        <v/>
      </c>
      <c r="Q136" s="326" t="str">
        <f>IF(K136="","",INT(((I136*2-VLOOKUP(F136,données!$B$4:$I$30,4,FALSE)+VLOOKUP(F136,données!$B$4:$I$30,5,FALSE)*NOMENCLATURE_GEN!O136+IF(OR(NOMENCLATURE_GEN!P136="",NOMENCLATURE_GEN!P136=0),0,2250)+NOMENCLATURE_GEN!Q136*2000)+0.3*H136+VLOOKUP(K136,données!$M$4:$Q$9,MATCH(L136,données!$M$3:$Q$3,0),FALSE)*(L136-1)+250)/1000)+1)</f>
        <v/>
      </c>
      <c r="R136" s="22" t="str">
        <f>IF(K136="","",IF(OR(F136=données!$B$12,F136=données!$B$13),"Bande à bords",IF(J136&gt;données!$P$11,"Bande à chevrons","Bande lisse")))</f>
        <v/>
      </c>
      <c r="S136" s="22" t="str">
        <f t="shared" si="21"/>
        <v/>
      </c>
      <c r="T136" s="407"/>
      <c r="U136" s="407"/>
      <c r="V136" s="21"/>
    </row>
    <row r="137" spans="1:24" s="8" customFormat="1" ht="39.950000000000003" hidden="1" customHeight="1">
      <c r="A137" s="3"/>
      <c r="B137" s="27" t="str">
        <f>IF(NOMENCLATURE_GEN!B137="","",NOMENCLATURE_GEN!B137)</f>
        <v>SUP</v>
      </c>
      <c r="C137" s="243" t="str">
        <f>IF(NOMENCLATURE_GEN!C137="","",NOMENCLATURE_GEN!C137)</f>
        <v/>
      </c>
      <c r="D137" s="28">
        <f>IF(NOMENCLATURE_GEN!D137="","",NOMENCLATURE_GEN!D137)</f>
        <v>225</v>
      </c>
      <c r="E137" s="28" t="str">
        <f ca="1">IF(NOMENCLATURE_GEN!E137="","",NOMENCLATURE_GEN!E137)</f>
        <v>A</v>
      </c>
      <c r="F137" s="28" t="str">
        <f>IF(NOMENCLATURE_GEN!F137="","",NOMENCLATURE_GEN!F137)</f>
        <v>COM</v>
      </c>
      <c r="G137" s="396" t="str">
        <f>IF(NOMENCLATURE_GEN!G137="","",NOMENCLATURE_GEN!G137)</f>
        <v>Compresseur + sécheur + réseau pour tri optique verre</v>
      </c>
      <c r="H137" s="29" t="str">
        <f>IF(NOMENCLATURE_GEN!H137="","",IF(NOMENCLATURE_GEN!F137="ACO",NOMENCLATURE_GEN!H137+160,NOMENCLATURE_GEN!H137))</f>
        <v/>
      </c>
      <c r="I137" s="29" t="str">
        <f>IF(NOMENCLATURE_GEN!I137="","",NOMENCLATURE_GEN!I137)</f>
        <v/>
      </c>
      <c r="J137" s="57" t="str">
        <f>IF(NOMENCLATURE_GEN!J137="","",NOMENCLATURE_GEN!J137)</f>
        <v/>
      </c>
      <c r="K137" s="12" t="str">
        <f>IFERROR(400/VLOOKUP(F137,données!$B$3:$D$30,3,FALSE),"")</f>
        <v/>
      </c>
      <c r="L137" s="13" t="str">
        <f>IFERROR(3/VLOOKUP(F137,données!$B$3:$D$30,3,FALSE),"")</f>
        <v/>
      </c>
      <c r="M137" s="13" t="str">
        <f>IF(L137="","",VLOOKUP(F137,données!$B$4:$I$30,8,FALSE))</f>
        <v/>
      </c>
      <c r="N137" s="22" t="str">
        <f t="shared" si="19"/>
        <v/>
      </c>
      <c r="O137" s="515" t="str">
        <f t="shared" si="11"/>
        <v/>
      </c>
      <c r="P137" s="22" t="str">
        <f t="shared" si="20"/>
        <v/>
      </c>
      <c r="Q137" s="326" t="str">
        <f>IF(K137="","",INT(((I137*2-VLOOKUP(F137,données!$B$4:$I$30,4,FALSE)+VLOOKUP(F137,données!$B$4:$I$30,5,FALSE)*NOMENCLATURE_GEN!O137+IF(OR(NOMENCLATURE_GEN!P137="",NOMENCLATURE_GEN!P137=0),0,2250)+NOMENCLATURE_GEN!Q137*2000)+0.3*H137+VLOOKUP(K137,données!$M$4:$Q$9,MATCH(L137,données!$M$3:$Q$3,0),FALSE)*(L137-1)+250)/1000)+1)</f>
        <v/>
      </c>
      <c r="R137" s="22" t="str">
        <f>IF(K137="","",IF(OR(F137=données!$B$12,F137=données!$B$13),"Bande à bords",IF(J137&gt;données!$P$11,"Bande à chevrons","Bande lisse")))</f>
        <v/>
      </c>
      <c r="S137" s="22" t="str">
        <f t="shared" si="21"/>
        <v/>
      </c>
      <c r="T137" s="407"/>
      <c r="U137" s="407"/>
      <c r="V137" s="21"/>
    </row>
    <row r="138" spans="1:24" s="8" customFormat="1" ht="39.950000000000003" hidden="1" customHeight="1">
      <c r="A138" s="3"/>
      <c r="B138" s="27" t="str">
        <f>IF(NOMENCLATURE_GEN!B138="","",NOMENCLATURE_GEN!B138)</f>
        <v>SUP</v>
      </c>
      <c r="C138" s="243" t="str">
        <f>IF(NOMENCLATURE_GEN!C138="","",NOMENCLATURE_GEN!C138)</f>
        <v/>
      </c>
      <c r="D138" s="28">
        <f>IF(NOMENCLATURE_GEN!D138="","",NOMENCLATURE_GEN!D138)</f>
        <v>227</v>
      </c>
      <c r="E138" s="28" t="str">
        <f ca="1">IF(NOMENCLATURE_GEN!E138="","",NOMENCLATURE_GEN!E138)</f>
        <v>A</v>
      </c>
      <c r="F138" s="28" t="str">
        <f>IF(NOMENCLATURE_GEN!F138="","",NOMENCLATURE_GEN!F138)</f>
        <v>ELEC</v>
      </c>
      <c r="G138" s="396" t="str">
        <f>IF(NOMENCLATURE_GEN!G138="","",NOMENCLATURE_GEN!G138)</f>
        <v>Cablage électrique + capteurs</v>
      </c>
      <c r="H138" s="29" t="str">
        <f>IF(NOMENCLATURE_GEN!H138="","",IF(NOMENCLATURE_GEN!F138="ACO",NOMENCLATURE_GEN!H138+160,NOMENCLATURE_GEN!H138))</f>
        <v/>
      </c>
      <c r="I138" s="29" t="str">
        <f>IF(NOMENCLATURE_GEN!I138="","",NOMENCLATURE_GEN!I138)</f>
        <v/>
      </c>
      <c r="J138" s="57" t="str">
        <f>IF(NOMENCLATURE_GEN!J138="","",NOMENCLATURE_GEN!J138)</f>
        <v/>
      </c>
      <c r="K138" s="12" t="str">
        <f>IFERROR(400/VLOOKUP(F138,données!$B$3:$D$30,3,FALSE),"")</f>
        <v/>
      </c>
      <c r="L138" s="13" t="str">
        <f>IFERROR(3/VLOOKUP(F138,données!$B$3:$D$30,3,FALSE),"")</f>
        <v/>
      </c>
      <c r="M138" s="13" t="str">
        <f>IF(L138="","",VLOOKUP(F138,données!$B$4:$I$30,8,FALSE))</f>
        <v/>
      </c>
      <c r="N138" s="22" t="str">
        <f t="shared" si="19"/>
        <v/>
      </c>
      <c r="O138" s="515" t="str">
        <f t="shared" si="11"/>
        <v/>
      </c>
      <c r="P138" s="22" t="str">
        <f t="shared" si="20"/>
        <v/>
      </c>
      <c r="Q138" s="326" t="str">
        <f>IF(K138="","",INT(((I138*2-VLOOKUP(F138,données!$B$4:$I$30,4,FALSE)+VLOOKUP(F138,données!$B$4:$I$30,5,FALSE)*NOMENCLATURE_GEN!O138+IF(OR(NOMENCLATURE_GEN!P138="",NOMENCLATURE_GEN!P138=0),0,2250)+NOMENCLATURE_GEN!Q138*2000)+0.3*H138+VLOOKUP(K138,données!$M$4:$Q$9,MATCH(L138,données!$M$3:$Q$3,0),FALSE)*(L138-1)+250)/1000)+1)</f>
        <v/>
      </c>
      <c r="R138" s="22" t="str">
        <f>IF(K138="","",IF(OR(F138=données!$B$12,F138=données!$B$13),"Bande à bords",IF(J138&gt;données!$P$11,"Bande à chevrons","Bande lisse")))</f>
        <v/>
      </c>
      <c r="S138" s="22" t="str">
        <f t="shared" si="21"/>
        <v/>
      </c>
      <c r="T138" s="407"/>
      <c r="U138" s="407"/>
      <c r="V138" s="21"/>
    </row>
    <row r="139" spans="1:24" s="8" customFormat="1" ht="39.950000000000003" hidden="1" customHeight="1">
      <c r="A139" s="3"/>
      <c r="B139" s="27" t="str">
        <f>IF(NOMENCLATURE_GEN!B139="","",NOMENCLATURE_GEN!B139)</f>
        <v/>
      </c>
      <c r="C139" s="243" t="str">
        <f>IF(NOMENCLATURE_GEN!C139="","",NOMENCLATURE_GEN!C139)</f>
        <v/>
      </c>
      <c r="D139" s="28">
        <f>IF(NOMENCLATURE_GEN!D139="","",NOMENCLATURE_GEN!D139)</f>
        <v>231</v>
      </c>
      <c r="E139" s="28" t="str">
        <f ca="1">IF(NOMENCLATURE_GEN!E139="","",NOMENCLATURE_GEN!E139)</f>
        <v>A</v>
      </c>
      <c r="F139" s="28" t="str">
        <f>IF(NOMENCLATURE_GEN!F139="","",NOMENCLATURE_GEN!F139)</f>
        <v>DIV</v>
      </c>
      <c r="G139" s="396" t="str">
        <f>IF(NOMENCLATURE_GEN!G139="","",NOMENCLATURE_GEN!G139)</f>
        <v>lot de pièces de premières urgences</v>
      </c>
      <c r="H139" s="29" t="str">
        <f>IF(NOMENCLATURE_GEN!H139="","",IF(NOMENCLATURE_GEN!F139="ACO",NOMENCLATURE_GEN!H139+160,NOMENCLATURE_GEN!H139))</f>
        <v/>
      </c>
      <c r="I139" s="29" t="str">
        <f>IF(NOMENCLATURE_GEN!I139="","",NOMENCLATURE_GEN!I139)</f>
        <v/>
      </c>
      <c r="J139" s="57" t="str">
        <f>IF(NOMENCLATURE_GEN!J139="","",NOMENCLATURE_GEN!J139)</f>
        <v/>
      </c>
      <c r="K139" s="12" t="str">
        <f>IFERROR(400/VLOOKUP(F139,données!$B$3:$D$30,3,FALSE),"")</f>
        <v/>
      </c>
      <c r="L139" s="13" t="str">
        <f>IFERROR(3/VLOOKUP(F139,données!$B$3:$D$30,3,FALSE),"")</f>
        <v/>
      </c>
      <c r="M139" s="13" t="str">
        <f>IF(L139="","",VLOOKUP(F139,données!$B$4:$I$30,8,FALSE))</f>
        <v/>
      </c>
      <c r="N139" s="22" t="str">
        <f t="shared" si="19"/>
        <v/>
      </c>
      <c r="O139" s="515" t="str">
        <f t="shared" si="11"/>
        <v/>
      </c>
      <c r="P139" s="22" t="str">
        <f t="shared" si="20"/>
        <v/>
      </c>
      <c r="Q139" s="326" t="str">
        <f>IF(K139="","",INT(((I139*2-VLOOKUP(F139,données!$B$4:$I$30,4,FALSE)+VLOOKUP(F139,données!$B$4:$I$30,5,FALSE)*NOMENCLATURE_GEN!O139+IF(OR(NOMENCLATURE_GEN!P139="",NOMENCLATURE_GEN!P139=0),0,2250)+NOMENCLATURE_GEN!Q139*2000)+0.3*H139+VLOOKUP(K139,données!$M$4:$Q$9,MATCH(L139,données!$M$3:$Q$3,0),FALSE)*(L139-1)+250)/1000)+1)</f>
        <v/>
      </c>
      <c r="R139" s="22" t="str">
        <f>IF(K139="","",IF(OR(F139=données!$B$12,F139=données!$B$13),"Bande à bords",IF(J139&gt;données!$P$11,"Bande à chevrons","Bande lisse")))</f>
        <v/>
      </c>
      <c r="S139" s="22" t="str">
        <f t="shared" si="21"/>
        <v/>
      </c>
      <c r="T139" s="407"/>
      <c r="U139" s="407"/>
      <c r="V139" s="21"/>
    </row>
    <row r="140" spans="1:24" s="8" customFormat="1" ht="39.950000000000003" hidden="1" customHeight="1" thickBot="1">
      <c r="A140" s="3"/>
      <c r="B140" s="292" t="str">
        <f>IF(NOMENCLATURE_GEN!B140="","",NOMENCLATURE_GEN!B140)</f>
        <v/>
      </c>
      <c r="C140" s="285" t="str">
        <f>IF(NOMENCLATURE_GEN!C140="","",NOMENCLATURE_GEN!C140)</f>
        <v/>
      </c>
      <c r="D140" s="293" t="str">
        <f>IF(NOMENCLATURE_GEN!D140="","",NOMENCLATURE_GEN!D140)</f>
        <v/>
      </c>
      <c r="E140" s="293" t="str">
        <f ca="1">IF(NOMENCLATURE_GEN!E140="","",NOMENCLATURE_GEN!E140)</f>
        <v>A</v>
      </c>
      <c r="F140" s="293" t="str">
        <f>IF(NOMENCLATURE_GEN!F140="","",NOMENCLATURE_GEN!F140)</f>
        <v/>
      </c>
      <c r="G140" s="294" t="str">
        <f>IF(NOMENCLATURE_GEN!G140="","",NOMENCLATURE_GEN!G140)</f>
        <v/>
      </c>
      <c r="H140" s="295" t="str">
        <f>IF(NOMENCLATURE_GEN!H140="","",IF(NOMENCLATURE_GEN!F140="ACO",NOMENCLATURE_GEN!H140+160,NOMENCLATURE_GEN!H140))</f>
        <v/>
      </c>
      <c r="I140" s="295" t="str">
        <f>IF(NOMENCLATURE_GEN!I140="","",NOMENCLATURE_GEN!I140)</f>
        <v/>
      </c>
      <c r="J140" s="296" t="str">
        <f>IF(NOMENCLATURE_GEN!J140="","",NOMENCLATURE_GEN!J140)</f>
        <v/>
      </c>
      <c r="K140" s="297" t="str">
        <f>IFERROR(400/VLOOKUP(F140,données!$B$3:$D$30,3,FALSE),"")</f>
        <v/>
      </c>
      <c r="L140" s="253" t="str">
        <f>IFERROR(3/VLOOKUP(F140,données!$B$3:$D$30,3,FALSE),"")</f>
        <v/>
      </c>
      <c r="M140" s="253" t="str">
        <f>IF(L140="","",VLOOKUP(F140,données!$B$4:$I$30,8,FALSE))</f>
        <v/>
      </c>
      <c r="N140" s="156" t="str">
        <f t="shared" ref="N140" si="22">IF(L140="","","CAOUTCHOUC")</f>
        <v/>
      </c>
      <c r="O140" s="516" t="str">
        <f t="shared" ref="O140" si="23">IF(L140="","","G2 Haute resistance aux huiles")</f>
        <v/>
      </c>
      <c r="P140" s="156" t="str">
        <f t="shared" ref="P140" si="24">IF(L140="","","Ouverte")</f>
        <v/>
      </c>
      <c r="Q140" s="327" t="str">
        <f>IF(K140="","",INT(((I140*2-VLOOKUP(F140,données!$B$4:$I$30,4,FALSE)+VLOOKUP(F140,données!$B$4:$I$30,5,FALSE)*NOMENCLATURE_GEN!O140+IF(OR(NOMENCLATURE_GEN!P140="",NOMENCLATURE_GEN!P140=0),0,2250)+NOMENCLATURE_GEN!Q140*2000)+0.3*H140+VLOOKUP(K140,données!$M$4:$Q$9,MATCH(L140,données!$M$3:$Q$3,0),FALSE)*(L140-1)+250)/1000)+1)</f>
        <v/>
      </c>
      <c r="R140" s="156" t="str">
        <f>IF(K140="","",IF(OR(F140=données!$B$12,F140=données!$B$13),"Bande à bords",IF(J140&gt;données!$P$11,"Bande à chevrons","Bande lisse")))</f>
        <v/>
      </c>
      <c r="S140" s="156" t="str">
        <f t="shared" ref="S140" si="25">IFERROR(_xlfn.IFS(R140="Bande à bords",CONCATENATE("EAB",H140*100+350),R140="Bande à tasseaux",IF(H140&lt;1000,CONCATENATE("TBE0",H140,"048"),CONCATENATE("TBE",H140,"048"))),"")</f>
        <v/>
      </c>
      <c r="T140" s="408"/>
      <c r="U140" s="408"/>
      <c r="V140" s="157"/>
    </row>
    <row r="141" spans="1:24" s="49" customFormat="1" ht="15" customHeight="1" thickBot="1">
      <c r="B141" s="8"/>
      <c r="C141" s="8"/>
      <c r="D141" s="8"/>
      <c r="E141" s="8"/>
      <c r="F141" s="8"/>
      <c r="G141" s="8"/>
      <c r="H141" s="152"/>
      <c r="I141" s="152"/>
      <c r="J141" s="152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</row>
    <row r="142" spans="1:24" s="49" customFormat="1" ht="30" customHeight="1" thickBot="1">
      <c r="B142" s="266" t="s">
        <v>311</v>
      </c>
      <c r="C142" s="267" t="s">
        <v>100</v>
      </c>
      <c r="D142" s="267" t="s">
        <v>312</v>
      </c>
      <c r="E142" s="695" t="s">
        <v>313</v>
      </c>
      <c r="F142" s="695"/>
      <c r="G142" s="695"/>
      <c r="H142" s="695"/>
      <c r="I142" s="695"/>
      <c r="J142" s="695"/>
      <c r="K142" s="430" t="s">
        <v>365</v>
      </c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</row>
    <row r="143" spans="1:24" s="49" customFormat="1" ht="30" customHeight="1">
      <c r="B143" s="268" t="s">
        <v>537</v>
      </c>
      <c r="C143" s="269" t="s">
        <v>10</v>
      </c>
      <c r="D143" s="433">
        <v>45391</v>
      </c>
      <c r="E143" s="694" t="s">
        <v>314</v>
      </c>
      <c r="F143" s="694"/>
      <c r="G143" s="694"/>
      <c r="H143" s="694"/>
      <c r="I143" s="694"/>
      <c r="J143" s="694"/>
      <c r="K143" s="434">
        <v>45391</v>
      </c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</row>
    <row r="144" spans="1:24" s="49" customFormat="1" ht="30" customHeight="1">
      <c r="B144" s="9" t="s">
        <v>537</v>
      </c>
      <c r="C144" s="10" t="s">
        <v>501</v>
      </c>
      <c r="D144" s="422">
        <v>45393</v>
      </c>
      <c r="E144" s="692" t="s">
        <v>543</v>
      </c>
      <c r="F144" s="692"/>
      <c r="G144" s="692"/>
      <c r="H144" s="692"/>
      <c r="I144" s="692"/>
      <c r="J144" s="692"/>
      <c r="K144" s="439">
        <v>45393</v>
      </c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</row>
    <row r="145" spans="2:24" s="49" customFormat="1" ht="30" customHeight="1">
      <c r="B145" s="9" t="s">
        <v>537</v>
      </c>
      <c r="C145" s="10" t="s">
        <v>556</v>
      </c>
      <c r="D145" s="422">
        <v>45440</v>
      </c>
      <c r="E145" s="692" t="s">
        <v>749</v>
      </c>
      <c r="F145" s="692"/>
      <c r="G145" s="692"/>
      <c r="H145" s="692"/>
      <c r="I145" s="692"/>
      <c r="J145" s="692"/>
      <c r="K145" s="439">
        <v>45442</v>
      </c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</row>
    <row r="146" spans="2:24" s="49" customFormat="1" ht="30" customHeight="1">
      <c r="B146" s="9"/>
      <c r="C146" s="10"/>
      <c r="D146" s="422"/>
      <c r="E146" s="692"/>
      <c r="F146" s="692"/>
      <c r="G146" s="692"/>
      <c r="H146" s="692"/>
      <c r="I146" s="692"/>
      <c r="J146" s="692"/>
      <c r="K146" s="1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</row>
    <row r="147" spans="2:24" s="49" customFormat="1" ht="30" customHeight="1">
      <c r="B147" s="9"/>
      <c r="C147" s="10"/>
      <c r="D147" s="10"/>
      <c r="E147" s="692"/>
      <c r="F147" s="692"/>
      <c r="G147" s="692"/>
      <c r="H147" s="692"/>
      <c r="I147" s="692"/>
      <c r="J147" s="692"/>
      <c r="K147" s="1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</row>
    <row r="148" spans="2:24" s="49" customFormat="1" ht="30" customHeight="1">
      <c r="B148" s="9"/>
      <c r="C148" s="10"/>
      <c r="D148" s="10"/>
      <c r="E148" s="692"/>
      <c r="F148" s="692"/>
      <c r="G148" s="692"/>
      <c r="H148" s="692"/>
      <c r="I148" s="692"/>
      <c r="J148" s="692"/>
      <c r="K148" s="1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</row>
    <row r="149" spans="2:24" s="49" customFormat="1" ht="30" customHeight="1">
      <c r="B149" s="9"/>
      <c r="C149" s="10"/>
      <c r="D149" s="10"/>
      <c r="E149" s="692"/>
      <c r="F149" s="692"/>
      <c r="G149" s="692"/>
      <c r="H149" s="692"/>
      <c r="I149" s="692"/>
      <c r="J149" s="692"/>
      <c r="K149" s="1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</row>
    <row r="150" spans="2:24" s="49" customFormat="1" ht="30" customHeight="1">
      <c r="B150" s="9"/>
      <c r="C150" s="10"/>
      <c r="D150" s="10"/>
      <c r="E150" s="692"/>
      <c r="F150" s="692"/>
      <c r="G150" s="692"/>
      <c r="H150" s="692"/>
      <c r="I150" s="692"/>
      <c r="J150" s="692"/>
      <c r="K150" s="1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</row>
    <row r="151" spans="2:24" s="49" customFormat="1" ht="30" customHeight="1">
      <c r="B151" s="9"/>
      <c r="C151" s="10"/>
      <c r="D151" s="10"/>
      <c r="E151" s="692"/>
      <c r="F151" s="692"/>
      <c r="G151" s="692"/>
      <c r="H151" s="692"/>
      <c r="I151" s="692"/>
      <c r="J151" s="692"/>
      <c r="K151" s="1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</row>
    <row r="152" spans="2:24" s="49" customFormat="1" ht="30" customHeight="1" thickBot="1">
      <c r="B152" s="270"/>
      <c r="C152" s="271"/>
      <c r="D152" s="271"/>
      <c r="E152" s="693"/>
      <c r="F152" s="693"/>
      <c r="G152" s="693"/>
      <c r="H152" s="693"/>
      <c r="I152" s="693"/>
      <c r="J152" s="693"/>
      <c r="K152" s="43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</row>
  </sheetData>
  <sheetProtection algorithmName="SHA-512" hashValue="V/BXRfE+jJzBIAUamTW3ELg4D46UN6bNm9BqS2H2sEjyJfJSCH85UOCv4lnIVxCiORtwfviRuePTkab4xScK6Q==" saltValue="iiMhC/Cs5DPEAtV68YOOpw==" spinCount="100000" sheet="1" objects="1" scenarios="1" formatCells="0" formatColumns="0" formatRows="0" insertHyperlinks="0" autoFilter="0" pivotTables="0"/>
  <autoFilter ref="B7:V140" xr:uid="{00000000-0009-0000-0000-000005000000}">
    <filterColumn colId="4">
      <filters>
        <filter val="CBA"/>
      </filters>
    </filterColumn>
    <filterColumn colId="15">
      <customFilters>
        <customFilter operator="notEqual" val=" "/>
      </customFilters>
    </filterColumn>
  </autoFilter>
  <mergeCells count="21">
    <mergeCell ref="E150:J150"/>
    <mergeCell ref="E151:J151"/>
    <mergeCell ref="E152:J152"/>
    <mergeCell ref="E145:J145"/>
    <mergeCell ref="E146:J146"/>
    <mergeCell ref="E147:J147"/>
    <mergeCell ref="E148:J148"/>
    <mergeCell ref="E149:J149"/>
    <mergeCell ref="E143:J143"/>
    <mergeCell ref="E144:J144"/>
    <mergeCell ref="K6:V6"/>
    <mergeCell ref="O2:AD2"/>
    <mergeCell ref="J4:J5"/>
    <mergeCell ref="K2:M4"/>
    <mergeCell ref="D2:E2"/>
    <mergeCell ref="D3:E3"/>
    <mergeCell ref="B4:E4"/>
    <mergeCell ref="B5:E5"/>
    <mergeCell ref="E142:J142"/>
    <mergeCell ref="B2:C2"/>
    <mergeCell ref="B3:C3"/>
  </mergeCells>
  <conditionalFormatting sqref="K2:M4">
    <cfRule type="cellIs" dxfId="21" priority="1" operator="notEqual">
      <formula>""</formula>
    </cfRule>
  </conditionalFormatting>
  <dataValidations disablePrompts="1" count="2">
    <dataValidation allowBlank="1" showInputMessage="1" sqref="J141 J1:J4 J153:J1048576 J6:J7" xr:uid="{00000000-0002-0000-0500-000000000000}"/>
    <dataValidation allowBlank="1" showInputMessage="1" showErrorMessage="1" promptTitle="Sélectionnez" prompt="le nombre de plis" sqref="L2123:M1048576" xr:uid="{00000000-0002-0000-0500-000001000000}"/>
  </dataValidations>
  <printOptions horizontalCentered="1"/>
  <pageMargins left="0.25" right="0.25" top="0.75" bottom="0.75" header="0.3" footer="0.3"/>
  <pageSetup paperSize="8" scale="37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 filterMode="1">
    <tabColor rgb="FF92D050"/>
    <pageSetUpPr fitToPage="1"/>
  </sheetPr>
  <dimension ref="A1:AF373"/>
  <sheetViews>
    <sheetView showGridLines="0" view="pageBreakPreview" zoomScale="85" zoomScaleNormal="70" zoomScaleSheetLayoutView="85" workbookViewId="0">
      <pane xSplit="6" ySplit="7" topLeftCell="G10" activePane="bottomRight" state="frozen"/>
      <selection pane="topRight" activeCell="G1" sqref="G1"/>
      <selection pane="bottomLeft" activeCell="A8" sqref="A8"/>
      <selection pane="bottomRight" activeCell="I17" sqref="I17"/>
    </sheetView>
  </sheetViews>
  <sheetFormatPr baseColWidth="10" defaultColWidth="11.42578125" defaultRowHeight="14.25"/>
  <cols>
    <col min="1" max="1" width="3.5703125" style="1" customWidth="1"/>
    <col min="2" max="2" width="12.5703125" style="1" customWidth="1"/>
    <col min="3" max="4" width="14.28515625" style="1" customWidth="1"/>
    <col min="5" max="5" width="7.140625" style="1" customWidth="1"/>
    <col min="6" max="6" width="13.5703125" style="1" customWidth="1"/>
    <col min="7" max="7" width="75.140625" style="5" bestFit="1" customWidth="1"/>
    <col min="8" max="8" width="23.42578125" style="2" bestFit="1" customWidth="1"/>
    <col min="9" max="9" width="25.5703125" style="2" customWidth="1"/>
    <col min="10" max="10" width="19.85546875" style="2" customWidth="1"/>
    <col min="11" max="11" width="17" style="6" customWidth="1"/>
    <col min="12" max="12" width="23.85546875" style="6" customWidth="1"/>
    <col min="13" max="13" width="17" style="6" customWidth="1"/>
    <col min="14" max="14" width="23.85546875" style="6" customWidth="1"/>
    <col min="15" max="15" width="17" style="6" customWidth="1"/>
    <col min="16" max="17" width="23.85546875" style="6" customWidth="1"/>
    <col min="18" max="19" width="17.7109375" style="6" customWidth="1"/>
    <col min="20" max="20" width="16.7109375" style="6" customWidth="1"/>
    <col min="21" max="21" width="14.7109375" style="6" customWidth="1"/>
    <col min="22" max="22" width="18.140625" style="6" customWidth="1"/>
    <col min="23" max="23" width="16.85546875" style="6" customWidth="1"/>
    <col min="24" max="24" width="17.7109375" style="6" customWidth="1"/>
    <col min="25" max="16384" width="11.42578125" style="6"/>
  </cols>
  <sheetData>
    <row r="1" spans="1:24" s="49" customFormat="1" ht="18.75" customHeight="1" thickBot="1">
      <c r="H1" s="51"/>
      <c r="I1" s="51"/>
      <c r="J1" s="51"/>
      <c r="M1" s="51"/>
      <c r="N1" s="51"/>
      <c r="O1" s="51"/>
      <c r="P1" s="51"/>
      <c r="Q1" s="51"/>
    </row>
    <row r="2" spans="1:24" s="49" customFormat="1" ht="19.5" customHeight="1" thickBot="1">
      <c r="B2" s="696" t="s">
        <v>0</v>
      </c>
      <c r="C2" s="697"/>
      <c r="D2" s="696" t="s">
        <v>100</v>
      </c>
      <c r="E2" s="697"/>
      <c r="H2" s="51" t="s">
        <v>23</v>
      </c>
      <c r="I2" s="51"/>
      <c r="J2" s="51"/>
      <c r="M2" s="51"/>
      <c r="N2" s="51"/>
      <c r="O2" s="711"/>
      <c r="P2" s="711"/>
      <c r="Q2" s="539"/>
    </row>
    <row r="3" spans="1:24" s="49" customFormat="1" ht="30" customHeight="1" thickBot="1">
      <c r="B3" s="706">
        <f>NOMENCLATURE_GEN!B3</f>
        <v>224102</v>
      </c>
      <c r="C3" s="664"/>
      <c r="D3" s="706" t="str">
        <f>LOOKUP(2,1/(C:C&lt;&gt;""),C:C)</f>
        <v>B</v>
      </c>
      <c r="E3" s="664"/>
      <c r="H3" s="52" t="s">
        <v>13</v>
      </c>
      <c r="I3" s="51"/>
      <c r="J3" s="51"/>
      <c r="K3" s="712"/>
      <c r="L3" s="712"/>
      <c r="M3" s="712"/>
      <c r="N3" s="712"/>
      <c r="O3" s="712"/>
      <c r="P3" s="712"/>
    </row>
    <row r="4" spans="1:24" s="49" customFormat="1" ht="19.5" customHeight="1" thickBot="1">
      <c r="B4" s="696" t="s">
        <v>159</v>
      </c>
      <c r="C4" s="705"/>
      <c r="D4" s="705"/>
      <c r="E4" s="697"/>
      <c r="H4" s="51"/>
      <c r="I4" s="51"/>
      <c r="J4" s="703"/>
    </row>
    <row r="5" spans="1:24" s="49" customFormat="1" ht="25.15" customHeight="1" thickBot="1">
      <c r="B5" s="706" t="str">
        <f>NOMENCLATURE_GEN!B5</f>
        <v>PAPREC - CHAGNY</v>
      </c>
      <c r="C5" s="663"/>
      <c r="D5" s="663"/>
      <c r="E5" s="664"/>
      <c r="H5" s="51"/>
      <c r="I5" s="51"/>
      <c r="J5" s="703"/>
    </row>
    <row r="6" spans="1:24" ht="32.25" customHeight="1" thickBot="1">
      <c r="K6" s="744" t="s">
        <v>283</v>
      </c>
      <c r="L6" s="745"/>
      <c r="M6" s="745"/>
      <c r="N6" s="745"/>
      <c r="O6" s="745"/>
      <c r="P6" s="745"/>
      <c r="Q6" s="745"/>
      <c r="R6" s="745"/>
      <c r="S6" s="745"/>
      <c r="T6" s="745"/>
      <c r="U6" s="746"/>
      <c r="V6" s="732" t="s">
        <v>735</v>
      </c>
      <c r="W6" s="733"/>
      <c r="X6" s="734"/>
    </row>
    <row r="7" spans="1:24" ht="53.25" customHeight="1" thickBot="1">
      <c r="B7" s="249" t="str">
        <f>NOMENCLATURE_GEN!B7</f>
        <v>NVX /
SUP /
MOD /</v>
      </c>
      <c r="C7" s="245" t="str">
        <f>NOMENCLATURE_GEN!C7</f>
        <v>REPERE CLIENT</v>
      </c>
      <c r="D7" s="246" t="str">
        <f>NOMENCLATURE_GEN!D7</f>
        <v>REPERE VAUCHE</v>
      </c>
      <c r="E7" s="173" t="s">
        <v>353</v>
      </c>
      <c r="F7" s="246" t="str">
        <f>NOMENCLATURE_GEN!F7</f>
        <v xml:space="preserve">TYPE </v>
      </c>
      <c r="G7" s="246" t="str">
        <f>NOMENCLATURE_GEN!G7</f>
        <v>DESIGNATION</v>
      </c>
      <c r="H7" s="246" t="str">
        <f>NOMENCLATURE_GEN!H7</f>
        <v>LARGEUR 
DE BANDE (mm)</v>
      </c>
      <c r="I7" s="246" t="str">
        <f>NOMENCLATURE_GEN!I7</f>
        <v>LONGEUR HORS TOUT (mm)</v>
      </c>
      <c r="J7" s="250" t="str">
        <f>NOMENCLATURE_GEN!J7</f>
        <v>INCLINAISON (°)</v>
      </c>
      <c r="K7" s="540" t="s">
        <v>731</v>
      </c>
      <c r="L7" s="625" t="s">
        <v>732</v>
      </c>
      <c r="M7" s="541" t="s">
        <v>285</v>
      </c>
      <c r="N7" s="540" t="s">
        <v>733</v>
      </c>
      <c r="O7" s="625" t="s">
        <v>734</v>
      </c>
      <c r="P7" s="542" t="s">
        <v>286</v>
      </c>
      <c r="Q7" s="543" t="s">
        <v>736</v>
      </c>
      <c r="R7" s="625" t="s">
        <v>737</v>
      </c>
      <c r="S7" s="541" t="s">
        <v>287</v>
      </c>
      <c r="T7" s="540" t="s">
        <v>559</v>
      </c>
      <c r="U7" s="541" t="s">
        <v>541</v>
      </c>
      <c r="V7" s="172" t="s">
        <v>560</v>
      </c>
      <c r="W7" s="173" t="s">
        <v>561</v>
      </c>
      <c r="X7" s="174" t="s">
        <v>562</v>
      </c>
    </row>
    <row r="8" spans="1:24" s="8" customFormat="1" ht="39.950000000000003" hidden="1" customHeight="1">
      <c r="A8" s="3"/>
      <c r="B8" s="288" t="str">
        <f>IF(NOMENCLATURE_GEN!B8="","",NOMENCLATURE_GEN!B8)</f>
        <v/>
      </c>
      <c r="C8" s="127" t="str">
        <f>IF(NOMENCLATURE_GEN!C8="","",NOMENCLATURE_GEN!C8)</f>
        <v/>
      </c>
      <c r="D8" s="127">
        <f>IF(NOMENCLATURE_GEN!D8="","",NOMENCLATURE_GEN!D8)</f>
        <v>101</v>
      </c>
      <c r="E8" s="127" t="str">
        <f ca="1">IF(NOMENCLATURE_GEN!E8="","",NOMENCLATURE_GEN!E8)</f>
        <v>A</v>
      </c>
      <c r="F8" s="127" t="str">
        <f>IF(NOMENCLATURE_GEN!F8="","",NOMENCLATURE_GEN!F8)</f>
        <v>EAB</v>
      </c>
      <c r="G8" s="309" t="str">
        <f>IF(NOMENCLATURE_GEN!G8="","",NOMENCLATURE_GEN!G8)</f>
        <v>Convoyeur à bande et chaines de reprise des BRS</v>
      </c>
      <c r="H8" s="127">
        <f>IF(NOMENCLATURE_GEN!H8="","",NOMENCLATURE_GEN!H8)</f>
        <v>1600</v>
      </c>
      <c r="I8" s="127">
        <f>IF(NOMENCLATURE_GEN!I8="","",NOMENCLATURE_GEN!I8)</f>
        <v>33400</v>
      </c>
      <c r="J8" s="127">
        <f>IF(NOMENCLATURE_GEN!J8="","",NOMENCLATURE_GEN!J8)</f>
        <v>35</v>
      </c>
      <c r="K8" s="282"/>
      <c r="L8" s="626"/>
      <c r="M8" s="289" t="str">
        <f>IFERROR(VLOOKUP(H8,données!$AC$4:$AL$15,MATCH(F8,données!$AC$2:$AL$2,0),FALSE),"inexistant")</f>
        <v>inexistant</v>
      </c>
      <c r="N8" s="282"/>
      <c r="O8" s="626"/>
      <c r="P8" s="290" t="str">
        <f>IFERROR(VLOOKUP(H8,données!$AC$17:$AL$28,MATCH(F8,données!$AC$2:$AL$2,0),FALSE),"inexistant")</f>
        <v>inexistant</v>
      </c>
      <c r="Q8" s="291"/>
      <c r="R8" s="626"/>
      <c r="S8" s="289" t="str">
        <f>IFERROR(VLOOKUP(H8,données!$AC$30:$AL$41,MATCH(F8,données!$AC$2:$AL$2,0),FALSE),"inexistant")</f>
        <v>inexistant</v>
      </c>
      <c r="T8" s="634" t="str">
        <f>NOMENCLATURE_GEN!AB8</f>
        <v>TOUT</v>
      </c>
      <c r="U8" s="544"/>
      <c r="V8" s="268"/>
      <c r="W8" s="269"/>
      <c r="X8" s="275"/>
    </row>
    <row r="9" spans="1:24" s="8" customFormat="1" ht="39.950000000000003" hidden="1" customHeight="1">
      <c r="A9" s="3"/>
      <c r="B9" s="25" t="str">
        <f>IF(NOMENCLATURE_GEN!B9="","",NOMENCLATURE_GEN!B9)</f>
        <v/>
      </c>
      <c r="C9" s="243" t="str">
        <f>IF(NOMENCLATURE_GEN!C9="","",NOMENCLATURE_GEN!C9)</f>
        <v/>
      </c>
      <c r="D9" s="4">
        <f>IF(NOMENCLATURE_GEN!D9="","",NOMENCLATURE_GEN!D9)</f>
        <v>101</v>
      </c>
      <c r="E9" s="4" t="str">
        <f ca="1">IF(NOMENCLATURE_GEN!E9="","",NOMENCLATURE_GEN!E9)</f>
        <v>B</v>
      </c>
      <c r="F9" s="4" t="str">
        <f>IF(NOMENCLATURE_GEN!F9="","",NOMENCLATURE_GEN!F9)</f>
        <v>GRA</v>
      </c>
      <c r="G9" s="310" t="str">
        <f>IF(NOMENCLATURE_GEN!G9="","",NOMENCLATURE_GEN!G9)</f>
        <v>Convoyeur à bande et chaines - Centrale de graissage</v>
      </c>
      <c r="H9" s="4" t="str">
        <f>IF(NOMENCLATURE_GEN!H9="","",NOMENCLATURE_GEN!H9)</f>
        <v/>
      </c>
      <c r="I9" s="4" t="str">
        <f>IF(NOMENCLATURE_GEN!I9="","",NOMENCLATURE_GEN!I9)</f>
        <v/>
      </c>
      <c r="J9" s="4" t="str">
        <f>IF(NOMENCLATURE_GEN!J9="","",NOMENCLATURE_GEN!J9)</f>
        <v/>
      </c>
      <c r="K9" s="12"/>
      <c r="L9" s="627"/>
      <c r="M9" s="109" t="str">
        <f>IFERROR(VLOOKUP(H9,données!$AC$4:$AL$15,MATCH(F9,données!$AC$2:$AL$2,0),FALSE),"inexistant")</f>
        <v>inexistant</v>
      </c>
      <c r="N9" s="12"/>
      <c r="O9" s="627"/>
      <c r="P9" s="83" t="str">
        <f>IFERROR(VLOOKUP(H9,données!$AC$17:$AL$28,MATCH(F9,données!$AC$2:$AL$2,0),FALSE),"inexistant")</f>
        <v>inexistant</v>
      </c>
      <c r="Q9" s="110"/>
      <c r="R9" s="627"/>
      <c r="S9" s="109" t="str">
        <f>IFERROR(VLOOKUP(H9,données!$AC$30:$AL$41,MATCH(F9,données!$AC$2:$AL$2,0),FALSE),"inexistant")</f>
        <v>inexistant</v>
      </c>
      <c r="T9" s="635" t="str">
        <f>NOMENCLATURE_GEN!AB9</f>
        <v>TOUT</v>
      </c>
      <c r="U9" s="545"/>
      <c r="V9" s="9"/>
      <c r="W9" s="10"/>
      <c r="X9" s="11"/>
    </row>
    <row r="10" spans="1:24" s="8" customFormat="1" ht="39.950000000000003" customHeight="1">
      <c r="A10" s="3"/>
      <c r="B10" s="25" t="str">
        <f>IF(NOMENCLATURE_GEN!B10="","",NOMENCLATURE_GEN!B10)</f>
        <v/>
      </c>
      <c r="C10" s="243" t="str">
        <f>IF(NOMENCLATURE_GEN!C10="","",NOMENCLATURE_GEN!C10)</f>
        <v/>
      </c>
      <c r="D10" s="4">
        <f>IF(NOMENCLATURE_GEN!D10="","",NOMENCLATURE_GEN!D10)</f>
        <v>102</v>
      </c>
      <c r="E10" s="4" t="str">
        <f ca="1">IF(NOMENCLATURE_GEN!E10="","",NOMENCLATURE_GEN!E10)</f>
        <v>A</v>
      </c>
      <c r="F10" s="4" t="str">
        <f>IF(NOMENCLATURE_GEN!F10="","",NOMENCLATURE_GEN!F10)</f>
        <v>CBA</v>
      </c>
      <c r="G10" s="310" t="str">
        <f>IF(NOMENCLATURE_GEN!G10="","",NOMENCLATURE_GEN!G10)</f>
        <v>Convoyeur d'alimentation du trommel</v>
      </c>
      <c r="H10" s="4">
        <f>IF(NOMENCLATURE_GEN!H10="","",NOMENCLATURE_GEN!H10)</f>
        <v>1400</v>
      </c>
      <c r="I10" s="4">
        <f>IF(NOMENCLATURE_GEN!I10="","",NOMENCLATURE_GEN!I10)</f>
        <v>7000</v>
      </c>
      <c r="J10" s="4">
        <f>IF(NOMENCLATURE_GEN!J10="","",NOMENCLATURE_GEN!J10)</f>
        <v>17</v>
      </c>
      <c r="K10" s="12">
        <f>V10+W10-X10</f>
        <v>5</v>
      </c>
      <c r="L10" s="627">
        <v>3</v>
      </c>
      <c r="M10" s="109" t="str">
        <f>IFERROR(VLOOKUP(H10,données!$AC$4:$AL$15,MATCH(F10,données!$AC$2:$AL$2,0),FALSE),"inexistant")</f>
        <v>CBA1400020</v>
      </c>
      <c r="N10" s="12">
        <v>4</v>
      </c>
      <c r="O10" s="627">
        <v>3</v>
      </c>
      <c r="P10" s="83" t="str">
        <f>IFERROR(VLOOKUP(H10,données!$AC$17:$AL$28,MATCH(F10,données!$AC$2:$AL$2,0),FALSE),"inexistant")</f>
        <v>CBA1400008</v>
      </c>
      <c r="Q10" s="110">
        <f>2*K10</f>
        <v>10</v>
      </c>
      <c r="R10" s="627">
        <f>2*L10</f>
        <v>6</v>
      </c>
      <c r="S10" s="109" t="str">
        <f>IFERROR(VLOOKUP(H10,données!$AC$30:$AL$41,MATCH(F10,données!$AC$2:$AL$2,0),FALSE),"inexistant")</f>
        <v>CBA0000175</v>
      </c>
      <c r="T10" s="636" t="str">
        <f>NOMENCLATURE_GEN!AB10</f>
        <v>TOUT</v>
      </c>
      <c r="U10" s="546">
        <v>2000</v>
      </c>
      <c r="V10" s="9">
        <f>ROUNDUP(I10/1000,0)</f>
        <v>7</v>
      </c>
      <c r="W10" s="10"/>
      <c r="X10" s="11">
        <v>2</v>
      </c>
    </row>
    <row r="11" spans="1:24" s="8" customFormat="1" ht="39.950000000000003" hidden="1" customHeight="1">
      <c r="A11" s="3"/>
      <c r="B11" s="25" t="str">
        <f>IF(NOMENCLATURE_GEN!B11="","",NOMENCLATURE_GEN!B11)</f>
        <v/>
      </c>
      <c r="C11" s="243" t="str">
        <f>IF(NOMENCLATURE_GEN!C11="","",NOMENCLATURE_GEN!C11)</f>
        <v/>
      </c>
      <c r="D11" s="4">
        <f>IF(NOMENCLATURE_GEN!D11="","",NOMENCLATURE_GEN!D11)</f>
        <v>103</v>
      </c>
      <c r="E11" s="4" t="str">
        <f ca="1">IF(NOMENCLATURE_GEN!E11="","",NOMENCLATURE_GEN!E11)</f>
        <v>A</v>
      </c>
      <c r="F11" s="4" t="str">
        <f>IF(NOMENCLATURE_GEN!F11="","",NOMENCLATURE_GEN!F11)</f>
        <v>TRO</v>
      </c>
      <c r="G11" s="310" t="str">
        <f>IF(NOMENCLATURE_GEN!G11="","",NOMENCLATURE_GEN!G11)</f>
        <v>Trommel cribleur, maille Ø150/180mm avec peignes</v>
      </c>
      <c r="H11" s="4">
        <f>IF(NOMENCLATURE_GEN!H11="","",NOMENCLATURE_GEN!H11)</f>
        <v>2500</v>
      </c>
      <c r="I11" s="4">
        <f>IF(NOMENCLATURE_GEN!I11="","",NOMENCLATURE_GEN!I11)</f>
        <v>6000</v>
      </c>
      <c r="J11" s="4">
        <f>IF(NOMENCLATURE_GEN!J11="","",NOMENCLATURE_GEN!J11)</f>
        <v>3</v>
      </c>
      <c r="K11" s="12"/>
      <c r="L11" s="627"/>
      <c r="M11" s="109" t="str">
        <f>IFERROR(VLOOKUP(H11,données!$AC$4:$AL$15,MATCH(F11,données!$AC$2:$AL$2,0),FALSE),"inexistant")</f>
        <v>inexistant</v>
      </c>
      <c r="N11" s="12"/>
      <c r="O11" s="627"/>
      <c r="P11" s="83" t="str">
        <f>IFERROR(VLOOKUP(H11,données!$AC$17:$AL$28,MATCH(F11,données!$AC$2:$AL$2,0),FALSE),"inexistant")</f>
        <v>inexistant</v>
      </c>
      <c r="Q11" s="110"/>
      <c r="R11" s="627"/>
      <c r="S11" s="109" t="str">
        <f>IFERROR(VLOOKUP(H11,données!$AC$30:$AL$41,MATCH(F11,données!$AC$2:$AL$2,0),FALSE),"inexistant")</f>
        <v>inexistant</v>
      </c>
      <c r="T11" s="635" t="str">
        <f>NOMENCLATURE_GEN!AB11</f>
        <v>TOUT</v>
      </c>
      <c r="U11" s="545"/>
      <c r="V11" s="9"/>
      <c r="W11" s="10"/>
      <c r="X11" s="11"/>
    </row>
    <row r="12" spans="1:24" s="8" customFormat="1" ht="39.950000000000003" customHeight="1">
      <c r="A12" s="3"/>
      <c r="B12" s="25" t="str">
        <f>IF(NOMENCLATURE_GEN!B12="","",NOMENCLATURE_GEN!B12)</f>
        <v/>
      </c>
      <c r="C12" s="243" t="str">
        <f>IF(NOMENCLATURE_GEN!C12="","",NOMENCLATURE_GEN!C12)</f>
        <v/>
      </c>
      <c r="D12" s="4">
        <f>IF(NOMENCLATURE_GEN!D12="","",NOMENCLATURE_GEN!D12)</f>
        <v>104</v>
      </c>
      <c r="E12" s="4" t="str">
        <f ca="1">IF(NOMENCLATURE_GEN!E12="","",NOMENCLATURE_GEN!E12)</f>
        <v>A</v>
      </c>
      <c r="F12" s="4" t="str">
        <f>IF(NOMENCLATURE_GEN!F12="","",NOMENCLATURE_GEN!F12)</f>
        <v>CBA</v>
      </c>
      <c r="G12" s="310" t="str">
        <f>IF(NOMENCLATURE_GEN!G12="","",NOMENCLATURE_GEN!G12)</f>
        <v>Convoyeur de reprise de la fraction &gt; 180mm, tête inox</v>
      </c>
      <c r="H12" s="4">
        <f>IF(NOMENCLATURE_GEN!H12="","",NOMENCLATURE_GEN!H12)</f>
        <v>1400</v>
      </c>
      <c r="I12" s="4">
        <f>IF(NOMENCLATURE_GEN!I12="","",NOMENCLATURE_GEN!I12)</f>
        <v>7000</v>
      </c>
      <c r="J12" s="4">
        <f>IF(NOMENCLATURE_GEN!J12="","",NOMENCLATURE_GEN!J12)</f>
        <v>0</v>
      </c>
      <c r="K12" s="12">
        <f>V12+W12-X12</f>
        <v>5</v>
      </c>
      <c r="L12" s="627">
        <v>1</v>
      </c>
      <c r="M12" s="109" t="str">
        <f>IFERROR(VLOOKUP(H12,données!$AC$4:$AL$15,MATCH(F12,données!$AC$2:$AL$2,0),FALSE),"inexistant")</f>
        <v>CBA1400020</v>
      </c>
      <c r="N12" s="12">
        <v>4</v>
      </c>
      <c r="O12" s="627">
        <v>3</v>
      </c>
      <c r="P12" s="83" t="str">
        <f>IFERROR(VLOOKUP(H12,données!$AC$17:$AL$28,MATCH(F12,données!$AC$2:$AL$2,0),FALSE),"inexistant")</f>
        <v>CBA1400008</v>
      </c>
      <c r="Q12" s="110">
        <f>2*K12</f>
        <v>10</v>
      </c>
      <c r="R12" s="627">
        <f>2*L12</f>
        <v>2</v>
      </c>
      <c r="S12" s="109" t="str">
        <f>IFERROR(VLOOKUP(H12,données!$AC$30:$AL$41,MATCH(F12,données!$AC$2:$AL$2,0),FALSE),"inexistant")</f>
        <v>CBA0000175</v>
      </c>
      <c r="T12" s="636" t="str">
        <f>NOMENCLATURE_GEN!AB12</f>
        <v>&gt;180</v>
      </c>
      <c r="U12" s="546">
        <v>2000</v>
      </c>
      <c r="V12" s="9">
        <f>ROUNDUP(I12/1000,0)</f>
        <v>7</v>
      </c>
      <c r="W12" s="10"/>
      <c r="X12" s="11">
        <v>2</v>
      </c>
    </row>
    <row r="13" spans="1:24" s="8" customFormat="1" ht="39.950000000000003" hidden="1" customHeight="1">
      <c r="A13" s="3"/>
      <c r="B13" s="25" t="str">
        <f>IF(NOMENCLATURE_GEN!B13="","",NOMENCLATURE_GEN!B13)</f>
        <v/>
      </c>
      <c r="C13" s="243" t="str">
        <f>IF(NOMENCLATURE_GEN!C13="","",NOMENCLATURE_GEN!C13)</f>
        <v/>
      </c>
      <c r="D13" s="4">
        <f>IF(NOMENCLATURE_GEN!D13="","",NOMENCLATURE_GEN!D13)</f>
        <v>105</v>
      </c>
      <c r="E13" s="4" t="str">
        <f ca="1">IF(NOMENCLATURE_GEN!E13="","",NOMENCLATURE_GEN!E13)</f>
        <v>A</v>
      </c>
      <c r="F13" s="4" t="str">
        <f>IF(NOMENCLATURE_GEN!F13="","",NOMENCLATURE_GEN!F13)</f>
        <v>OVB</v>
      </c>
      <c r="G13" s="310" t="str">
        <f>IF(NOMENCLATURE_GEN!G13="","",NOMENCLATURE_GEN!G13)</f>
        <v>Séparateur magnétique à aimant permament</v>
      </c>
      <c r="H13" s="4">
        <f>IF(NOMENCLATURE_GEN!H13="","",NOMENCLATURE_GEN!H13)</f>
        <v>1200</v>
      </c>
      <c r="I13" s="4">
        <f>IF(NOMENCLATURE_GEN!I13="","",NOMENCLATURE_GEN!I13)</f>
        <v>1200</v>
      </c>
      <c r="J13" s="4" t="str">
        <f>IF(NOMENCLATURE_GEN!J13="","",NOMENCLATURE_GEN!J13)</f>
        <v/>
      </c>
      <c r="K13" s="12"/>
      <c r="L13" s="627"/>
      <c r="M13" s="109" t="str">
        <f>IFERROR(VLOOKUP(H13,données!$AC$4:$AL$15,MATCH(F13,données!$AC$2:$AL$2,0),FALSE),"inexistant")</f>
        <v>inexistant</v>
      </c>
      <c r="N13" s="12"/>
      <c r="O13" s="627"/>
      <c r="P13" s="83" t="str">
        <f>IFERROR(VLOOKUP(H13,données!$AC$17:$AL$28,MATCH(F13,données!$AC$2:$AL$2,0),FALSE),"inexistant")</f>
        <v>inexistant</v>
      </c>
      <c r="Q13" s="110"/>
      <c r="R13" s="627"/>
      <c r="S13" s="109" t="str">
        <f>IFERROR(VLOOKUP(H13,données!$AC$30:$AL$41,MATCH(F13,données!$AC$2:$AL$2,0),FALSE),"inexistant")</f>
        <v>inexistant</v>
      </c>
      <c r="T13" s="635" t="str">
        <f>NOMENCLATURE_GEN!AB13</f>
        <v>&gt;180</v>
      </c>
      <c r="U13" s="545"/>
      <c r="V13" s="9"/>
      <c r="W13" s="10"/>
      <c r="X13" s="11"/>
    </row>
    <row r="14" spans="1:24" s="8" customFormat="1" ht="39.950000000000003" hidden="1" customHeight="1">
      <c r="A14" s="3"/>
      <c r="B14" s="25" t="str">
        <f>IF(NOMENCLATURE_GEN!B14="","",NOMENCLATURE_GEN!B14)</f>
        <v/>
      </c>
      <c r="C14" s="243" t="str">
        <f>IF(NOMENCLATURE_GEN!C14="","",NOMENCLATURE_GEN!C14)</f>
        <v/>
      </c>
      <c r="D14" s="4">
        <f>IF(NOMENCLATURE_GEN!D14="","",NOMENCLATURE_GEN!D14)</f>
        <v>106</v>
      </c>
      <c r="E14" s="4" t="str">
        <f ca="1">IF(NOMENCLATURE_GEN!E14="","",NOMENCLATURE_GEN!E14)</f>
        <v>A</v>
      </c>
      <c r="F14" s="4" t="str">
        <f>IF(NOMENCLATURE_GEN!F14="","",NOMENCLATURE_GEN!F14)</f>
        <v>GLT</v>
      </c>
      <c r="G14" s="310" t="str">
        <f>IF(NOMENCLATURE_GEN!G14="","",NOMENCLATURE_GEN!G14)</f>
        <v>Goulotte de liaison vers le convoyeur des refus</v>
      </c>
      <c r="H14" s="4">
        <f>IF(NOMENCLATURE_GEN!H14="","",NOMENCLATURE_GEN!H14)</f>
        <v>1200</v>
      </c>
      <c r="I14" s="4">
        <f>IF(NOMENCLATURE_GEN!I14="","",NOMENCLATURE_GEN!I14)</f>
        <v>1200</v>
      </c>
      <c r="J14" s="4">
        <f>IF(NOMENCLATURE_GEN!J14="","",NOMENCLATURE_GEN!J14)</f>
        <v>0</v>
      </c>
      <c r="K14" s="12"/>
      <c r="L14" s="627"/>
      <c r="M14" s="109" t="str">
        <f>IFERROR(VLOOKUP(H14,données!$AC$4:$AL$15,MATCH(F14,données!$AC$2:$AL$2,0),FALSE),"inexistant")</f>
        <v>inexistant</v>
      </c>
      <c r="N14" s="12"/>
      <c r="O14" s="627"/>
      <c r="P14" s="83" t="str">
        <f>IFERROR(VLOOKUP(H14,données!$AC$17:$AL$28,MATCH(F14,données!$AC$2:$AL$2,0),FALSE),"inexistant")</f>
        <v>inexistant</v>
      </c>
      <c r="Q14" s="110"/>
      <c r="R14" s="627"/>
      <c r="S14" s="109" t="str">
        <f>IFERROR(VLOOKUP(H14,données!$AC$30:$AL$41,MATCH(F14,données!$AC$2:$AL$2,0),FALSE),"inexistant")</f>
        <v>inexistant</v>
      </c>
      <c r="T14" s="635" t="str">
        <f>NOMENCLATURE_GEN!AB14</f>
        <v>&gt;180</v>
      </c>
      <c r="U14" s="545"/>
      <c r="V14" s="9"/>
      <c r="W14" s="10"/>
      <c r="X14" s="11"/>
    </row>
    <row r="15" spans="1:24" s="8" customFormat="1" ht="39.950000000000003" customHeight="1">
      <c r="A15" s="3"/>
      <c r="B15" s="25" t="str">
        <f>IF(NOMENCLATURE_GEN!B15="","",NOMENCLATURE_GEN!B15)</f>
        <v/>
      </c>
      <c r="C15" s="243" t="str">
        <f>IF(NOMENCLATURE_GEN!C15="","",NOMENCLATURE_GEN!C15)</f>
        <v/>
      </c>
      <c r="D15" s="4">
        <f>IF(NOMENCLATURE_GEN!D15="","",NOMENCLATURE_GEN!D15)</f>
        <v>107</v>
      </c>
      <c r="E15" s="4" t="str">
        <f ca="1">IF(NOMENCLATURE_GEN!E15="","",NOMENCLATURE_GEN!E15)</f>
        <v>A</v>
      </c>
      <c r="F15" s="4" t="str">
        <f>IF(NOMENCLATURE_GEN!F15="","",NOMENCLATURE_GEN!F15)</f>
        <v>CBA</v>
      </c>
      <c r="G15" s="310" t="str">
        <f>IF(NOMENCLATURE_GEN!G15="","",NOMENCLATURE_GEN!G15)</f>
        <v>Convoyeur de centralisation des refus</v>
      </c>
      <c r="H15" s="4">
        <f>IF(NOMENCLATURE_GEN!H15="","",NOMENCLATURE_GEN!H15)</f>
        <v>1400</v>
      </c>
      <c r="I15" s="4">
        <f>IF(NOMENCLATURE_GEN!I15="","",NOMENCLATURE_GEN!I15)</f>
        <v>9250</v>
      </c>
      <c r="J15" s="4">
        <f>IF(NOMENCLATURE_GEN!J15="","",NOMENCLATURE_GEN!J15)</f>
        <v>4</v>
      </c>
      <c r="K15" s="12">
        <f t="shared" ref="K15:K21" si="0">V15+W15-X15</f>
        <v>8</v>
      </c>
      <c r="L15" s="627">
        <v>7</v>
      </c>
      <c r="M15" s="109" t="str">
        <f>IFERROR(VLOOKUP(H15,données!$AC$4:$AL$15,MATCH(F15,données!$AC$2:$AL$2,0),FALSE),"inexistant")</f>
        <v>CBA1400020</v>
      </c>
      <c r="N15" s="12">
        <v>4</v>
      </c>
      <c r="O15" s="627">
        <v>4</v>
      </c>
      <c r="P15" s="84" t="str">
        <f>IFERROR(VLOOKUP(H15,données!$AC$17:$AL$28,MATCH(F15,données!$AC$2:$AL$2,0),FALSE),"inexistant")</f>
        <v>CBA1400008</v>
      </c>
      <c r="Q15" s="110">
        <f t="shared" ref="Q15:Q21" si="1">2*K15</f>
        <v>16</v>
      </c>
      <c r="R15" s="627">
        <f t="shared" ref="R15:R21" si="2">2*L15</f>
        <v>14</v>
      </c>
      <c r="S15" s="406" t="str">
        <f>IFERROR(VLOOKUP(H15,données!$AC$30:$AL$41,MATCH(F15,données!$AC$2:$AL$2,0),FALSE),"inexistant")</f>
        <v>CBA0000175</v>
      </c>
      <c r="T15" s="633" t="str">
        <f>NOMENCLATURE_GEN!AB15</f>
        <v>&gt;180
30-180</v>
      </c>
      <c r="U15" s="546">
        <v>2500</v>
      </c>
      <c r="V15" s="9">
        <f t="shared" ref="V15:V21" si="3">ROUNDUP(I15/1000,0)</f>
        <v>10</v>
      </c>
      <c r="W15" s="10"/>
      <c r="X15" s="11">
        <v>2</v>
      </c>
    </row>
    <row r="16" spans="1:24" s="8" customFormat="1" ht="39.950000000000003" customHeight="1">
      <c r="A16" s="3"/>
      <c r="B16" s="25" t="str">
        <f>IF(NOMENCLATURE_GEN!B16="","",NOMENCLATURE_GEN!B16)</f>
        <v/>
      </c>
      <c r="C16" s="243" t="str">
        <f>IF(NOMENCLATURE_GEN!C16="","",NOMENCLATURE_GEN!C16)</f>
        <v/>
      </c>
      <c r="D16" s="4">
        <f>IF(NOMENCLATURE_GEN!D16="","",NOMENCLATURE_GEN!D16)</f>
        <v>108</v>
      </c>
      <c r="E16" s="4" t="str">
        <f ca="1">IF(NOMENCLATURE_GEN!E16="","",NOMENCLATURE_GEN!E16)</f>
        <v>A</v>
      </c>
      <c r="F16" s="4" t="str">
        <f>IF(NOMENCLATURE_GEN!F16="","",NOMENCLATURE_GEN!F16)</f>
        <v>CBA</v>
      </c>
      <c r="G16" s="310" t="str">
        <f>IF(NOMENCLATURE_GEN!G16="","",NOMENCLATURE_GEN!G16)</f>
        <v>Convoyeur de transfert des refus</v>
      </c>
      <c r="H16" s="4">
        <f>IF(NOMENCLATURE_GEN!H16="","",NOMENCLATURE_GEN!H16)</f>
        <v>1400</v>
      </c>
      <c r="I16" s="4">
        <f>IF(NOMENCLATURE_GEN!I16="","",NOMENCLATURE_GEN!I16)</f>
        <v>14750</v>
      </c>
      <c r="J16" s="4">
        <f>IF(NOMENCLATURE_GEN!J16="","",NOMENCLATURE_GEN!J16)</f>
        <v>6</v>
      </c>
      <c r="K16" s="12">
        <f t="shared" si="0"/>
        <v>11</v>
      </c>
      <c r="L16" s="627">
        <v>16</v>
      </c>
      <c r="M16" s="109" t="str">
        <f>IFERROR(VLOOKUP(H16,données!$AC$4:$AL$15,MATCH(F16,données!$AC$2:$AL$2,0),FALSE),"inexistant")</f>
        <v>CBA1400020</v>
      </c>
      <c r="N16" s="12">
        <v>6</v>
      </c>
      <c r="O16" s="627">
        <v>6</v>
      </c>
      <c r="P16" s="84" t="str">
        <f>IFERROR(VLOOKUP(H16,données!$AC$17:$AL$28,MATCH(F16,données!$AC$2:$AL$2,0),FALSE),"inexistant")</f>
        <v>CBA1400008</v>
      </c>
      <c r="Q16" s="110">
        <f t="shared" si="1"/>
        <v>22</v>
      </c>
      <c r="R16" s="627">
        <f t="shared" si="2"/>
        <v>32</v>
      </c>
      <c r="S16" s="406" t="str">
        <f>IFERROR(VLOOKUP(H16,données!$AC$30:$AL$41,MATCH(F16,données!$AC$2:$AL$2,0),FALSE),"inexistant")</f>
        <v>CBA0000175</v>
      </c>
      <c r="T16" s="633" t="str">
        <f>NOMENCLATURE_GEN!AB16</f>
        <v>&gt;180
30-180</v>
      </c>
      <c r="U16" s="546">
        <v>4000</v>
      </c>
      <c r="V16" s="9">
        <f t="shared" si="3"/>
        <v>15</v>
      </c>
      <c r="W16" s="33"/>
      <c r="X16" s="11">
        <v>4</v>
      </c>
    </row>
    <row r="17" spans="1:24" s="8" customFormat="1" ht="39.950000000000003" customHeight="1">
      <c r="A17" s="3"/>
      <c r="B17" s="25" t="str">
        <f>IF(NOMENCLATURE_GEN!B17="","",NOMENCLATURE_GEN!B17)</f>
        <v/>
      </c>
      <c r="C17" s="243" t="str">
        <f>IF(NOMENCLATURE_GEN!C17="","",NOMENCLATURE_GEN!C17)</f>
        <v/>
      </c>
      <c r="D17" s="4">
        <f>IF(NOMENCLATURE_GEN!D17="","",NOMENCLATURE_GEN!D17)</f>
        <v>109</v>
      </c>
      <c r="E17" s="4" t="str">
        <f ca="1">IF(NOMENCLATURE_GEN!E17="","",NOMENCLATURE_GEN!E17)</f>
        <v>A</v>
      </c>
      <c r="F17" s="4" t="str">
        <f>IF(NOMENCLATURE_GEN!F17="","",NOMENCLATURE_GEN!F17)</f>
        <v>CBA</v>
      </c>
      <c r="G17" s="154" t="str">
        <f>IF(NOMENCLATURE_GEN!G17="","",NOMENCLATURE_GEN!G17)</f>
        <v>Convoyeur de transfert des refus</v>
      </c>
      <c r="H17" s="26">
        <f>IF(NOMENCLATURE_GEN!H17="","",NOMENCLATURE_GEN!H17)</f>
        <v>1400</v>
      </c>
      <c r="I17" s="26">
        <f>IF(NOMENCLATURE_GEN!I17="","",NOMENCLATURE_GEN!I17)</f>
        <v>15250</v>
      </c>
      <c r="J17" s="56">
        <f>IF(NOMENCLATURE_GEN!J17="","",NOMENCLATURE_GEN!J17)</f>
        <v>14</v>
      </c>
      <c r="K17" s="12">
        <f t="shared" si="0"/>
        <v>14</v>
      </c>
      <c r="L17" s="627">
        <v>16</v>
      </c>
      <c r="M17" s="109" t="str">
        <f>IFERROR(VLOOKUP(H17,données!$AC$4:$AL$15,MATCH(F17,données!$AC$2:$AL$2,0),FALSE),"inexistant")</f>
        <v>CBA1400020</v>
      </c>
      <c r="N17" s="12">
        <v>6</v>
      </c>
      <c r="O17" s="627">
        <v>6</v>
      </c>
      <c r="P17" s="84" t="str">
        <f>IFERROR(VLOOKUP(H17,données!$AC$17:$AL$28,MATCH(F17,données!$AC$2:$AL$2,0),FALSE),"inexistant")</f>
        <v>CBA1400008</v>
      </c>
      <c r="Q17" s="110">
        <f t="shared" si="1"/>
        <v>28</v>
      </c>
      <c r="R17" s="627">
        <f t="shared" si="2"/>
        <v>32</v>
      </c>
      <c r="S17" s="406" t="str">
        <f>IFERROR(VLOOKUP(H17,données!$AC$30:$AL$41,MATCH(F17,données!$AC$2:$AL$2,0),FALSE),"inexistant")</f>
        <v>CBA0000175</v>
      </c>
      <c r="T17" s="633" t="str">
        <f>NOMENCLATURE_GEN!AB17</f>
        <v>&gt;180
30-180</v>
      </c>
      <c r="U17" s="546">
        <v>2500</v>
      </c>
      <c r="V17" s="9">
        <f t="shared" si="3"/>
        <v>16</v>
      </c>
      <c r="W17" s="33"/>
      <c r="X17" s="11">
        <v>2</v>
      </c>
    </row>
    <row r="18" spans="1:24" s="8" customFormat="1" ht="39.950000000000003" customHeight="1">
      <c r="A18" s="3"/>
      <c r="B18" s="25" t="str">
        <f>IF(NOMENCLATURE_GEN!B18="","",NOMENCLATURE_GEN!B18)</f>
        <v/>
      </c>
      <c r="C18" s="243" t="str">
        <f>IF(NOMENCLATURE_GEN!C18="","",NOMENCLATURE_GEN!C18)</f>
        <v/>
      </c>
      <c r="D18" s="4">
        <f>IF(NOMENCLATURE_GEN!D18="","",NOMENCLATURE_GEN!D18)</f>
        <v>110</v>
      </c>
      <c r="E18" s="4" t="str">
        <f ca="1">IF(NOMENCLATURE_GEN!E18="","",NOMENCLATURE_GEN!E18)</f>
        <v>A</v>
      </c>
      <c r="F18" s="4" t="str">
        <f>IF(NOMENCLATURE_GEN!F18="","",NOMENCLATURE_GEN!F18)</f>
        <v>CBA</v>
      </c>
      <c r="G18" s="154" t="str">
        <f>IF(NOMENCLATURE_GEN!G18="","",NOMENCLATURE_GEN!G18)</f>
        <v>Convoyeur de transfert des refus vers FMA</v>
      </c>
      <c r="H18" s="26">
        <f>IF(NOMENCLATURE_GEN!H18="","",NOMENCLATURE_GEN!H18)</f>
        <v>1400</v>
      </c>
      <c r="I18" s="26">
        <f>IF(NOMENCLATURE_GEN!I18="","",NOMENCLATURE_GEN!I18)</f>
        <v>20000</v>
      </c>
      <c r="J18" s="56">
        <f>IF(NOMENCLATURE_GEN!J18="","",NOMENCLATURE_GEN!J18)</f>
        <v>25</v>
      </c>
      <c r="K18" s="12">
        <f t="shared" si="0"/>
        <v>18</v>
      </c>
      <c r="L18" s="627">
        <v>22</v>
      </c>
      <c r="M18" s="109" t="str">
        <f>IFERROR(VLOOKUP(H18,données!$AC$4:$AL$15,MATCH(F18,données!$AC$2:$AL$2,0),FALSE),"inexistant")</f>
        <v>CBA1400020</v>
      </c>
      <c r="N18" s="12">
        <v>8</v>
      </c>
      <c r="O18" s="627">
        <v>7</v>
      </c>
      <c r="P18" s="561" t="s">
        <v>567</v>
      </c>
      <c r="Q18" s="110">
        <f t="shared" si="1"/>
        <v>36</v>
      </c>
      <c r="R18" s="627">
        <f t="shared" si="2"/>
        <v>44</v>
      </c>
      <c r="S18" s="406" t="str">
        <f>IFERROR(VLOOKUP(H18,données!$AC$30:$AL$41,MATCH(F18,données!$AC$2:$AL$2,0),FALSE),"inexistant")</f>
        <v>CBA0000175</v>
      </c>
      <c r="T18" s="633" t="str">
        <f>NOMENCLATURE_GEN!AB18</f>
        <v>&gt;180
30-180</v>
      </c>
      <c r="U18" s="546">
        <v>2500</v>
      </c>
      <c r="V18" s="9">
        <f t="shared" si="3"/>
        <v>20</v>
      </c>
      <c r="W18" s="33"/>
      <c r="X18" s="11">
        <v>2</v>
      </c>
    </row>
    <row r="19" spans="1:24" s="8" customFormat="1" ht="39.950000000000003" customHeight="1">
      <c r="A19" s="3"/>
      <c r="B19" s="25" t="str">
        <f>IF(NOMENCLATURE_GEN!B19="","",NOMENCLATURE_GEN!B19)</f>
        <v/>
      </c>
      <c r="C19" s="243" t="str">
        <f>IF(NOMENCLATURE_GEN!C19="","",NOMENCLATURE_GEN!C19)</f>
        <v/>
      </c>
      <c r="D19" s="4">
        <f>IF(NOMENCLATURE_GEN!D19="","",NOMENCLATURE_GEN!D19)</f>
        <v>111</v>
      </c>
      <c r="E19" s="4" t="str">
        <f ca="1">IF(NOMENCLATURE_GEN!E19="","",NOMENCLATURE_GEN!E19)</f>
        <v>A</v>
      </c>
      <c r="F19" s="4" t="str">
        <f>IF(NOMENCLATURE_GEN!F19="","",NOMENCLATURE_GEN!F19)</f>
        <v>CBA</v>
      </c>
      <c r="G19" s="154" t="str">
        <f>IF(NOMENCLATURE_GEN!G19="","",NOMENCLATURE_GEN!G19)</f>
        <v>Convoyeur by-pass des refus (FMA 1 OU 2)</v>
      </c>
      <c r="H19" s="26">
        <f>IF(NOMENCLATURE_GEN!H19="","",NOMENCLATURE_GEN!H19)</f>
        <v>1400</v>
      </c>
      <c r="I19" s="26">
        <f>IF(NOMENCLATURE_GEN!I19="","",NOMENCLATURE_GEN!I19)</f>
        <v>4500</v>
      </c>
      <c r="J19" s="56">
        <f>IF(NOMENCLATURE_GEN!J19="","",NOMENCLATURE_GEN!J19)</f>
        <v>0</v>
      </c>
      <c r="K19" s="12">
        <f t="shared" si="0"/>
        <v>3</v>
      </c>
      <c r="L19" s="627">
        <v>2</v>
      </c>
      <c r="M19" s="109" t="str">
        <f>IFERROR(VLOOKUP(H19,données!$AC$4:$AL$15,MATCH(F19,données!$AC$2:$AL$2,0),FALSE),"inexistant")</f>
        <v>CBA1400020</v>
      </c>
      <c r="N19" s="12">
        <v>3</v>
      </c>
      <c r="O19" s="627">
        <v>2</v>
      </c>
      <c r="P19" s="84" t="str">
        <f>IFERROR(VLOOKUP(H19,données!$AC$17:$AL$28,MATCH(F19,données!$AC$2:$AL$2,0),FALSE),"inexistant")</f>
        <v>CBA1400008</v>
      </c>
      <c r="Q19" s="110">
        <f t="shared" si="1"/>
        <v>6</v>
      </c>
      <c r="R19" s="627">
        <f t="shared" si="2"/>
        <v>4</v>
      </c>
      <c r="S19" s="406" t="str">
        <f>IFERROR(VLOOKUP(H19,données!$AC$30:$AL$41,MATCH(F19,données!$AC$2:$AL$2,0),FALSE),"inexistant")</f>
        <v>CBA0000175</v>
      </c>
      <c r="T19" s="633" t="str">
        <f>NOMENCLATURE_GEN!AB19</f>
        <v>&gt;180
30-180</v>
      </c>
      <c r="U19" s="546">
        <v>2000</v>
      </c>
      <c r="V19" s="9">
        <f t="shared" si="3"/>
        <v>5</v>
      </c>
      <c r="W19" s="33"/>
      <c r="X19" s="11">
        <v>2</v>
      </c>
    </row>
    <row r="20" spans="1:24" s="8" customFormat="1" ht="39.950000000000003" customHeight="1">
      <c r="A20" s="3"/>
      <c r="B20" s="25" t="str">
        <f>IF(NOMENCLATURE_GEN!B20="","",NOMENCLATURE_GEN!B20)</f>
        <v/>
      </c>
      <c r="C20" s="243" t="str">
        <f>IF(NOMENCLATURE_GEN!C20="","",NOMENCLATURE_GEN!C20)</f>
        <v/>
      </c>
      <c r="D20" s="4" t="str">
        <f>IF(NOMENCLATURE_GEN!D20="","",NOMENCLATURE_GEN!D20)</f>
        <v>112-1</v>
      </c>
      <c r="E20" s="4" t="str">
        <f ca="1">IF(NOMENCLATURE_GEN!E20="","",NOMENCLATURE_GEN!E20)</f>
        <v>A</v>
      </c>
      <c r="F20" s="4" t="str">
        <f>IF(NOMENCLATURE_GEN!F20="","",NOMENCLATURE_GEN!F20)</f>
        <v>CBA</v>
      </c>
      <c r="G20" s="154" t="str">
        <f>IF(NOMENCLATURE_GEN!G20="","",NOMENCLATURE_GEN!G20)</f>
        <v>Convoyeur navette double sens de remplissage des bennes ou FMA</v>
      </c>
      <c r="H20" s="26">
        <f>IF(NOMENCLATURE_GEN!H20="","",NOMENCLATURE_GEN!H20)</f>
        <v>1400</v>
      </c>
      <c r="I20" s="26">
        <f>IF(NOMENCLATURE_GEN!I20="","",NOMENCLATURE_GEN!I20)</f>
        <v>8250</v>
      </c>
      <c r="J20" s="56">
        <f>IF(NOMENCLATURE_GEN!J20="","",NOMENCLATURE_GEN!J20)</f>
        <v>0</v>
      </c>
      <c r="K20" s="12">
        <f t="shared" si="0"/>
        <v>9</v>
      </c>
      <c r="L20" s="627">
        <v>2</v>
      </c>
      <c r="M20" s="109" t="str">
        <f>IFERROR(VLOOKUP(H20,données!$AC$4:$AL$15,MATCH(F20,données!$AC$2:$AL$2,0),FALSE),"inexistant")</f>
        <v>CBA1400020</v>
      </c>
      <c r="N20" s="12">
        <v>4</v>
      </c>
      <c r="O20" s="627">
        <v>4</v>
      </c>
      <c r="P20" s="84" t="str">
        <f>IFERROR(VLOOKUP(H20,données!$AC$17:$AL$28,MATCH(F20,données!$AC$2:$AL$2,0),FALSE),"inexistant")</f>
        <v>CBA1400008</v>
      </c>
      <c r="Q20" s="110">
        <f t="shared" si="1"/>
        <v>18</v>
      </c>
      <c r="R20" s="627">
        <f t="shared" si="2"/>
        <v>4</v>
      </c>
      <c r="S20" s="406" t="str">
        <f>IFERROR(VLOOKUP(H20,données!$AC$30:$AL$41,MATCH(F20,données!$AC$2:$AL$2,0),FALSE),"inexistant")</f>
        <v>CBA0000175</v>
      </c>
      <c r="T20" s="633" t="str">
        <f>NOMENCLATURE_GEN!AB20</f>
        <v>&gt;180
30-180</v>
      </c>
      <c r="U20" s="546" t="s">
        <v>96</v>
      </c>
      <c r="V20" s="9">
        <f t="shared" si="3"/>
        <v>9</v>
      </c>
      <c r="W20" s="33"/>
      <c r="X20" s="11">
        <v>0</v>
      </c>
    </row>
    <row r="21" spans="1:24" s="8" customFormat="1" ht="39.950000000000003" customHeight="1">
      <c r="A21" s="3"/>
      <c r="B21" s="25" t="str">
        <f>IF(NOMENCLATURE_GEN!B21="","",NOMENCLATURE_GEN!B21)</f>
        <v/>
      </c>
      <c r="C21" s="243" t="str">
        <f>IF(NOMENCLATURE_GEN!C21="","",NOMENCLATURE_GEN!C21)</f>
        <v/>
      </c>
      <c r="D21" s="4" t="str">
        <f>IF(NOMENCLATURE_GEN!D21="","",NOMENCLATURE_GEN!D21)</f>
        <v>112-2</v>
      </c>
      <c r="E21" s="4" t="str">
        <f ca="1">IF(NOMENCLATURE_GEN!E21="","",NOMENCLATURE_GEN!E21)</f>
        <v>A</v>
      </c>
      <c r="F21" s="4" t="str">
        <f>IF(NOMENCLATURE_GEN!F21="","",NOMENCLATURE_GEN!F21)</f>
        <v>CBA</v>
      </c>
      <c r="G21" s="154" t="str">
        <f>IF(NOMENCLATURE_GEN!G21="","",NOMENCLATURE_GEN!G21)</f>
        <v>Convoyeur navette double sens de remplissage des bennes ou FMA</v>
      </c>
      <c r="H21" s="26">
        <f>IF(NOMENCLATURE_GEN!H21="","",NOMENCLATURE_GEN!H21)</f>
        <v>1400</v>
      </c>
      <c r="I21" s="26">
        <f>IF(NOMENCLATURE_GEN!I21="","",NOMENCLATURE_GEN!I21)</f>
        <v>8250</v>
      </c>
      <c r="J21" s="56">
        <f>IF(NOMENCLATURE_GEN!J21="","",NOMENCLATURE_GEN!J21)</f>
        <v>0</v>
      </c>
      <c r="K21" s="12">
        <f t="shared" si="0"/>
        <v>9</v>
      </c>
      <c r="L21" s="627">
        <v>2</v>
      </c>
      <c r="M21" s="109" t="str">
        <f>IFERROR(VLOOKUP(H21,données!$AC$4:$AL$15,MATCH(F21,données!$AC$2:$AL$2,0),FALSE),"inexistant")</f>
        <v>CBA1400020</v>
      </c>
      <c r="N21" s="12">
        <v>4</v>
      </c>
      <c r="O21" s="627">
        <v>4</v>
      </c>
      <c r="P21" s="84" t="str">
        <f>IFERROR(VLOOKUP(H21,données!$AC$17:$AL$28,MATCH(F21,données!$AC$2:$AL$2,0),FALSE),"inexistant")</f>
        <v>CBA1400008</v>
      </c>
      <c r="Q21" s="110">
        <f t="shared" si="1"/>
        <v>18</v>
      </c>
      <c r="R21" s="627">
        <f t="shared" si="2"/>
        <v>4</v>
      </c>
      <c r="S21" s="406" t="str">
        <f>IFERROR(VLOOKUP(H21,données!$AC$30:$AL$41,MATCH(F21,données!$AC$2:$AL$2,0),FALSE),"inexistant")</f>
        <v>CBA0000175</v>
      </c>
      <c r="T21" s="633" t="str">
        <f>NOMENCLATURE_GEN!AB21</f>
        <v>&gt;180
30-180</v>
      </c>
      <c r="U21" s="546" t="s">
        <v>96</v>
      </c>
      <c r="V21" s="9">
        <f t="shared" si="3"/>
        <v>9</v>
      </c>
      <c r="W21" s="33"/>
      <c r="X21" s="11">
        <v>0</v>
      </c>
    </row>
    <row r="22" spans="1:24" s="8" customFormat="1" ht="39.950000000000003" hidden="1" customHeight="1">
      <c r="A22" s="3"/>
      <c r="B22" s="25" t="str">
        <f>IF(NOMENCLATURE_GEN!B22="","",NOMENCLATURE_GEN!B22)</f>
        <v/>
      </c>
      <c r="C22" s="243" t="str">
        <f>IF(NOMENCLATURE_GEN!C22="","",NOMENCLATURE_GEN!C22)</f>
        <v/>
      </c>
      <c r="D22" s="4" t="str">
        <f>IF(NOMENCLATURE_GEN!D22="","",NOMENCLATURE_GEN!D22)</f>
        <v>113-1</v>
      </c>
      <c r="E22" s="4" t="str">
        <f ca="1">IF(NOMENCLATURE_GEN!E22="","",NOMENCLATURE_GEN!E22)</f>
        <v>A</v>
      </c>
      <c r="F22" s="4" t="str">
        <f>IF(NOMENCLATURE_GEN!F22="","",NOMENCLATURE_GEN!F22)</f>
        <v>NAV</v>
      </c>
      <c r="G22" s="154" t="str">
        <f>IF(NOMENCLATURE_GEN!G22="","",NOMENCLATURE_GEN!G22)</f>
        <v>Système navette pour convoyeur mobile remplissage FMA ou bennes</v>
      </c>
      <c r="H22" s="26" t="str">
        <f>IF(NOMENCLATURE_GEN!H22="","",NOMENCLATURE_GEN!H22)</f>
        <v/>
      </c>
      <c r="I22" s="26" t="str">
        <f>IF(NOMENCLATURE_GEN!I22="","",NOMENCLATURE_GEN!I22)</f>
        <v/>
      </c>
      <c r="J22" s="56" t="str">
        <f>IF(NOMENCLATURE_GEN!J22="","",NOMENCLATURE_GEN!J22)</f>
        <v/>
      </c>
      <c r="K22" s="12"/>
      <c r="L22" s="627"/>
      <c r="M22" s="109" t="str">
        <f>IFERROR(VLOOKUP(H22,données!$AC$4:$AL$15,MATCH(F22,données!$AC$2:$AL$2,0),FALSE),"inexistant")</f>
        <v>inexistant</v>
      </c>
      <c r="N22" s="12"/>
      <c r="O22" s="627"/>
      <c r="P22" s="84" t="str">
        <f>IFERROR(VLOOKUP(H22,données!$AC$17:$AL$28,MATCH(F22,données!$AC$2:$AL$2,0),FALSE),"inexistant")</f>
        <v>inexistant</v>
      </c>
      <c r="Q22" s="111"/>
      <c r="R22" s="630"/>
      <c r="S22" s="406" t="str">
        <f>IFERROR(VLOOKUP(H22,données!$AC$30:$AL$41,MATCH(F22,données!$AC$2:$AL$2,0),FALSE),"inexistant")</f>
        <v>inexistant</v>
      </c>
      <c r="T22" s="637" t="str">
        <f>NOMENCLATURE_GEN!AB22</f>
        <v>&gt;180
30-180</v>
      </c>
      <c r="U22" s="545"/>
      <c r="V22" s="9"/>
      <c r="W22" s="10"/>
      <c r="X22" s="11"/>
    </row>
    <row r="23" spans="1:24" s="8" customFormat="1" ht="39.950000000000003" hidden="1" customHeight="1">
      <c r="A23" s="3"/>
      <c r="B23" s="25" t="str">
        <f>IF(NOMENCLATURE_GEN!B23="","",NOMENCLATURE_GEN!B23)</f>
        <v/>
      </c>
      <c r="C23" s="243" t="str">
        <f>IF(NOMENCLATURE_GEN!C23="","",NOMENCLATURE_GEN!C23)</f>
        <v/>
      </c>
      <c r="D23" s="4" t="str">
        <f>IF(NOMENCLATURE_GEN!D23="","",NOMENCLATURE_GEN!D23)</f>
        <v>113-2</v>
      </c>
      <c r="E23" s="4" t="str">
        <f ca="1">IF(NOMENCLATURE_GEN!E23="","",NOMENCLATURE_GEN!E23)</f>
        <v>A</v>
      </c>
      <c r="F23" s="4" t="str">
        <f>IF(NOMENCLATURE_GEN!F23="","",NOMENCLATURE_GEN!F23)</f>
        <v>NAV</v>
      </c>
      <c r="G23" s="154" t="str">
        <f>IF(NOMENCLATURE_GEN!G23="","",NOMENCLATURE_GEN!G23)</f>
        <v>Système navette pour convoyeur mobile remplissage FMA ou bennes</v>
      </c>
      <c r="H23" s="26" t="str">
        <f>IF(NOMENCLATURE_GEN!H23="","",NOMENCLATURE_GEN!H23)</f>
        <v/>
      </c>
      <c r="I23" s="26" t="str">
        <f>IF(NOMENCLATURE_GEN!I23="","",NOMENCLATURE_GEN!I23)</f>
        <v/>
      </c>
      <c r="J23" s="56" t="str">
        <f>IF(NOMENCLATURE_GEN!J23="","",NOMENCLATURE_GEN!J23)</f>
        <v/>
      </c>
      <c r="K23" s="12"/>
      <c r="L23" s="627"/>
      <c r="M23" s="109" t="str">
        <f>IFERROR(VLOOKUP(H23,données!$AC$4:$AL$15,MATCH(F23,données!$AC$2:$AL$2,0),FALSE),"inexistant")</f>
        <v>inexistant</v>
      </c>
      <c r="N23" s="12"/>
      <c r="O23" s="627"/>
      <c r="P23" s="84" t="str">
        <f>IFERROR(VLOOKUP(H23,données!$AC$17:$AL$28,MATCH(F23,données!$AC$2:$AL$2,0),FALSE),"inexistant")</f>
        <v>inexistant</v>
      </c>
      <c r="Q23" s="111"/>
      <c r="R23" s="630"/>
      <c r="S23" s="406" t="str">
        <f>IFERROR(VLOOKUP(H23,données!$AC$30:$AL$41,MATCH(F23,données!$AC$2:$AL$2,0),FALSE),"inexistant")</f>
        <v>inexistant</v>
      </c>
      <c r="T23" s="637" t="str">
        <f>NOMENCLATURE_GEN!AB23</f>
        <v>&gt;180
30-180</v>
      </c>
      <c r="U23" s="545"/>
      <c r="V23" s="9"/>
      <c r="W23" s="10"/>
      <c r="X23" s="11"/>
    </row>
    <row r="24" spans="1:24" s="8" customFormat="1" ht="39.950000000000003" hidden="1" customHeight="1">
      <c r="A24" s="3"/>
      <c r="B24" s="25" t="str">
        <f>IF(NOMENCLATURE_GEN!B24="","",NOMENCLATURE_GEN!B24)</f>
        <v>SUP</v>
      </c>
      <c r="C24" s="243" t="str">
        <f>IF(NOMENCLATURE_GEN!C24="","",NOMENCLATURE_GEN!C24)</f>
        <v/>
      </c>
      <c r="D24" s="4">
        <f>IF(NOMENCLATURE_GEN!D24="","",NOMENCLATURE_GEN!D24)</f>
        <v>114</v>
      </c>
      <c r="E24" s="4" t="str">
        <f ca="1">IF(NOMENCLATURE_GEN!E24="","",NOMENCLATURE_GEN!E24)</f>
        <v>A</v>
      </c>
      <c r="F24" s="4" t="str">
        <f>IF(NOMENCLATURE_GEN!F24="","",NOMENCLATURE_GEN!F24)</f>
        <v>TRE</v>
      </c>
      <c r="G24" s="154" t="str">
        <f>IF(NOMENCLATURE_GEN!G24="","",NOMENCLATURE_GEN!G24)</f>
        <v>Trémie des passants 0-180mm sous trommel</v>
      </c>
      <c r="H24" s="26" t="str">
        <f>IF(NOMENCLATURE_GEN!H24="","",NOMENCLATURE_GEN!H24)</f>
        <v/>
      </c>
      <c r="I24" s="26" t="str">
        <f>IF(NOMENCLATURE_GEN!I24="","",NOMENCLATURE_GEN!I24)</f>
        <v/>
      </c>
      <c r="J24" s="56" t="str">
        <f>IF(NOMENCLATURE_GEN!J24="","",NOMENCLATURE_GEN!J24)</f>
        <v/>
      </c>
      <c r="K24" s="12"/>
      <c r="L24" s="627"/>
      <c r="M24" s="109" t="str">
        <f>IFERROR(VLOOKUP(H24,données!$AC$4:$AL$15,MATCH(F24,données!$AC$2:$AL$2,0),FALSE),"inexistant")</f>
        <v>inexistant</v>
      </c>
      <c r="N24" s="12"/>
      <c r="O24" s="627"/>
      <c r="P24" s="84" t="str">
        <f>IFERROR(VLOOKUP(H24,données!$AC$17:$AL$28,MATCH(F24,données!$AC$2:$AL$2,0),FALSE),"inexistant")</f>
        <v>inexistant</v>
      </c>
      <c r="Q24" s="111"/>
      <c r="R24" s="630"/>
      <c r="S24" s="406" t="str">
        <f>IFERROR(VLOOKUP(H24,données!$AC$30:$AL$41,MATCH(F24,données!$AC$2:$AL$2,0),FALSE),"inexistant")</f>
        <v>inexistant</v>
      </c>
      <c r="T24" s="637" t="str">
        <f>NOMENCLATURE_GEN!AB24</f>
        <v>TOUT</v>
      </c>
      <c r="U24" s="545"/>
      <c r="V24" s="32"/>
      <c r="W24" s="33"/>
      <c r="X24" s="11"/>
    </row>
    <row r="25" spans="1:24" s="8" customFormat="1" ht="39.950000000000003" hidden="1" customHeight="1">
      <c r="A25" s="3"/>
      <c r="B25" s="25" t="str">
        <f>IF(NOMENCLATURE_GEN!B25="","",NOMENCLATURE_GEN!B25)</f>
        <v/>
      </c>
      <c r="C25" s="243" t="str">
        <f>IF(NOMENCLATURE_GEN!C25="","",NOMENCLATURE_GEN!C25)</f>
        <v/>
      </c>
      <c r="D25" s="4">
        <f>IF(NOMENCLATURE_GEN!D25="","",NOMENCLATURE_GEN!D25)</f>
        <v>115</v>
      </c>
      <c r="E25" s="4" t="str">
        <f ca="1">IF(NOMENCLATURE_GEN!E25="","",NOMENCLATURE_GEN!E25)</f>
        <v>A</v>
      </c>
      <c r="F25" s="4" t="str">
        <f>IF(NOMENCLATURE_GEN!F25="","",NOMENCLATURE_GEN!F25)</f>
        <v>EAB</v>
      </c>
      <c r="G25" s="154" t="str">
        <f>IF(NOMENCLATURE_GEN!G25="","",NOMENCLATURE_GEN!G25)</f>
        <v>Convoyeur de reprise de la fraction 0-180mm et transfert vers trommel</v>
      </c>
      <c r="H25" s="26">
        <f>IF(NOMENCLATURE_GEN!H25="","",NOMENCLATURE_GEN!H25)</f>
        <v>1400</v>
      </c>
      <c r="I25" s="26">
        <f>IF(NOMENCLATURE_GEN!I25="","",NOMENCLATURE_GEN!I25)</f>
        <v>18400</v>
      </c>
      <c r="J25" s="56">
        <f>IF(NOMENCLATURE_GEN!J25="","",NOMENCLATURE_GEN!J25)</f>
        <v>35</v>
      </c>
      <c r="K25" s="12"/>
      <c r="L25" s="627"/>
      <c r="M25" s="109" t="str">
        <f>IFERROR(VLOOKUP(H25,données!$AC$4:$AL$15,MATCH(F25,données!$AC$2:$AL$2,0),FALSE),"inexistant")</f>
        <v>inexistant</v>
      </c>
      <c r="N25" s="12"/>
      <c r="O25" s="627"/>
      <c r="P25" s="84" t="str">
        <f>IFERROR(VLOOKUP(H25,données!$AC$17:$AL$28,MATCH(F25,données!$AC$2:$AL$2,0),FALSE),"inexistant")</f>
        <v>inexistant</v>
      </c>
      <c r="Q25" s="111"/>
      <c r="R25" s="630"/>
      <c r="S25" s="406" t="str">
        <f>IFERROR(VLOOKUP(H25,données!$AC$30:$AL$41,MATCH(F25,données!$AC$2:$AL$2,0),FALSE),"inexistant")</f>
        <v>inexistant</v>
      </c>
      <c r="T25" s="637" t="str">
        <f>NOMENCLATURE_GEN!AB25</f>
        <v>0-180</v>
      </c>
      <c r="U25" s="442"/>
      <c r="V25" s="32"/>
      <c r="W25" s="33"/>
      <c r="X25" s="11"/>
    </row>
    <row r="26" spans="1:24" s="8" customFormat="1" ht="39.950000000000003" hidden="1" customHeight="1">
      <c r="A26" s="3"/>
      <c r="B26" s="25" t="str">
        <f>IF(NOMENCLATURE_GEN!B26="","",NOMENCLATURE_GEN!B26)</f>
        <v/>
      </c>
      <c r="C26" s="243" t="str">
        <f>IF(NOMENCLATURE_GEN!C26="","",NOMENCLATURE_GEN!C26)</f>
        <v/>
      </c>
      <c r="D26" s="4">
        <f>IF(NOMENCLATURE_GEN!D26="","",NOMENCLATURE_GEN!D26)</f>
        <v>115</v>
      </c>
      <c r="E26" s="4" t="str">
        <f ca="1">IF(NOMENCLATURE_GEN!E26="","",NOMENCLATURE_GEN!E26)</f>
        <v>B</v>
      </c>
      <c r="F26" s="4" t="str">
        <f>IF(NOMENCLATURE_GEN!F26="","",NOMENCLATURE_GEN!F26)</f>
        <v>GRA</v>
      </c>
      <c r="G26" s="154" t="str">
        <f>IF(NOMENCLATURE_GEN!G26="","",NOMENCLATURE_GEN!G26)</f>
        <v>Convoyeur à bande et chaines - Centrale de graissage</v>
      </c>
      <c r="H26" s="26" t="str">
        <f>IF(NOMENCLATURE_GEN!H26="","",NOMENCLATURE_GEN!H26)</f>
        <v/>
      </c>
      <c r="I26" s="26" t="str">
        <f>IF(NOMENCLATURE_GEN!I26="","",NOMENCLATURE_GEN!I26)</f>
        <v/>
      </c>
      <c r="J26" s="56" t="str">
        <f>IF(NOMENCLATURE_GEN!J26="","",NOMENCLATURE_GEN!J26)</f>
        <v/>
      </c>
      <c r="K26" s="12"/>
      <c r="L26" s="627"/>
      <c r="M26" s="109" t="str">
        <f>IFERROR(VLOOKUP(H26,données!$AC$4:$AL$15,MATCH(F26,données!$AC$2:$AL$2,0),FALSE),"inexistant")</f>
        <v>inexistant</v>
      </c>
      <c r="N26" s="12"/>
      <c r="O26" s="627"/>
      <c r="P26" s="84" t="str">
        <f>IFERROR(VLOOKUP(H26,données!$AC$17:$AL$28,MATCH(F26,données!$AC$2:$AL$2,0),FALSE),"inexistant")</f>
        <v>inexistant</v>
      </c>
      <c r="Q26" s="111"/>
      <c r="R26" s="630"/>
      <c r="S26" s="406" t="str">
        <f>IFERROR(VLOOKUP(H26,données!$AC$30:$AL$41,MATCH(F26,données!$AC$2:$AL$2,0),FALSE),"inexistant")</f>
        <v>inexistant</v>
      </c>
      <c r="T26" s="637" t="str">
        <f>NOMENCLATURE_GEN!AB26</f>
        <v>0-180</v>
      </c>
      <c r="U26" s="442"/>
      <c r="V26" s="32"/>
      <c r="W26" s="33"/>
      <c r="X26" s="11"/>
    </row>
    <row r="27" spans="1:24" s="8" customFormat="1" ht="39.950000000000003" hidden="1" customHeight="1">
      <c r="A27" s="3"/>
      <c r="B27" s="25" t="str">
        <f>IF(NOMENCLATURE_GEN!B27="","",NOMENCLATURE_GEN!B27)</f>
        <v/>
      </c>
      <c r="C27" s="243" t="str">
        <f>IF(NOMENCLATURE_GEN!C27="","",NOMENCLATURE_GEN!C27)</f>
        <v/>
      </c>
      <c r="D27" s="4">
        <f>IF(NOMENCLATURE_GEN!D27="","",NOMENCLATURE_GEN!D27)</f>
        <v>116</v>
      </c>
      <c r="E27" s="4" t="str">
        <f ca="1">IF(NOMENCLATURE_GEN!E27="","",NOMENCLATURE_GEN!E27)</f>
        <v>A</v>
      </c>
      <c r="F27" s="4" t="str">
        <f>IF(NOMENCLATURE_GEN!F27="","",NOMENCLATURE_GEN!F27)</f>
        <v>TRO</v>
      </c>
      <c r="G27" s="154" t="str">
        <f>IF(NOMENCLATURE_GEN!G27="","",NOMENCLATURE_GEN!G27)</f>
        <v>Trommel secondaire, maille Ø30mm, avec pales de brassage</v>
      </c>
      <c r="H27" s="26">
        <f>IF(NOMENCLATURE_GEN!H27="","",NOMENCLATURE_GEN!H27)</f>
        <v>2500</v>
      </c>
      <c r="I27" s="26">
        <f>IF(NOMENCLATURE_GEN!I27="","",NOMENCLATURE_GEN!I27)</f>
        <v>6000</v>
      </c>
      <c r="J27" s="56">
        <f>IF(NOMENCLATURE_GEN!J27="","",NOMENCLATURE_GEN!J27)</f>
        <v>3</v>
      </c>
      <c r="K27" s="12"/>
      <c r="L27" s="627"/>
      <c r="M27" s="109" t="str">
        <f>IFERROR(VLOOKUP(H27,données!$AC$4:$AL$15,MATCH(F27,données!$AC$2:$AL$2,0),FALSE),"inexistant")</f>
        <v>inexistant</v>
      </c>
      <c r="N27" s="12"/>
      <c r="O27" s="627"/>
      <c r="P27" s="84" t="str">
        <f>IFERROR(VLOOKUP(H27,données!$AC$17:$AL$28,MATCH(F27,données!$AC$2:$AL$2,0),FALSE),"inexistant")</f>
        <v>inexistant</v>
      </c>
      <c r="Q27" s="111"/>
      <c r="R27" s="630"/>
      <c r="S27" s="406" t="str">
        <f>IFERROR(VLOOKUP(H27,données!$AC$30:$AL$41,MATCH(F27,données!$AC$2:$AL$2,0),FALSE),"inexistant")</f>
        <v>inexistant</v>
      </c>
      <c r="T27" s="637" t="str">
        <f>NOMENCLATURE_GEN!AB27</f>
        <v>0-180</v>
      </c>
      <c r="U27" s="545"/>
      <c r="V27" s="32"/>
      <c r="W27" s="33"/>
      <c r="X27" s="11"/>
    </row>
    <row r="28" spans="1:24" s="8" customFormat="1" ht="39.950000000000003" hidden="1" customHeight="1">
      <c r="A28" s="3"/>
      <c r="B28" s="25" t="str">
        <f>IF(NOMENCLATURE_GEN!B28="","",NOMENCLATURE_GEN!B28)</f>
        <v/>
      </c>
      <c r="C28" s="243" t="str">
        <f>IF(NOMENCLATURE_GEN!C28="","",NOMENCLATURE_GEN!C28)</f>
        <v/>
      </c>
      <c r="D28" s="4">
        <f>IF(NOMENCLATURE_GEN!D28="","",NOMENCLATURE_GEN!D28)</f>
        <v>117</v>
      </c>
      <c r="E28" s="4" t="str">
        <f ca="1">IF(NOMENCLATURE_GEN!E28="","",NOMENCLATURE_GEN!E28)</f>
        <v>A</v>
      </c>
      <c r="F28" s="4" t="str">
        <f>IF(NOMENCLATURE_GEN!F28="","",NOMENCLATURE_GEN!F28)</f>
        <v>NET</v>
      </c>
      <c r="G28" s="154" t="str">
        <f>IF(NOMENCLATURE_GEN!G28="","",NOMENCLATURE_GEN!G28)</f>
        <v>Nettoyage pneumatique haute pression maille Ø30mm</v>
      </c>
      <c r="H28" s="26" t="str">
        <f>IF(NOMENCLATURE_GEN!H28="","",NOMENCLATURE_GEN!H28)</f>
        <v/>
      </c>
      <c r="I28" s="26" t="str">
        <f>IF(NOMENCLATURE_GEN!I28="","",NOMENCLATURE_GEN!I28)</f>
        <v/>
      </c>
      <c r="J28" s="56" t="str">
        <f>IF(NOMENCLATURE_GEN!J28="","",NOMENCLATURE_GEN!J28)</f>
        <v/>
      </c>
      <c r="K28" s="12"/>
      <c r="L28" s="627"/>
      <c r="M28" s="109" t="str">
        <f>IFERROR(VLOOKUP(H28,données!$AC$4:$AL$15,MATCH(F28,données!$AC$2:$AL$2,0),FALSE),"inexistant")</f>
        <v>inexistant</v>
      </c>
      <c r="N28" s="12"/>
      <c r="O28" s="627"/>
      <c r="P28" s="84" t="str">
        <f>IFERROR(VLOOKUP(H28,données!$AC$17:$AL$28,MATCH(F28,données!$AC$2:$AL$2,0),FALSE),"inexistant")</f>
        <v>inexistant</v>
      </c>
      <c r="Q28" s="111"/>
      <c r="R28" s="630"/>
      <c r="S28" s="406" t="str">
        <f>IFERROR(VLOOKUP(H28,données!$AC$30:$AL$41,MATCH(F28,données!$AC$2:$AL$2,0),FALSE),"inexistant")</f>
        <v>inexistant</v>
      </c>
      <c r="T28" s="637" t="str">
        <f>NOMENCLATURE_GEN!AB28</f>
        <v>0-180</v>
      </c>
      <c r="U28" s="545"/>
      <c r="V28" s="550"/>
      <c r="W28" s="549"/>
      <c r="X28" s="11"/>
    </row>
    <row r="29" spans="1:24" s="8" customFormat="1" ht="39.950000000000003" customHeight="1">
      <c r="A29" s="3"/>
      <c r="B29" s="25" t="str">
        <f>IF(NOMENCLATURE_GEN!B29="","",NOMENCLATURE_GEN!B29)</f>
        <v/>
      </c>
      <c r="C29" s="243" t="str">
        <f>IF(NOMENCLATURE_GEN!C29="","",NOMENCLATURE_GEN!C29)</f>
        <v/>
      </c>
      <c r="D29" s="4">
        <f>IF(NOMENCLATURE_GEN!D29="","",NOMENCLATURE_GEN!D29)</f>
        <v>118</v>
      </c>
      <c r="E29" s="4" t="str">
        <f ca="1">IF(NOMENCLATURE_GEN!E29="","",NOMENCLATURE_GEN!E29)</f>
        <v>A</v>
      </c>
      <c r="F29" s="4" t="str">
        <f>IF(NOMENCLATURE_GEN!F29="","",NOMENCLATURE_GEN!F29)</f>
        <v>CBA</v>
      </c>
      <c r="G29" s="154" t="str">
        <f>IF(NOMENCLATURE_GEN!G29="","",NOMENCLATURE_GEN!G29)</f>
        <v xml:space="preserve">Convoyeur de reprise de la fraction 30-180mm avec tête inox + zone inox </v>
      </c>
      <c r="H29" s="26">
        <f>IF(NOMENCLATURE_GEN!H29="","",NOMENCLATURE_GEN!H29)</f>
        <v>1200</v>
      </c>
      <c r="I29" s="26">
        <f>IF(NOMENCLATURE_GEN!I29="","",NOMENCLATURE_GEN!I29)</f>
        <v>9000</v>
      </c>
      <c r="J29" s="56">
        <f>IF(NOMENCLATURE_GEN!J29="","",NOMENCLATURE_GEN!J29)</f>
        <v>5</v>
      </c>
      <c r="K29" s="12">
        <f>V29+W29-X29</f>
        <v>17</v>
      </c>
      <c r="L29" s="627">
        <v>14</v>
      </c>
      <c r="M29" s="109" t="str">
        <f>IFERROR(VLOOKUP(H29,données!$AC$4:$AL$15,MATCH(F29,données!$AC$2:$AL$2,0),FALSE),"inexistant")</f>
        <v>CBA1200020</v>
      </c>
      <c r="N29" s="12">
        <v>4</v>
      </c>
      <c r="O29" s="627">
        <v>4</v>
      </c>
      <c r="P29" s="84" t="str">
        <f>IFERROR(VLOOKUP(H29,données!$AC$17:$AL$28,MATCH(F29,données!$AC$2:$AL$2,0),FALSE),"inexistant")</f>
        <v>CBA1200008</v>
      </c>
      <c r="Q29" s="110">
        <f>2*K29</f>
        <v>34</v>
      </c>
      <c r="R29" s="627">
        <f>2*L29</f>
        <v>28</v>
      </c>
      <c r="S29" s="406" t="str">
        <f>IFERROR(VLOOKUP(H29,données!$AC$30:$AL$41,MATCH(F29,données!$AC$2:$AL$2,0),FALSE),"inexistant")</f>
        <v>CBA0000175</v>
      </c>
      <c r="T29" s="637" t="str">
        <f>NOMENCLATURE_GEN!AB29</f>
        <v>30-180</v>
      </c>
      <c r="U29" s="545">
        <v>2000</v>
      </c>
      <c r="V29" s="9">
        <f>ROUNDUP(I29/1000,0)</f>
        <v>9</v>
      </c>
      <c r="W29" s="33">
        <v>8</v>
      </c>
      <c r="X29" s="11"/>
    </row>
    <row r="30" spans="1:24" s="8" customFormat="1" ht="39.950000000000003" hidden="1" customHeight="1">
      <c r="A30" s="3"/>
      <c r="B30" s="25" t="str">
        <f>IF(NOMENCLATURE_GEN!B30="","",NOMENCLATURE_GEN!B30)</f>
        <v/>
      </c>
      <c r="C30" s="243" t="str">
        <f>IF(NOMENCLATURE_GEN!C30="","",NOMENCLATURE_GEN!C30)</f>
        <v/>
      </c>
      <c r="D30" s="4">
        <f>IF(NOMENCLATURE_GEN!D30="","",NOMENCLATURE_GEN!D30)</f>
        <v>119</v>
      </c>
      <c r="E30" s="4" t="str">
        <f ca="1">IF(NOMENCLATURE_GEN!E30="","",NOMENCLATURE_GEN!E30)</f>
        <v>A</v>
      </c>
      <c r="F30" s="4" t="str">
        <f>IF(NOMENCLATURE_GEN!F30="","",NOMENCLATURE_GEN!F30)</f>
        <v>OVB</v>
      </c>
      <c r="G30" s="154" t="str">
        <f>IF(NOMENCLATURE_GEN!G30="","",NOMENCLATURE_GEN!G30)</f>
        <v>Séparateur magnétique à aimant permament</v>
      </c>
      <c r="H30" s="26">
        <f>IF(NOMENCLATURE_GEN!H30="","",NOMENCLATURE_GEN!H30)</f>
        <v>1200</v>
      </c>
      <c r="I30" s="26">
        <f>IF(NOMENCLATURE_GEN!I30="","",NOMENCLATURE_GEN!I30)</f>
        <v>1200</v>
      </c>
      <c r="J30" s="56" t="str">
        <f>IF(NOMENCLATURE_GEN!J30="","",NOMENCLATURE_GEN!J30)</f>
        <v/>
      </c>
      <c r="K30" s="12"/>
      <c r="L30" s="627"/>
      <c r="M30" s="109" t="str">
        <f>IFERROR(VLOOKUP(H30,données!$AC$4:$AL$15,MATCH(F30,données!$AC$2:$AL$2,0),FALSE),"inexistant")</f>
        <v>inexistant</v>
      </c>
      <c r="N30" s="12"/>
      <c r="O30" s="627"/>
      <c r="P30" s="84" t="str">
        <f>IFERROR(VLOOKUP(H30,données!$AC$17:$AL$28,MATCH(F30,données!$AC$2:$AL$2,0),FALSE),"inexistant")</f>
        <v>inexistant</v>
      </c>
      <c r="Q30" s="111"/>
      <c r="R30" s="630"/>
      <c r="S30" s="406" t="str">
        <f>IFERROR(VLOOKUP(H30,données!$AC$30:$AL$41,MATCH(F30,données!$AC$2:$AL$2,0),FALSE),"inexistant")</f>
        <v>inexistant</v>
      </c>
      <c r="T30" s="637" t="str">
        <f>NOMENCLATURE_GEN!AB30</f>
        <v>30-180</v>
      </c>
      <c r="U30" s="545"/>
      <c r="V30" s="550"/>
      <c r="W30" s="549"/>
      <c r="X30" s="11"/>
    </row>
    <row r="31" spans="1:24" s="8" customFormat="1" ht="39.950000000000003" hidden="1" customHeight="1">
      <c r="A31" s="3"/>
      <c r="B31" s="25" t="str">
        <f>IF(NOMENCLATURE_GEN!B31="","",NOMENCLATURE_GEN!B31)</f>
        <v/>
      </c>
      <c r="C31" s="243" t="str">
        <f>IF(NOMENCLATURE_GEN!C31="","",NOMENCLATURE_GEN!C31)</f>
        <v/>
      </c>
      <c r="D31" s="4">
        <f>IF(NOMENCLATURE_GEN!D31="","",NOMENCLATURE_GEN!D31)</f>
        <v>120</v>
      </c>
      <c r="E31" s="4" t="str">
        <f ca="1">IF(NOMENCLATURE_GEN!E31="","",NOMENCLATURE_GEN!E31)</f>
        <v>A</v>
      </c>
      <c r="F31" s="4" t="str">
        <f>IF(NOMENCLATURE_GEN!F31="","",NOMENCLATURE_GEN!F31)</f>
        <v>PMP</v>
      </c>
      <c r="G31" s="154" t="str">
        <f>IF(NOMENCLATURE_GEN!G31="","",NOMENCLATURE_GEN!G31)</f>
        <v>Poulie magnétique</v>
      </c>
      <c r="H31" s="26">
        <f>IF(NOMENCLATURE_GEN!H31="","",NOMENCLATURE_GEN!H31)</f>
        <v>1200</v>
      </c>
      <c r="I31" s="26" t="str">
        <f>IF(NOMENCLATURE_GEN!I31="","",NOMENCLATURE_GEN!I31)</f>
        <v/>
      </c>
      <c r="J31" s="56" t="str">
        <f>IF(NOMENCLATURE_GEN!J31="","",NOMENCLATURE_GEN!J31)</f>
        <v/>
      </c>
      <c r="K31" s="12"/>
      <c r="L31" s="627"/>
      <c r="M31" s="109" t="str">
        <f>IFERROR(VLOOKUP(H31,données!$AC$4:$AL$15,MATCH(F31,données!$AC$2:$AL$2,0),FALSE),"inexistant")</f>
        <v>inexistant</v>
      </c>
      <c r="N31" s="12"/>
      <c r="O31" s="627"/>
      <c r="P31" s="84" t="str">
        <f>IFERROR(VLOOKUP(H31,données!$AC$17:$AL$28,MATCH(F31,données!$AC$2:$AL$2,0),FALSE),"inexistant")</f>
        <v>inexistant</v>
      </c>
      <c r="Q31" s="111"/>
      <c r="R31" s="630"/>
      <c r="S31" s="406" t="str">
        <f>IFERROR(VLOOKUP(H31,données!$AC$30:$AL$41,MATCH(F31,données!$AC$2:$AL$2,0),FALSE),"inexistant")</f>
        <v>inexistant</v>
      </c>
      <c r="T31" s="637" t="str">
        <f>NOMENCLATURE_GEN!AB31</f>
        <v>30-180</v>
      </c>
      <c r="U31" s="547"/>
      <c r="V31" s="550"/>
      <c r="W31" s="549"/>
      <c r="X31" s="11"/>
    </row>
    <row r="32" spans="1:24" s="8" customFormat="1" ht="39.950000000000003" hidden="1" customHeight="1">
      <c r="A32" s="3"/>
      <c r="B32" s="25" t="str">
        <f>IF(NOMENCLATURE_GEN!B32="","",NOMENCLATURE_GEN!B32)</f>
        <v/>
      </c>
      <c r="C32" s="243" t="str">
        <f>IF(NOMENCLATURE_GEN!C32="","",NOMENCLATURE_GEN!C32)</f>
        <v/>
      </c>
      <c r="D32" s="4">
        <f>IF(NOMENCLATURE_GEN!D32="","",NOMENCLATURE_GEN!D32)</f>
        <v>121</v>
      </c>
      <c r="E32" s="4" t="str">
        <f ca="1">IF(NOMENCLATURE_GEN!E32="","",NOMENCLATURE_GEN!E32)</f>
        <v>A</v>
      </c>
      <c r="F32" s="4" t="str">
        <f>IF(NOMENCLATURE_GEN!F32="","",NOMENCLATURE_GEN!F32)</f>
        <v>SNF</v>
      </c>
      <c r="G32" s="154" t="str">
        <f>IF(NOMENCLATURE_GEN!G32="","",NOMENCLATURE_GEN!G32)</f>
        <v>Séparateur de non ferreux EDX - ROUE POLAIRE</v>
      </c>
      <c r="H32" s="26">
        <f>IF(NOMENCLATURE_GEN!H32="","",NOMENCLATURE_GEN!H32)</f>
        <v>1200</v>
      </c>
      <c r="I32" s="26">
        <f>IF(NOMENCLATURE_GEN!I32="","",NOMENCLATURE_GEN!I32)</f>
        <v>2500</v>
      </c>
      <c r="J32" s="56" t="str">
        <f>IF(NOMENCLATURE_GEN!J32="","",NOMENCLATURE_GEN!J32)</f>
        <v/>
      </c>
      <c r="K32" s="12"/>
      <c r="L32" s="627"/>
      <c r="M32" s="109" t="str">
        <f>IFERROR(VLOOKUP(H32,données!$AC$4:$AL$15,MATCH(F32,données!$AC$2:$AL$2,0),FALSE),"inexistant")</f>
        <v>inexistant</v>
      </c>
      <c r="N32" s="12"/>
      <c r="O32" s="627"/>
      <c r="P32" s="84" t="str">
        <f>IFERROR(VLOOKUP(H32,données!$AC$17:$AL$28,MATCH(F32,données!$AC$2:$AL$2,0),FALSE),"inexistant")</f>
        <v>inexistant</v>
      </c>
      <c r="Q32" s="111"/>
      <c r="R32" s="630"/>
      <c r="S32" s="406" t="str">
        <f>IFERROR(VLOOKUP(H32,données!$AC$30:$AL$41,MATCH(F32,données!$AC$2:$AL$2,0),FALSE),"inexistant")</f>
        <v>inexistant</v>
      </c>
      <c r="T32" s="637" t="str">
        <f>NOMENCLATURE_GEN!AB32</f>
        <v>30-180</v>
      </c>
      <c r="U32" s="547"/>
      <c r="V32" s="550"/>
      <c r="W32" s="549"/>
      <c r="X32" s="11"/>
    </row>
    <row r="33" spans="1:24" s="8" customFormat="1" ht="39.950000000000003" hidden="1" customHeight="1">
      <c r="A33" s="3"/>
      <c r="B33" s="25" t="str">
        <f>IF(NOMENCLATURE_GEN!B33="","",NOMENCLATURE_GEN!B33)</f>
        <v/>
      </c>
      <c r="C33" s="243" t="str">
        <f>IF(NOMENCLATURE_GEN!C33="","",NOMENCLATURE_GEN!C33)</f>
        <v/>
      </c>
      <c r="D33" s="4">
        <f>IF(NOMENCLATURE_GEN!D33="","",NOMENCLATURE_GEN!D33)</f>
        <v>121</v>
      </c>
      <c r="E33" s="4" t="str">
        <f ca="1">IF(NOMENCLATURE_GEN!E33="","",NOMENCLATURE_GEN!E33)</f>
        <v>B</v>
      </c>
      <c r="F33" s="4" t="str">
        <f>IF(NOMENCLATURE_GEN!F33="","",NOMENCLATURE_GEN!F33)</f>
        <v>SNF</v>
      </c>
      <c r="G33" s="154" t="str">
        <f>IF(NOMENCLATURE_GEN!G33="","",NOMENCLATURE_GEN!G33)</f>
        <v>Séparateur de non ferreux EDX - CONVOYEUR</v>
      </c>
      <c r="H33" s="26" t="str">
        <f>IF(NOMENCLATURE_GEN!H33="","",NOMENCLATURE_GEN!H33)</f>
        <v/>
      </c>
      <c r="I33" s="26" t="str">
        <f>IF(NOMENCLATURE_GEN!I33="","",NOMENCLATURE_GEN!I33)</f>
        <v/>
      </c>
      <c r="J33" s="56" t="str">
        <f>IF(NOMENCLATURE_GEN!J33="","",NOMENCLATURE_GEN!J33)</f>
        <v/>
      </c>
      <c r="K33" s="12"/>
      <c r="L33" s="627"/>
      <c r="M33" s="109" t="str">
        <f>IFERROR(VLOOKUP(H33,données!$AC$4:$AL$15,MATCH(F33,données!$AC$2:$AL$2,0),FALSE),"inexistant")</f>
        <v>inexistant</v>
      </c>
      <c r="N33" s="12"/>
      <c r="O33" s="627"/>
      <c r="P33" s="84" t="str">
        <f>IFERROR(VLOOKUP(H33,données!$AC$17:$AL$28,MATCH(F33,données!$AC$2:$AL$2,0),FALSE),"inexistant")</f>
        <v>inexistant</v>
      </c>
      <c r="Q33" s="111"/>
      <c r="R33" s="630"/>
      <c r="S33" s="406" t="str">
        <f>IFERROR(VLOOKUP(H33,données!$AC$30:$AL$41,MATCH(F33,données!$AC$2:$AL$2,0),FALSE),"inexistant")</f>
        <v>inexistant</v>
      </c>
      <c r="T33" s="637" t="str">
        <f>NOMENCLATURE_GEN!AB33</f>
        <v>30-180</v>
      </c>
      <c r="U33" s="547"/>
      <c r="V33" s="550"/>
      <c r="W33" s="549"/>
      <c r="X33" s="11"/>
    </row>
    <row r="34" spans="1:24" s="8" customFormat="1" ht="39.950000000000003" customHeight="1">
      <c r="A34" s="3"/>
      <c r="B34" s="25" t="str">
        <f>IF(NOMENCLATURE_GEN!B34="","",NOMENCLATURE_GEN!B34)</f>
        <v/>
      </c>
      <c r="C34" s="243" t="str">
        <f>IF(NOMENCLATURE_GEN!C34="","",NOMENCLATURE_GEN!C34)</f>
        <v/>
      </c>
      <c r="D34" s="4">
        <f>IF(NOMENCLATURE_GEN!D34="","",NOMENCLATURE_GEN!D34)</f>
        <v>122</v>
      </c>
      <c r="E34" s="4" t="str">
        <f ca="1">IF(NOMENCLATURE_GEN!E34="","",NOMENCLATURE_GEN!E34)</f>
        <v>A</v>
      </c>
      <c r="F34" s="4" t="str">
        <f>IF(NOMENCLATURE_GEN!F34="","",NOMENCLATURE_GEN!F34)</f>
        <v>TBE</v>
      </c>
      <c r="G34" s="154" t="str">
        <f>IF(NOMENCLATURE_GEN!G34="","",NOMENCLATURE_GEN!G34)</f>
        <v>Convoyeur de reprise des non ferreux</v>
      </c>
      <c r="H34" s="26">
        <f>IF(NOMENCLATURE_GEN!H34="","",NOMENCLATURE_GEN!H34)</f>
        <v>600</v>
      </c>
      <c r="I34" s="26">
        <f>IF(NOMENCLATURE_GEN!I34="","",NOMENCLATURE_GEN!I34)</f>
        <v>3000</v>
      </c>
      <c r="J34" s="56">
        <f>IF(NOMENCLATURE_GEN!J34="","",NOMENCLATURE_GEN!J34)</f>
        <v>0</v>
      </c>
      <c r="K34" s="12">
        <f t="shared" ref="K34:K39" si="4">V34+W34-X34</f>
        <v>9</v>
      </c>
      <c r="L34" s="627">
        <v>8</v>
      </c>
      <c r="M34" s="109" t="str">
        <f>IFERROR(VLOOKUP(H34,données!$AC$4:$AL$15,MATCH(F34,données!$AC$2:$AL$2,0),FALSE),"inexistant")</f>
        <v>TBE0600007</v>
      </c>
      <c r="N34" s="12">
        <v>3</v>
      </c>
      <c r="O34" s="627">
        <v>2</v>
      </c>
      <c r="P34" s="84" t="str">
        <f>IFERROR(VLOOKUP(H34,données!$AC$17:$AL$28,MATCH(F34,données!$AC$2:$AL$2,0),FALSE),"inexistant")</f>
        <v>TBE0600008</v>
      </c>
      <c r="Q34" s="111"/>
      <c r="R34" s="630"/>
      <c r="S34" s="406" t="str">
        <f>IFERROR(VLOOKUP(H34,données!$AC$30:$AL$41,MATCH(F34,données!$AC$2:$AL$2,0),FALSE),"inexistant")</f>
        <v>Inexistant</v>
      </c>
      <c r="T34" s="637" t="str">
        <f>NOMENCLATURE_GEN!AB34</f>
        <v>30-180</v>
      </c>
      <c r="U34" s="545">
        <v>1500</v>
      </c>
      <c r="V34" s="9">
        <f t="shared" ref="V34:V39" si="5">ROUNDUP(I34/1000,0)</f>
        <v>3</v>
      </c>
      <c r="W34" s="33">
        <v>6</v>
      </c>
      <c r="X34" s="11"/>
    </row>
    <row r="35" spans="1:24" s="8" customFormat="1" ht="39.950000000000003" customHeight="1">
      <c r="A35" s="3"/>
      <c r="B35" s="25" t="str">
        <f>IF(NOMENCLATURE_GEN!B35="","",NOMENCLATURE_GEN!B35)</f>
        <v/>
      </c>
      <c r="C35" s="243" t="str">
        <f>IF(NOMENCLATURE_GEN!C35="","",NOMENCLATURE_GEN!C35)</f>
        <v/>
      </c>
      <c r="D35" s="4">
        <f>IF(NOMENCLATURE_GEN!D35="","",NOMENCLATURE_GEN!D35)</f>
        <v>123</v>
      </c>
      <c r="E35" s="4" t="str">
        <f ca="1">IF(NOMENCLATURE_GEN!E35="","",NOMENCLATURE_GEN!E35)</f>
        <v>A</v>
      </c>
      <c r="F35" s="4" t="str">
        <f>IF(NOMENCLATURE_GEN!F35="","",NOMENCLATURE_GEN!F35)</f>
        <v>TBE</v>
      </c>
      <c r="G35" s="154" t="str">
        <f>IF(NOMENCLATURE_GEN!G35="","",NOMENCLATURE_GEN!G35)</f>
        <v>Convoyeur de centralisation des non ferreux et transfert vers benne</v>
      </c>
      <c r="H35" s="26">
        <f>IF(NOMENCLATURE_GEN!H35="","",NOMENCLATURE_GEN!H35)</f>
        <v>800</v>
      </c>
      <c r="I35" s="26">
        <f>IF(NOMENCLATURE_GEN!I35="","",NOMENCLATURE_GEN!I35)</f>
        <v>10000</v>
      </c>
      <c r="J35" s="56">
        <f>IF(NOMENCLATURE_GEN!J35="","",NOMENCLATURE_GEN!J35)</f>
        <v>20</v>
      </c>
      <c r="K35" s="12">
        <f t="shared" si="4"/>
        <v>15</v>
      </c>
      <c r="L35" s="627">
        <v>15</v>
      </c>
      <c r="M35" s="109" t="str">
        <f>IFERROR(VLOOKUP(H35,données!$AC$4:$AL$15,MATCH(F35,données!$AC$2:$AL$2,0),FALSE),"inexistant")</f>
        <v>TBE0800007</v>
      </c>
      <c r="N35" s="12">
        <v>5</v>
      </c>
      <c r="O35" s="627">
        <v>6</v>
      </c>
      <c r="P35" s="551" t="s">
        <v>570</v>
      </c>
      <c r="Q35" s="111"/>
      <c r="R35" s="630"/>
      <c r="S35" s="406" t="str">
        <f>IFERROR(VLOOKUP(H35,données!$AC$30:$AL$41,MATCH(F35,données!$AC$2:$AL$2,0),FALSE),"inexistant")</f>
        <v>Inexistant</v>
      </c>
      <c r="T35" s="637" t="str">
        <f>NOMENCLATURE_GEN!AB35</f>
        <v>0-180</v>
      </c>
      <c r="U35" s="545">
        <v>1000</v>
      </c>
      <c r="V35" s="9">
        <f t="shared" si="5"/>
        <v>10</v>
      </c>
      <c r="W35" s="33">
        <v>5</v>
      </c>
      <c r="X35" s="11"/>
    </row>
    <row r="36" spans="1:24" s="8" customFormat="1" ht="39.950000000000003" customHeight="1">
      <c r="A36" s="3"/>
      <c r="B36" s="25" t="str">
        <f>IF(NOMENCLATURE_GEN!B36="","",NOMENCLATURE_GEN!B36)</f>
        <v/>
      </c>
      <c r="C36" s="243" t="str">
        <f>IF(NOMENCLATURE_GEN!C36="","",NOMENCLATURE_GEN!C36)</f>
        <v/>
      </c>
      <c r="D36" s="4">
        <f>IF(NOMENCLATURE_GEN!D36="","",NOMENCLATURE_GEN!D36)</f>
        <v>124</v>
      </c>
      <c r="E36" s="4" t="str">
        <f ca="1">IF(NOMENCLATURE_GEN!E36="","",NOMENCLATURE_GEN!E36)</f>
        <v>A</v>
      </c>
      <c r="F36" s="4" t="str">
        <f>IF(NOMENCLATURE_GEN!F36="","",NOMENCLATURE_GEN!F36)</f>
        <v>TBE</v>
      </c>
      <c r="G36" s="154" t="str">
        <f>IF(NOMENCLATURE_GEN!G36="","",NOMENCLATURE_GEN!G36)</f>
        <v>Convoyeur navette double sens de remplissage de la benne</v>
      </c>
      <c r="H36" s="26">
        <f>IF(NOMENCLATURE_GEN!H36="","",NOMENCLATURE_GEN!H36)</f>
        <v>800</v>
      </c>
      <c r="I36" s="26">
        <f>IF(NOMENCLATURE_GEN!I36="","",NOMENCLATURE_GEN!I36)</f>
        <v>3000</v>
      </c>
      <c r="J36" s="56">
        <f>IF(NOMENCLATURE_GEN!J36="","",NOMENCLATURE_GEN!J36)</f>
        <v>0</v>
      </c>
      <c r="K36" s="12">
        <f t="shared" si="4"/>
        <v>12</v>
      </c>
      <c r="L36" s="627">
        <v>8</v>
      </c>
      <c r="M36" s="109" t="str">
        <f>IFERROR(VLOOKUP(H36,données!$AC$4:$AL$15,MATCH(F36,données!$AC$2:$AL$2,0),FALSE),"inexistant")</f>
        <v>TBE0800007</v>
      </c>
      <c r="N36" s="12">
        <v>3</v>
      </c>
      <c r="O36" s="627">
        <v>2</v>
      </c>
      <c r="P36" s="84" t="str">
        <f>IFERROR(VLOOKUP(H36,données!$AC$17:$AL$28,MATCH(F36,données!$AC$2:$AL$2,0),FALSE),"inexistant")</f>
        <v>TBE0800008</v>
      </c>
      <c r="Q36" s="111"/>
      <c r="R36" s="630"/>
      <c r="S36" s="406" t="str">
        <f>IFERROR(VLOOKUP(H36,données!$AC$30:$AL$41,MATCH(F36,données!$AC$2:$AL$2,0),FALSE),"inexistant")</f>
        <v>Inexistant</v>
      </c>
      <c r="T36" s="637" t="str">
        <f>NOMENCLATURE_GEN!AB36</f>
        <v>30-180</v>
      </c>
      <c r="U36" s="545" t="s">
        <v>96</v>
      </c>
      <c r="V36" s="9">
        <f t="shared" si="5"/>
        <v>3</v>
      </c>
      <c r="W36" s="33">
        <v>9</v>
      </c>
      <c r="X36" s="11"/>
    </row>
    <row r="37" spans="1:24" s="8" customFormat="1" ht="39.950000000000003" customHeight="1">
      <c r="A37" s="3"/>
      <c r="B37" s="25" t="str">
        <f>IF(NOMENCLATURE_GEN!B37="","",NOMENCLATURE_GEN!B37)</f>
        <v/>
      </c>
      <c r="C37" s="243" t="str">
        <f>IF(NOMENCLATURE_GEN!C37="","",NOMENCLATURE_GEN!C37)</f>
        <v/>
      </c>
      <c r="D37" s="4">
        <f>IF(NOMENCLATURE_GEN!D37="","",NOMENCLATURE_GEN!D37)</f>
        <v>125</v>
      </c>
      <c r="E37" s="4" t="str">
        <f ca="1">IF(NOMENCLATURE_GEN!E37="","",NOMENCLATURE_GEN!E37)</f>
        <v>A</v>
      </c>
      <c r="F37" s="4" t="str">
        <f>IF(NOMENCLATURE_GEN!F37="","",NOMENCLATURE_GEN!F37)</f>
        <v>CBA</v>
      </c>
      <c r="G37" s="154" t="str">
        <f>IF(NOMENCLATURE_GEN!G37="","",NOMENCLATURE_GEN!G37)</f>
        <v>Convoyeur de reprise des refus 30-180mm sous snf</v>
      </c>
      <c r="H37" s="26">
        <f>IF(NOMENCLATURE_GEN!H37="","",NOMENCLATURE_GEN!H37)</f>
        <v>1000</v>
      </c>
      <c r="I37" s="26">
        <f>IF(NOMENCLATURE_GEN!I37="","",NOMENCLATURE_GEN!I37)</f>
        <v>7500</v>
      </c>
      <c r="J37" s="56">
        <f>IF(NOMENCLATURE_GEN!J37="","",NOMENCLATURE_GEN!J37)</f>
        <v>14</v>
      </c>
      <c r="K37" s="12">
        <f t="shared" si="4"/>
        <v>14</v>
      </c>
      <c r="L37" s="627">
        <v>11</v>
      </c>
      <c r="M37" s="109" t="str">
        <f>IFERROR(VLOOKUP(H37,données!$AC$4:$AL$15,MATCH(F37,données!$AC$2:$AL$2,0),FALSE),"inexistant")</f>
        <v>CBA1000020</v>
      </c>
      <c r="N37" s="12">
        <v>4</v>
      </c>
      <c r="O37" s="627">
        <v>4</v>
      </c>
      <c r="P37" s="84" t="str">
        <f>IFERROR(VLOOKUP(H37,données!$AC$17:$AL$28,MATCH(F37,données!$AC$2:$AL$2,0),FALSE),"inexistant")</f>
        <v>CBA1000008</v>
      </c>
      <c r="Q37" s="110">
        <f>2*K37</f>
        <v>28</v>
      </c>
      <c r="R37" s="627">
        <f t="shared" ref="R37:R38" si="6">2*L37</f>
        <v>22</v>
      </c>
      <c r="S37" s="406" t="str">
        <f>IFERROR(VLOOKUP(H37,données!$AC$30:$AL$41,MATCH(F37,données!$AC$2:$AL$2,0),FALSE),"inexistant")</f>
        <v>CBA0000175</v>
      </c>
      <c r="T37" s="637" t="str">
        <f>NOMENCLATURE_GEN!AB37</f>
        <v>30-180</v>
      </c>
      <c r="U37" s="545">
        <v>1500</v>
      </c>
      <c r="V37" s="9">
        <f t="shared" si="5"/>
        <v>8</v>
      </c>
      <c r="W37" s="10">
        <v>6</v>
      </c>
      <c r="X37" s="11"/>
    </row>
    <row r="38" spans="1:24" s="8" customFormat="1" ht="39.950000000000003" customHeight="1">
      <c r="A38" s="3"/>
      <c r="B38" s="25" t="str">
        <f>IF(NOMENCLATURE_GEN!B38="","",NOMENCLATURE_GEN!B38)</f>
        <v/>
      </c>
      <c r="C38" s="243" t="str">
        <f>IF(NOMENCLATURE_GEN!C38="","",NOMENCLATURE_GEN!C38)</f>
        <v/>
      </c>
      <c r="D38" s="4">
        <f>IF(NOMENCLATURE_GEN!D38="","",NOMENCLATURE_GEN!D38)</f>
        <v>126</v>
      </c>
      <c r="E38" s="4" t="str">
        <f ca="1">IF(NOMENCLATURE_GEN!E38="","",NOMENCLATURE_GEN!E38)</f>
        <v>A</v>
      </c>
      <c r="F38" s="4" t="str">
        <f>IF(NOMENCLATURE_GEN!F38="","",NOMENCLATURE_GEN!F38)</f>
        <v>CBA</v>
      </c>
      <c r="G38" s="154" t="str">
        <f>IF(NOMENCLATURE_GEN!G38="","",NOMENCLATURE_GEN!G38)</f>
        <v>Convoyeur de transfert des refus 30-180mm</v>
      </c>
      <c r="H38" s="26">
        <f>IF(NOMENCLATURE_GEN!H38="","",NOMENCLATURE_GEN!H38)</f>
        <v>1000</v>
      </c>
      <c r="I38" s="26">
        <f>IF(NOMENCLATURE_GEN!I38="","",NOMENCLATURE_GEN!I38)</f>
        <v>14250</v>
      </c>
      <c r="J38" s="56">
        <f>IF(NOMENCLATURE_GEN!J38="","",NOMENCLATURE_GEN!J38)</f>
        <v>10</v>
      </c>
      <c r="K38" s="12">
        <f t="shared" si="4"/>
        <v>21</v>
      </c>
      <c r="L38" s="627">
        <v>23</v>
      </c>
      <c r="M38" s="109" t="str">
        <f>IFERROR(VLOOKUP(H38,données!$AC$4:$AL$15,MATCH(F38,données!$AC$2:$AL$2,0),FALSE),"inexistant")</f>
        <v>CBA1000020</v>
      </c>
      <c r="N38" s="12">
        <v>6</v>
      </c>
      <c r="O38" s="627">
        <v>6</v>
      </c>
      <c r="P38" s="84" t="str">
        <f>IFERROR(VLOOKUP(H38,données!$AC$17:$AL$28,MATCH(F38,données!$AC$2:$AL$2,0),FALSE),"inexistant")</f>
        <v>CBA1000008</v>
      </c>
      <c r="Q38" s="110">
        <f>2*K38</f>
        <v>42</v>
      </c>
      <c r="R38" s="627">
        <f t="shared" si="6"/>
        <v>46</v>
      </c>
      <c r="S38" s="406" t="str">
        <f>IFERROR(VLOOKUP(H38,données!$AC$30:$AL$41,MATCH(F38,données!$AC$2:$AL$2,0),FALSE),"inexistant")</f>
        <v>CBA0000175</v>
      </c>
      <c r="T38" s="637" t="str">
        <f>NOMENCLATURE_GEN!AB38</f>
        <v>30-180</v>
      </c>
      <c r="U38" s="545">
        <v>1500</v>
      </c>
      <c r="V38" s="9">
        <f t="shared" si="5"/>
        <v>15</v>
      </c>
      <c r="W38" s="10">
        <v>6</v>
      </c>
      <c r="X38" s="11"/>
    </row>
    <row r="39" spans="1:24" s="8" customFormat="1" ht="39.950000000000003" customHeight="1">
      <c r="A39" s="3"/>
      <c r="B39" s="25" t="str">
        <f>IF(NOMENCLATURE_GEN!B39="","",NOMENCLATURE_GEN!B39)</f>
        <v/>
      </c>
      <c r="C39" s="243" t="str">
        <f>IF(NOMENCLATURE_GEN!C39="","",NOMENCLATURE_GEN!C39)</f>
        <v/>
      </c>
      <c r="D39" s="4">
        <f>IF(NOMENCLATURE_GEN!D39="","",NOMENCLATURE_GEN!D39)</f>
        <v>127</v>
      </c>
      <c r="E39" s="4" t="str">
        <f ca="1">IF(NOMENCLATURE_GEN!E39="","",NOMENCLATURE_GEN!E39)</f>
        <v>A</v>
      </c>
      <c r="F39" s="4" t="str">
        <f>IF(NOMENCLATURE_GEN!F39="","",NOMENCLATURE_GEN!F39)</f>
        <v>TBE</v>
      </c>
      <c r="G39" s="154" t="str">
        <f>IF(NOMENCLATURE_GEN!G39="","",NOMENCLATURE_GEN!G39)</f>
        <v>Convoyeur de reprise des aciers 30-180mm</v>
      </c>
      <c r="H39" s="26">
        <f>IF(NOMENCLATURE_GEN!H39="","",NOMENCLATURE_GEN!H39)</f>
        <v>600</v>
      </c>
      <c r="I39" s="26">
        <f>IF(NOMENCLATURE_GEN!I39="","",NOMENCLATURE_GEN!I39)</f>
        <v>3750</v>
      </c>
      <c r="J39" s="56">
        <f>IF(NOMENCLATURE_GEN!J39="","",NOMENCLATURE_GEN!J39)</f>
        <v>10</v>
      </c>
      <c r="K39" s="12">
        <f t="shared" si="4"/>
        <v>10</v>
      </c>
      <c r="L39" s="627">
        <v>7</v>
      </c>
      <c r="M39" s="109" t="str">
        <f>IFERROR(VLOOKUP(H39,données!$AC$4:$AL$15,MATCH(F39,données!$AC$2:$AL$2,0),FALSE),"inexistant")</f>
        <v>TBE0600007</v>
      </c>
      <c r="N39" s="12">
        <v>3</v>
      </c>
      <c r="O39" s="627">
        <v>2</v>
      </c>
      <c r="P39" s="84" t="str">
        <f>IFERROR(VLOOKUP(H39,données!$AC$17:$AL$28,MATCH(F39,données!$AC$2:$AL$2,0),FALSE),"inexistant")</f>
        <v>TBE0600008</v>
      </c>
      <c r="Q39" s="111"/>
      <c r="R39" s="630"/>
      <c r="S39" s="406" t="str">
        <f>IFERROR(VLOOKUP(H39,données!$AC$30:$AL$41,MATCH(F39,données!$AC$2:$AL$2,0),FALSE),"inexistant")</f>
        <v>Inexistant</v>
      </c>
      <c r="T39" s="637" t="str">
        <f>NOMENCLATURE_GEN!AB39</f>
        <v>30-180</v>
      </c>
      <c r="U39" s="545">
        <v>1500</v>
      </c>
      <c r="V39" s="9">
        <f t="shared" si="5"/>
        <v>4</v>
      </c>
      <c r="W39" s="10">
        <v>6</v>
      </c>
      <c r="X39" s="11"/>
    </row>
    <row r="40" spans="1:24" s="8" customFormat="1" ht="39.950000000000003" hidden="1" customHeight="1">
      <c r="A40" s="3"/>
      <c r="B40" s="25" t="str">
        <f>IF(NOMENCLATURE_GEN!B40="","",NOMENCLATURE_GEN!B40)</f>
        <v/>
      </c>
      <c r="C40" s="243" t="str">
        <f>IF(NOMENCLATURE_GEN!C40="","",NOMENCLATURE_GEN!C40)</f>
        <v/>
      </c>
      <c r="D40" s="4">
        <f>IF(NOMENCLATURE_GEN!D40="","",NOMENCLATURE_GEN!D40)</f>
        <v>128</v>
      </c>
      <c r="E40" s="4" t="str">
        <f ca="1">IF(NOMENCLATURE_GEN!E40="","",NOMENCLATURE_GEN!E40)</f>
        <v>A</v>
      </c>
      <c r="F40" s="4" t="str">
        <f>IF(NOMENCLATURE_GEN!F40="","",NOMENCLATURE_GEN!F40)</f>
        <v>GLT</v>
      </c>
      <c r="G40" s="154" t="str">
        <f>IF(NOMENCLATURE_GEN!G40="","",NOMENCLATURE_GEN!G40)</f>
        <v>Goulotte by-pass (ligne de broyage des fe ou benne de stokage)</v>
      </c>
      <c r="H40" s="26" t="str">
        <f>IF(NOMENCLATURE_GEN!H40="","",NOMENCLATURE_GEN!H40)</f>
        <v/>
      </c>
      <c r="I40" s="26" t="str">
        <f>IF(NOMENCLATURE_GEN!I40="","",NOMENCLATURE_GEN!I40)</f>
        <v/>
      </c>
      <c r="J40" s="56" t="str">
        <f>IF(NOMENCLATURE_GEN!J40="","",NOMENCLATURE_GEN!J40)</f>
        <v/>
      </c>
      <c r="K40" s="12"/>
      <c r="L40" s="627"/>
      <c r="M40" s="109" t="str">
        <f>IFERROR(VLOOKUP(H40,données!$AC$4:$AL$15,MATCH(F40,données!$AC$2:$AL$2,0),FALSE),"inexistant")</f>
        <v>inexistant</v>
      </c>
      <c r="N40" s="12"/>
      <c r="O40" s="627"/>
      <c r="P40" s="84" t="str">
        <f>IFERROR(VLOOKUP(H40,données!$AC$17:$AL$28,MATCH(F40,données!$AC$2:$AL$2,0),FALSE),"inexistant")</f>
        <v>inexistant</v>
      </c>
      <c r="Q40" s="111"/>
      <c r="R40" s="630"/>
      <c r="S40" s="406" t="str">
        <f>IFERROR(VLOOKUP(H40,données!$AC$30:$AL$41,MATCH(F40,données!$AC$2:$AL$2,0),FALSE),"inexistant")</f>
        <v>inexistant</v>
      </c>
      <c r="T40" s="637" t="str">
        <f>NOMENCLATURE_GEN!AB40</f>
        <v>30-180</v>
      </c>
      <c r="U40" s="442"/>
      <c r="V40" s="9"/>
      <c r="W40" s="10"/>
      <c r="X40" s="11"/>
    </row>
    <row r="41" spans="1:24" s="8" customFormat="1" ht="39.950000000000003" hidden="1" customHeight="1">
      <c r="A41" s="3"/>
      <c r="B41" s="25" t="str">
        <f>IF(NOMENCLATURE_GEN!B41="","",NOMENCLATURE_GEN!B41)</f>
        <v>SUP</v>
      </c>
      <c r="C41" s="243" t="str">
        <f>IF(NOMENCLATURE_GEN!C41="","",NOMENCLATURE_GEN!C41)</f>
        <v/>
      </c>
      <c r="D41" s="4">
        <f>IF(NOMENCLATURE_GEN!D41="","",NOMENCLATURE_GEN!D41)</f>
        <v>129</v>
      </c>
      <c r="E41" s="4" t="str">
        <f ca="1">IF(NOMENCLATURE_GEN!E41="","",NOMENCLATURE_GEN!E41)</f>
        <v>A</v>
      </c>
      <c r="F41" s="4" t="str">
        <f>IF(NOMENCLATURE_GEN!F41="","",NOMENCLATURE_GEN!F41)</f>
        <v>TRE</v>
      </c>
      <c r="G41" s="154" t="str">
        <f>IF(NOMENCLATURE_GEN!G41="","",NOMENCLATURE_GEN!G41)</f>
        <v>Trémie des passants sous trommel secondaire</v>
      </c>
      <c r="H41" s="26" t="str">
        <f>IF(NOMENCLATURE_GEN!H41="","",NOMENCLATURE_GEN!H41)</f>
        <v/>
      </c>
      <c r="I41" s="26" t="str">
        <f>IF(NOMENCLATURE_GEN!I41="","",NOMENCLATURE_GEN!I41)</f>
        <v/>
      </c>
      <c r="J41" s="56" t="str">
        <f>IF(NOMENCLATURE_GEN!J41="","",NOMENCLATURE_GEN!J41)</f>
        <v/>
      </c>
      <c r="K41" s="12"/>
      <c r="L41" s="627"/>
      <c r="M41" s="109" t="str">
        <f>IFERROR(VLOOKUP(H41,données!$AC$4:$AL$15,MATCH(F41,données!$AC$2:$AL$2,0),FALSE),"inexistant")</f>
        <v>inexistant</v>
      </c>
      <c r="N41" s="12"/>
      <c r="O41" s="627"/>
      <c r="P41" s="84" t="str">
        <f>IFERROR(VLOOKUP(H41,données!$AC$17:$AL$28,MATCH(F41,données!$AC$2:$AL$2,0),FALSE),"inexistant")</f>
        <v>inexistant</v>
      </c>
      <c r="Q41" s="111"/>
      <c r="R41" s="630"/>
      <c r="S41" s="406" t="str">
        <f>IFERROR(VLOOKUP(H41,données!$AC$30:$AL$41,MATCH(F41,données!$AC$2:$AL$2,0),FALSE),"inexistant")</f>
        <v>inexistant</v>
      </c>
      <c r="T41" s="637" t="str">
        <f>NOMENCLATURE_GEN!AB41</f>
        <v>0-30</v>
      </c>
      <c r="U41" s="442"/>
      <c r="V41" s="9"/>
      <c r="W41" s="10"/>
      <c r="X41" s="11"/>
    </row>
    <row r="42" spans="1:24" s="8" customFormat="1" ht="39.950000000000003" customHeight="1">
      <c r="A42" s="3"/>
      <c r="B42" s="25" t="str">
        <f>IF(NOMENCLATURE_GEN!B42="","",NOMENCLATURE_GEN!B42)</f>
        <v/>
      </c>
      <c r="C42" s="243" t="str">
        <f>IF(NOMENCLATURE_GEN!C42="","",NOMENCLATURE_GEN!C42)</f>
        <v/>
      </c>
      <c r="D42" s="4">
        <f>IF(NOMENCLATURE_GEN!D42="","",NOMENCLATURE_GEN!D42)</f>
        <v>130</v>
      </c>
      <c r="E42" s="4" t="str">
        <f ca="1">IF(NOMENCLATURE_GEN!E42="","",NOMENCLATURE_GEN!E42)</f>
        <v>A</v>
      </c>
      <c r="F42" s="4" t="str">
        <f>IF(NOMENCLATURE_GEN!F42="","",NOMENCLATURE_GEN!F42)</f>
        <v>CBA</v>
      </c>
      <c r="G42" s="154" t="str">
        <f>IF(NOMENCLATURE_GEN!G42="","",NOMENCLATURE_GEN!G42)</f>
        <v>Convoyeur de reprise de la fraction 0-30mm</v>
      </c>
      <c r="H42" s="26">
        <f>IF(NOMENCLATURE_GEN!H42="","",NOMENCLATURE_GEN!H42)</f>
        <v>1400</v>
      </c>
      <c r="I42" s="26">
        <f>IF(NOMENCLATURE_GEN!I42="","",NOMENCLATURE_GEN!I42)</f>
        <v>7750</v>
      </c>
      <c r="J42" s="56">
        <f>IF(NOMENCLATURE_GEN!J42="","",NOMENCLATURE_GEN!J42)</f>
        <v>0</v>
      </c>
      <c r="K42" s="12">
        <f>V42+W42-X42</f>
        <v>25</v>
      </c>
      <c r="L42" s="627">
        <v>24</v>
      </c>
      <c r="M42" s="109" t="str">
        <f>IFERROR(VLOOKUP(H42,données!$AC$4:$AL$15,MATCH(F42,données!$AC$2:$AL$2,0),FALSE),"inexistant")</f>
        <v>CBA1400020</v>
      </c>
      <c r="N42" s="12">
        <v>4</v>
      </c>
      <c r="O42" s="627">
        <v>4</v>
      </c>
      <c r="P42" s="84" t="str">
        <f>IFERROR(VLOOKUP(H42,données!$AC$17:$AL$28,MATCH(F42,données!$AC$2:$AL$2,0),FALSE),"inexistant")</f>
        <v>CBA1400008</v>
      </c>
      <c r="Q42" s="110">
        <f>2*K42</f>
        <v>50</v>
      </c>
      <c r="R42" s="627">
        <f t="shared" ref="R42:R43" si="7">2*L42</f>
        <v>48</v>
      </c>
      <c r="S42" s="406" t="str">
        <f>IFERROR(VLOOKUP(H42,données!$AC$30:$AL$41,MATCH(F42,données!$AC$2:$AL$2,0),FALSE),"inexistant")</f>
        <v>CBA0000175</v>
      </c>
      <c r="T42" s="637" t="str">
        <f>NOMENCLATURE_GEN!AB42</f>
        <v>0-30</v>
      </c>
      <c r="U42" s="442">
        <v>5000</v>
      </c>
      <c r="V42" s="9">
        <f>ROUNDUP(I42/1000,0)</f>
        <v>8</v>
      </c>
      <c r="W42" s="10">
        <v>17</v>
      </c>
      <c r="X42" s="11"/>
    </row>
    <row r="43" spans="1:24" s="8" customFormat="1" ht="39.950000000000003" customHeight="1">
      <c r="A43" s="3"/>
      <c r="B43" s="25" t="str">
        <f>IF(NOMENCLATURE_GEN!B43="","",NOMENCLATURE_GEN!B43)</f>
        <v/>
      </c>
      <c r="C43" s="243" t="str">
        <f>IF(NOMENCLATURE_GEN!C43="","",NOMENCLATURE_GEN!C43)</f>
        <v/>
      </c>
      <c r="D43" s="4">
        <f>IF(NOMENCLATURE_GEN!D43="","",NOMENCLATURE_GEN!D43)</f>
        <v>131</v>
      </c>
      <c r="E43" s="4" t="str">
        <f ca="1">IF(NOMENCLATURE_GEN!E43="","",NOMENCLATURE_GEN!E43)</f>
        <v>A</v>
      </c>
      <c r="F43" s="4" t="str">
        <f>IF(NOMENCLATURE_GEN!F43="","",NOMENCLATURE_GEN!F43)</f>
        <v>CBA</v>
      </c>
      <c r="G43" s="154" t="str">
        <f>IF(NOMENCLATURE_GEN!G43="","",NOMENCLATURE_GEN!G43)</f>
        <v>Convoyeur de reprise de la fraction 0-30mm, tête inox + zone inox</v>
      </c>
      <c r="H43" s="26">
        <f>IF(NOMENCLATURE_GEN!H43="","",NOMENCLATURE_GEN!H43)</f>
        <v>1200</v>
      </c>
      <c r="I43" s="26">
        <f>IF(NOMENCLATURE_GEN!I43="","",NOMENCLATURE_GEN!I43)</f>
        <v>8250</v>
      </c>
      <c r="J43" s="56">
        <f>IF(NOMENCLATURE_GEN!J43="","",NOMENCLATURE_GEN!J43)</f>
        <v>19</v>
      </c>
      <c r="K43" s="12">
        <f>V43+W43-X43</f>
        <v>17</v>
      </c>
      <c r="L43" s="627">
        <v>11</v>
      </c>
      <c r="M43" s="109" t="str">
        <f>IFERROR(VLOOKUP(H43,données!$AC$4:$AL$15,MATCH(F43,données!$AC$2:$AL$2,0),FALSE),"inexistant")</f>
        <v>CBA1200020</v>
      </c>
      <c r="N43" s="12">
        <v>4</v>
      </c>
      <c r="O43" s="627">
        <v>4</v>
      </c>
      <c r="P43" s="84" t="str">
        <f>IFERROR(VLOOKUP(H43,données!$AC$17:$AL$28,MATCH(F43,données!$AC$2:$AL$2,0),FALSE),"inexistant")</f>
        <v>CBA1200008</v>
      </c>
      <c r="Q43" s="110">
        <f>2*K43</f>
        <v>34</v>
      </c>
      <c r="R43" s="627">
        <f t="shared" si="7"/>
        <v>22</v>
      </c>
      <c r="S43" s="406" t="str">
        <f>IFERROR(VLOOKUP(H43,données!$AC$30:$AL$41,MATCH(F43,données!$AC$2:$AL$2,0),FALSE),"inexistant")</f>
        <v>CBA0000175</v>
      </c>
      <c r="T43" s="637" t="str">
        <f>NOMENCLATURE_GEN!AB43</f>
        <v>0-30</v>
      </c>
      <c r="U43" s="442">
        <v>2000</v>
      </c>
      <c r="V43" s="9">
        <f>ROUNDUP(I43/1000,0)</f>
        <v>9</v>
      </c>
      <c r="W43" s="10">
        <v>8</v>
      </c>
      <c r="X43" s="11"/>
    </row>
    <row r="44" spans="1:24" s="8" customFormat="1" ht="39.950000000000003" hidden="1" customHeight="1">
      <c r="A44" s="3"/>
      <c r="B44" s="25" t="str">
        <f>IF(NOMENCLATURE_GEN!B44="","",NOMENCLATURE_GEN!B44)</f>
        <v/>
      </c>
      <c r="C44" s="243" t="str">
        <f>IF(NOMENCLATURE_GEN!C44="","",NOMENCLATURE_GEN!C44)</f>
        <v/>
      </c>
      <c r="D44" s="4">
        <f>IF(NOMENCLATURE_GEN!D44="","",NOMENCLATURE_GEN!D44)</f>
        <v>132</v>
      </c>
      <c r="E44" s="4" t="str">
        <f ca="1">IF(NOMENCLATURE_GEN!E44="","",NOMENCLATURE_GEN!E44)</f>
        <v>A</v>
      </c>
      <c r="F44" s="4" t="str">
        <f>IF(NOMENCLATURE_GEN!F44="","",NOMENCLATURE_GEN!F44)</f>
        <v>OVB</v>
      </c>
      <c r="G44" s="154" t="str">
        <f>IF(NOMENCLATURE_GEN!G44="","",NOMENCLATURE_GEN!G44)</f>
        <v>Séparateur magnétique à aimant permament</v>
      </c>
      <c r="H44" s="26">
        <f>IF(NOMENCLATURE_GEN!H44="","",NOMENCLATURE_GEN!H44)</f>
        <v>1200</v>
      </c>
      <c r="I44" s="26">
        <f>IF(NOMENCLATURE_GEN!I44="","",NOMENCLATURE_GEN!I44)</f>
        <v>1200</v>
      </c>
      <c r="J44" s="56" t="str">
        <f>IF(NOMENCLATURE_GEN!J44="","",NOMENCLATURE_GEN!J44)</f>
        <v/>
      </c>
      <c r="K44" s="12"/>
      <c r="L44" s="627"/>
      <c r="M44" s="109" t="str">
        <f>IFERROR(VLOOKUP(H44,données!$AC$4:$AL$15,MATCH(F44,données!$AC$2:$AL$2,0),FALSE),"inexistant")</f>
        <v>inexistant</v>
      </c>
      <c r="N44" s="12"/>
      <c r="O44" s="627"/>
      <c r="P44" s="84" t="str">
        <f>IFERROR(VLOOKUP(H44,données!$AC$17:$AL$28,MATCH(F44,données!$AC$2:$AL$2,0),FALSE),"inexistant")</f>
        <v>inexistant</v>
      </c>
      <c r="Q44" s="111"/>
      <c r="R44" s="630"/>
      <c r="S44" s="406" t="str">
        <f>IFERROR(VLOOKUP(H44,données!$AC$30:$AL$41,MATCH(F44,données!$AC$2:$AL$2,0),FALSE),"inexistant")</f>
        <v>inexistant</v>
      </c>
      <c r="T44" s="637" t="str">
        <f>NOMENCLATURE_GEN!AB44</f>
        <v>0-30</v>
      </c>
      <c r="U44" s="442"/>
      <c r="V44" s="9"/>
      <c r="W44" s="10"/>
      <c r="X44" s="11"/>
    </row>
    <row r="45" spans="1:24" s="8" customFormat="1" ht="39.950000000000003" hidden="1" customHeight="1">
      <c r="A45" s="3"/>
      <c r="B45" s="25" t="str">
        <f>IF(NOMENCLATURE_GEN!B45="","",NOMENCLATURE_GEN!B45)</f>
        <v/>
      </c>
      <c r="C45" s="243" t="str">
        <f>IF(NOMENCLATURE_GEN!C45="","",NOMENCLATURE_GEN!C45)</f>
        <v/>
      </c>
      <c r="D45" s="4">
        <f>IF(NOMENCLATURE_GEN!D45="","",NOMENCLATURE_GEN!D45)</f>
        <v>133</v>
      </c>
      <c r="E45" s="4" t="str">
        <f ca="1">IF(NOMENCLATURE_GEN!E45="","",NOMENCLATURE_GEN!E45)</f>
        <v>A</v>
      </c>
      <c r="F45" s="4" t="str">
        <f>IF(NOMENCLATURE_GEN!F45="","",NOMENCLATURE_GEN!F45)</f>
        <v>PMP</v>
      </c>
      <c r="G45" s="154" t="str">
        <f>IF(NOMENCLATURE_GEN!G45="","",NOMENCLATURE_GEN!G45)</f>
        <v>Poulie magnétique</v>
      </c>
      <c r="H45" s="26">
        <f>IF(NOMENCLATURE_GEN!H45="","",NOMENCLATURE_GEN!H45)</f>
        <v>1200</v>
      </c>
      <c r="I45" s="26" t="str">
        <f>IF(NOMENCLATURE_GEN!I45="","",NOMENCLATURE_GEN!I45)</f>
        <v/>
      </c>
      <c r="J45" s="56" t="str">
        <f>IF(NOMENCLATURE_GEN!J45="","",NOMENCLATURE_GEN!J45)</f>
        <v/>
      </c>
      <c r="K45" s="12"/>
      <c r="L45" s="627"/>
      <c r="M45" s="109" t="str">
        <f>IFERROR(VLOOKUP(H45,données!$AC$4:$AL$15,MATCH(F45,données!$AC$2:$AL$2,0),FALSE),"inexistant")</f>
        <v>inexistant</v>
      </c>
      <c r="N45" s="12"/>
      <c r="O45" s="627"/>
      <c r="P45" s="84" t="str">
        <f>IFERROR(VLOOKUP(H45,données!$AC$17:$AL$28,MATCH(F45,données!$AC$2:$AL$2,0),FALSE),"inexistant")</f>
        <v>inexistant</v>
      </c>
      <c r="Q45" s="111"/>
      <c r="R45" s="630"/>
      <c r="S45" s="406" t="str">
        <f>IFERROR(VLOOKUP(H45,données!$AC$30:$AL$41,MATCH(F45,données!$AC$2:$AL$2,0),FALSE),"inexistant")</f>
        <v>inexistant</v>
      </c>
      <c r="T45" s="637" t="str">
        <f>NOMENCLATURE_GEN!AB45</f>
        <v>0-30</v>
      </c>
      <c r="U45" s="442"/>
      <c r="V45" s="9"/>
      <c r="W45" s="10"/>
      <c r="X45" s="11"/>
    </row>
    <row r="46" spans="1:24" s="8" customFormat="1" ht="39.950000000000003" hidden="1" customHeight="1">
      <c r="A46" s="3"/>
      <c r="B46" s="25" t="str">
        <f>IF(NOMENCLATURE_GEN!B46="","",NOMENCLATURE_GEN!B46)</f>
        <v/>
      </c>
      <c r="C46" s="243" t="str">
        <f>IF(NOMENCLATURE_GEN!C46="","",NOMENCLATURE_GEN!C46)</f>
        <v/>
      </c>
      <c r="D46" s="4">
        <f>IF(NOMENCLATURE_GEN!D46="","",NOMENCLATURE_GEN!D46)</f>
        <v>134</v>
      </c>
      <c r="E46" s="4" t="str">
        <f ca="1">IF(NOMENCLATURE_GEN!E46="","",NOMENCLATURE_GEN!E46)</f>
        <v>A</v>
      </c>
      <c r="F46" s="4" t="str">
        <f>IF(NOMENCLATURE_GEN!F46="","",NOMENCLATURE_GEN!F46)</f>
        <v>SNF</v>
      </c>
      <c r="G46" s="154" t="str">
        <f>IF(NOMENCLATURE_GEN!G46="","",NOMENCLATURE_GEN!G46)</f>
        <v>Séparateur de non ferreux type SMAR - ROUE POLAIRE</v>
      </c>
      <c r="H46" s="26">
        <f>IF(NOMENCLATURE_GEN!H46="","",NOMENCLATURE_GEN!H46)</f>
        <v>1200</v>
      </c>
      <c r="I46" s="26">
        <f>IF(NOMENCLATURE_GEN!I46="","",NOMENCLATURE_GEN!I46)</f>
        <v>2500</v>
      </c>
      <c r="J46" s="56" t="str">
        <f>IF(NOMENCLATURE_GEN!J46="","",NOMENCLATURE_GEN!J46)</f>
        <v/>
      </c>
      <c r="K46" s="12"/>
      <c r="L46" s="627"/>
      <c r="M46" s="109" t="str">
        <f>IFERROR(VLOOKUP(H46,données!$AC$4:$AL$15,MATCH(F46,données!$AC$2:$AL$2,0),FALSE),"inexistant")</f>
        <v>inexistant</v>
      </c>
      <c r="N46" s="12"/>
      <c r="O46" s="627"/>
      <c r="P46" s="84" t="str">
        <f>IFERROR(VLOOKUP(H46,données!$AC$17:$AL$28,MATCH(F46,données!$AC$2:$AL$2,0),FALSE),"inexistant")</f>
        <v>inexistant</v>
      </c>
      <c r="Q46" s="111"/>
      <c r="R46" s="630"/>
      <c r="S46" s="406" t="str">
        <f>IFERROR(VLOOKUP(H46,données!$AC$30:$AL$41,MATCH(F46,données!$AC$2:$AL$2,0),FALSE),"inexistant")</f>
        <v>inexistant</v>
      </c>
      <c r="T46" s="637" t="str">
        <f>NOMENCLATURE_GEN!AB46</f>
        <v>0-30</v>
      </c>
      <c r="U46" s="442"/>
      <c r="V46" s="9"/>
      <c r="W46" s="10"/>
      <c r="X46" s="11"/>
    </row>
    <row r="47" spans="1:24" s="8" customFormat="1" ht="39.950000000000003" hidden="1" customHeight="1">
      <c r="A47" s="3"/>
      <c r="B47" s="25" t="str">
        <f>IF(NOMENCLATURE_GEN!B47="","",NOMENCLATURE_GEN!B47)</f>
        <v/>
      </c>
      <c r="C47" s="243" t="str">
        <f>IF(NOMENCLATURE_GEN!C47="","",NOMENCLATURE_GEN!C47)</f>
        <v/>
      </c>
      <c r="D47" s="4">
        <f>IF(NOMENCLATURE_GEN!D47="","",NOMENCLATURE_GEN!D47)</f>
        <v>134</v>
      </c>
      <c r="E47" s="4" t="str">
        <f ca="1">IF(NOMENCLATURE_GEN!E47="","",NOMENCLATURE_GEN!E47)</f>
        <v>B</v>
      </c>
      <c r="F47" s="4" t="str">
        <f>IF(NOMENCLATURE_GEN!F47="","",NOMENCLATURE_GEN!F47)</f>
        <v>SNF</v>
      </c>
      <c r="G47" s="154" t="str">
        <f>IF(NOMENCLATURE_GEN!G47="","",NOMENCLATURE_GEN!G47)</f>
        <v>Séparateur de non ferreux type SMAR - CONVOYEUR</v>
      </c>
      <c r="H47" s="26" t="str">
        <f>IF(NOMENCLATURE_GEN!H47="","",NOMENCLATURE_GEN!H47)</f>
        <v/>
      </c>
      <c r="I47" s="26" t="str">
        <f>IF(NOMENCLATURE_GEN!I47="","",NOMENCLATURE_GEN!I47)</f>
        <v/>
      </c>
      <c r="J47" s="56" t="str">
        <f>IF(NOMENCLATURE_GEN!J47="","",NOMENCLATURE_GEN!J47)</f>
        <v/>
      </c>
      <c r="K47" s="12"/>
      <c r="L47" s="627"/>
      <c r="M47" s="109" t="str">
        <f>IFERROR(VLOOKUP(H47,données!$AC$4:$AL$15,MATCH(F47,données!$AC$2:$AL$2,0),FALSE),"inexistant")</f>
        <v>inexistant</v>
      </c>
      <c r="N47" s="12"/>
      <c r="O47" s="627"/>
      <c r="P47" s="84" t="str">
        <f>IFERROR(VLOOKUP(H47,données!$AC$17:$AL$28,MATCH(F47,données!$AC$2:$AL$2,0),FALSE),"inexistant")</f>
        <v>inexistant</v>
      </c>
      <c r="Q47" s="111"/>
      <c r="R47" s="630"/>
      <c r="S47" s="406" t="str">
        <f>IFERROR(VLOOKUP(H47,données!$AC$30:$AL$41,MATCH(F47,données!$AC$2:$AL$2,0),FALSE),"inexistant")</f>
        <v>inexistant</v>
      </c>
      <c r="T47" s="637" t="str">
        <f>NOMENCLATURE_GEN!AB47</f>
        <v>0-30</v>
      </c>
      <c r="U47" s="442"/>
      <c r="V47" s="9"/>
      <c r="W47" s="10"/>
      <c r="X47" s="11"/>
    </row>
    <row r="48" spans="1:24" s="8" customFormat="1" ht="39.950000000000003" customHeight="1">
      <c r="A48" s="3"/>
      <c r="B48" s="25" t="str">
        <f>IF(NOMENCLATURE_GEN!B48="","",NOMENCLATURE_GEN!B48)</f>
        <v/>
      </c>
      <c r="C48" s="243" t="str">
        <f>IF(NOMENCLATURE_GEN!C48="","",NOMENCLATURE_GEN!C48)</f>
        <v/>
      </c>
      <c r="D48" s="4">
        <f>IF(NOMENCLATURE_GEN!D48="","",NOMENCLATURE_GEN!D48)</f>
        <v>135</v>
      </c>
      <c r="E48" s="4" t="str">
        <f ca="1">IF(NOMENCLATURE_GEN!E48="","",NOMENCLATURE_GEN!E48)</f>
        <v>A</v>
      </c>
      <c r="F48" s="4" t="str">
        <f>IF(NOMENCLATURE_GEN!F48="","",NOMENCLATURE_GEN!F48)</f>
        <v>TBE</v>
      </c>
      <c r="G48" s="154" t="str">
        <f>IF(NOMENCLATURE_GEN!G48="","",NOMENCLATURE_GEN!G48)</f>
        <v>Convoyeur de reprise des non ferreux</v>
      </c>
      <c r="H48" s="26">
        <f>IF(NOMENCLATURE_GEN!H48="","",NOMENCLATURE_GEN!H48)</f>
        <v>600</v>
      </c>
      <c r="I48" s="26">
        <f>IF(NOMENCLATURE_GEN!I48="","",NOMENCLATURE_GEN!I48)</f>
        <v>3750</v>
      </c>
      <c r="J48" s="56">
        <f>IF(NOMENCLATURE_GEN!J48="","",NOMENCLATURE_GEN!J48)</f>
        <v>0</v>
      </c>
      <c r="K48" s="12">
        <f>V48+W48-X48</f>
        <v>10</v>
      </c>
      <c r="L48" s="627">
        <v>9</v>
      </c>
      <c r="M48" s="109" t="str">
        <f>IFERROR(VLOOKUP(H48,données!$AC$4:$AL$15,MATCH(F48,données!$AC$2:$AL$2,0),FALSE),"inexistant")</f>
        <v>TBE0600007</v>
      </c>
      <c r="N48" s="12">
        <v>3</v>
      </c>
      <c r="O48" s="627">
        <v>2</v>
      </c>
      <c r="P48" s="84" t="str">
        <f>IFERROR(VLOOKUP(H48,données!$AC$17:$AL$28,MATCH(F48,données!$AC$2:$AL$2,0),FALSE),"inexistant")</f>
        <v>TBE0600008</v>
      </c>
      <c r="Q48" s="111"/>
      <c r="R48" s="630"/>
      <c r="S48" s="406" t="str">
        <f>IFERROR(VLOOKUP(H48,données!$AC$30:$AL$41,MATCH(F48,données!$AC$2:$AL$2,0),FALSE),"inexistant")</f>
        <v>Inexistant</v>
      </c>
      <c r="T48" s="637" t="str">
        <f>NOMENCLATURE_GEN!AB48</f>
        <v>0-30</v>
      </c>
      <c r="U48" s="442">
        <v>1500</v>
      </c>
      <c r="V48" s="9">
        <f>ROUNDUP(I48/1000,0)</f>
        <v>4</v>
      </c>
      <c r="W48" s="10">
        <v>6</v>
      </c>
      <c r="X48" s="11"/>
    </row>
    <row r="49" spans="1:24" s="8" customFormat="1" ht="39.950000000000003" hidden="1" customHeight="1">
      <c r="A49" s="3"/>
      <c r="B49" s="25" t="str">
        <f>IF(NOMENCLATURE_GEN!B49="","",NOMENCLATURE_GEN!B49)</f>
        <v>SUP</v>
      </c>
      <c r="C49" s="243" t="str">
        <f>IF(NOMENCLATURE_GEN!C49="","",NOMENCLATURE_GEN!C49)</f>
        <v/>
      </c>
      <c r="D49" s="4">
        <f>IF(NOMENCLATURE_GEN!D49="","",NOMENCLATURE_GEN!D49)</f>
        <v>136</v>
      </c>
      <c r="E49" s="4" t="str">
        <f ca="1">IF(NOMENCLATURE_GEN!E49="","",NOMENCLATURE_GEN!E49)</f>
        <v>A</v>
      </c>
      <c r="F49" s="4" t="str">
        <f>IF(NOMENCLATURE_GEN!F49="","",NOMENCLATURE_GEN!F49)</f>
        <v>CON</v>
      </c>
      <c r="G49" s="154" t="str">
        <f>IF(NOMENCLATURE_GEN!G49="","",NOMENCLATURE_GEN!G49)</f>
        <v>Cone de répartition du flux 0-30mm sous SNF</v>
      </c>
      <c r="H49" s="26" t="str">
        <f>IF(NOMENCLATURE_GEN!H49="","",NOMENCLATURE_GEN!H49)</f>
        <v/>
      </c>
      <c r="I49" s="26" t="str">
        <f>IF(NOMENCLATURE_GEN!I49="","",NOMENCLATURE_GEN!I49)</f>
        <v/>
      </c>
      <c r="J49" s="56" t="str">
        <f>IF(NOMENCLATURE_GEN!J49="","",NOMENCLATURE_GEN!J49)</f>
        <v/>
      </c>
      <c r="K49" s="12"/>
      <c r="L49" s="627"/>
      <c r="M49" s="109" t="str">
        <f>IFERROR(VLOOKUP(H49,données!$AC$4:$AL$15,MATCH(F49,données!$AC$2:$AL$2,0),FALSE),"inexistant")</f>
        <v>inexistant</v>
      </c>
      <c r="N49" s="12"/>
      <c r="O49" s="627"/>
      <c r="P49" s="84" t="str">
        <f>IFERROR(VLOOKUP(H49,données!$AC$17:$AL$28,MATCH(F49,données!$AC$2:$AL$2,0),FALSE),"inexistant")</f>
        <v>inexistant</v>
      </c>
      <c r="Q49" s="111"/>
      <c r="R49" s="630"/>
      <c r="S49" s="406" t="str">
        <f>IFERROR(VLOOKUP(H49,données!$AC$30:$AL$41,MATCH(F49,données!$AC$2:$AL$2,0),FALSE),"inexistant")</f>
        <v>inexistant</v>
      </c>
      <c r="T49" s="637" t="str">
        <f>NOMENCLATURE_GEN!AB49</f>
        <v>0-30</v>
      </c>
      <c r="U49" s="442"/>
      <c r="V49" s="9"/>
      <c r="W49" s="10"/>
      <c r="X49" s="11"/>
    </row>
    <row r="50" spans="1:24" s="8" customFormat="1" ht="39.950000000000003" customHeight="1">
      <c r="A50" s="3"/>
      <c r="B50" s="25" t="str">
        <f>IF(NOMENCLATURE_GEN!B50="","",NOMENCLATURE_GEN!B50)</f>
        <v/>
      </c>
      <c r="C50" s="243" t="str">
        <f>IF(NOMENCLATURE_GEN!C50="","",NOMENCLATURE_GEN!C50)</f>
        <v/>
      </c>
      <c r="D50" s="4">
        <f>IF(NOMENCLATURE_GEN!D50="","",NOMENCLATURE_GEN!D50)</f>
        <v>137</v>
      </c>
      <c r="E50" s="4" t="str">
        <f ca="1">IF(NOMENCLATURE_GEN!E50="","",NOMENCLATURE_GEN!E50)</f>
        <v>A</v>
      </c>
      <c r="F50" s="4" t="str">
        <f>IF(NOMENCLATURE_GEN!F50="","",NOMENCLATURE_GEN!F50)</f>
        <v>CBA</v>
      </c>
      <c r="G50" s="154" t="str">
        <f>IF(NOMENCLATURE_GEN!G50="","",NOMENCLATURE_GEN!G50)</f>
        <v>Convoyeur de transfert de la fraction 0-30mm vers tapis balistique 1</v>
      </c>
      <c r="H50" s="26">
        <f>IF(NOMENCLATURE_GEN!H50="","",NOMENCLATURE_GEN!H50)</f>
        <v>1600</v>
      </c>
      <c r="I50" s="26">
        <f>IF(NOMENCLATURE_GEN!I50="","",NOMENCLATURE_GEN!I50)</f>
        <v>21250</v>
      </c>
      <c r="J50" s="56">
        <f>IF(NOMENCLATURE_GEN!J50="","",NOMENCLATURE_GEN!J50)</f>
        <v>20</v>
      </c>
      <c r="K50" s="12">
        <f>V50+W50-X50</f>
        <v>27</v>
      </c>
      <c r="L50" s="627">
        <v>29</v>
      </c>
      <c r="M50" s="109" t="str">
        <f>IFERROR(VLOOKUP(H50,données!$AC$4:$AL$15,MATCH(F50,données!$AC$2:$AL$2,0),FALSE),"inexistant")</f>
        <v>CBA1600020</v>
      </c>
      <c r="N50" s="12">
        <v>8</v>
      </c>
      <c r="O50" s="627">
        <v>8</v>
      </c>
      <c r="P50" s="561" t="s">
        <v>568</v>
      </c>
      <c r="Q50" s="110">
        <f>2*K50</f>
        <v>54</v>
      </c>
      <c r="R50" s="627">
        <f>2*L50</f>
        <v>58</v>
      </c>
      <c r="S50" s="406" t="str">
        <f>IFERROR(VLOOKUP(H50,données!$AC$30:$AL$41,MATCH(F50,données!$AC$2:$AL$2,0),FALSE),"inexistant")</f>
        <v>CBA0000175</v>
      </c>
      <c r="T50" s="637" t="str">
        <f>NOMENCLATURE_GEN!AB50</f>
        <v>0-30</v>
      </c>
      <c r="U50" s="442">
        <v>1000</v>
      </c>
      <c r="V50" s="9">
        <f>ROUNDUP(I50/1000,0)</f>
        <v>22</v>
      </c>
      <c r="W50" s="10">
        <v>5</v>
      </c>
      <c r="X50" s="11"/>
    </row>
    <row r="51" spans="1:24" s="8" customFormat="1" ht="39.950000000000003" customHeight="1">
      <c r="A51" s="3"/>
      <c r="B51" s="25" t="str">
        <f>IF(NOMENCLATURE_GEN!B51="","",NOMENCLATURE_GEN!B51)</f>
        <v/>
      </c>
      <c r="C51" s="243" t="str">
        <f>IF(NOMENCLATURE_GEN!C51="","",NOMENCLATURE_GEN!C51)</f>
        <v/>
      </c>
      <c r="D51" s="4">
        <f>IF(NOMENCLATURE_GEN!D51="","",NOMENCLATURE_GEN!D51)</f>
        <v>138</v>
      </c>
      <c r="E51" s="4" t="str">
        <f ca="1">IF(NOMENCLATURE_GEN!E51="","",NOMENCLATURE_GEN!E51)</f>
        <v>A</v>
      </c>
      <c r="F51" s="4" t="str">
        <f>IF(NOMENCLATURE_GEN!F51="","",NOMENCLATURE_GEN!F51)</f>
        <v>BAL</v>
      </c>
      <c r="G51" s="154" t="str">
        <f>IF(NOMENCLATURE_GEN!G51="","",NOMENCLATURE_GEN!G51)</f>
        <v>Tapis balistique simple</v>
      </c>
      <c r="H51" s="26">
        <f>IF(NOMENCLATURE_GEN!H51="","",NOMENCLATURE_GEN!H51)</f>
        <v>1800</v>
      </c>
      <c r="I51" s="26">
        <f>IF(NOMENCLATURE_GEN!I51="","",NOMENCLATURE_GEN!I51)</f>
        <v>2500</v>
      </c>
      <c r="J51" s="56">
        <f>IF(NOMENCLATURE_GEN!J51="","",NOMENCLATURE_GEN!J51)</f>
        <v>0</v>
      </c>
      <c r="K51" s="12"/>
      <c r="L51" s="627"/>
      <c r="M51" s="109" t="str">
        <f>IFERROR(VLOOKUP(H51,données!$AC$4:$AL$15,MATCH(F51,données!$AC$2:$AL$2,0),FALSE),"inexistant")</f>
        <v>inexistant</v>
      </c>
      <c r="N51" s="12">
        <v>1</v>
      </c>
      <c r="O51" s="627"/>
      <c r="P51" s="84" t="s">
        <v>216</v>
      </c>
      <c r="Q51" s="111"/>
      <c r="R51" s="630"/>
      <c r="S51" s="406" t="str">
        <f>IFERROR(VLOOKUP(H51,données!$AC$30:$AL$41,MATCH(F51,données!$AC$2:$AL$2,0),FALSE),"inexistant")</f>
        <v>inexistant</v>
      </c>
      <c r="T51" s="637" t="str">
        <f>NOMENCLATURE_GEN!AB51</f>
        <v>0-30</v>
      </c>
      <c r="U51" s="442"/>
      <c r="V51" s="9"/>
      <c r="W51" s="10"/>
      <c r="X51" s="11"/>
    </row>
    <row r="52" spans="1:24" s="8" customFormat="1" ht="39.950000000000003" customHeight="1">
      <c r="A52" s="3"/>
      <c r="B52" s="25" t="str">
        <f>IF(NOMENCLATURE_GEN!B52="","",NOMENCLATURE_GEN!B52)</f>
        <v/>
      </c>
      <c r="C52" s="243" t="str">
        <f>IF(NOMENCLATURE_GEN!C52="","",NOMENCLATURE_GEN!C52)</f>
        <v/>
      </c>
      <c r="D52" s="4">
        <f>IF(NOMENCLATURE_GEN!D52="","",NOMENCLATURE_GEN!D52)</f>
        <v>139</v>
      </c>
      <c r="E52" s="4" t="str">
        <f ca="1">IF(NOMENCLATURE_GEN!E52="","",NOMENCLATURE_GEN!E52)</f>
        <v>A</v>
      </c>
      <c r="F52" s="4" t="str">
        <f>IF(NOMENCLATURE_GEN!F52="","",NOMENCLATURE_GEN!F52)</f>
        <v>CBA</v>
      </c>
      <c r="G52" s="154" t="str">
        <f>IF(NOMENCLATURE_GEN!G52="","",NOMENCLATURE_GEN!G52)</f>
        <v>Convoyeur de reprise des légers et transfert vers crible trampoline</v>
      </c>
      <c r="H52" s="26">
        <f>IF(NOMENCLATURE_GEN!H52="","",NOMENCLATURE_GEN!H52)</f>
        <v>1600</v>
      </c>
      <c r="I52" s="26">
        <f>IF(NOMENCLATURE_GEN!I52="","",NOMENCLATURE_GEN!I52)</f>
        <v>11500</v>
      </c>
      <c r="J52" s="56">
        <f>IF(NOMENCLATURE_GEN!J52="","",NOMENCLATURE_GEN!J52)</f>
        <v>23</v>
      </c>
      <c r="K52" s="12">
        <f>V52+W52-X52</f>
        <v>18</v>
      </c>
      <c r="L52" s="627">
        <v>16</v>
      </c>
      <c r="M52" s="109" t="str">
        <f>IFERROR(VLOOKUP(H52,données!$AC$4:$AL$15,MATCH(F52,données!$AC$2:$AL$2,0),FALSE),"inexistant")</f>
        <v>CBA1600020</v>
      </c>
      <c r="N52" s="12">
        <v>5</v>
      </c>
      <c r="O52" s="627">
        <v>5</v>
      </c>
      <c r="P52" s="551" t="s">
        <v>568</v>
      </c>
      <c r="Q52" s="110">
        <f>2*K52</f>
        <v>36</v>
      </c>
      <c r="R52" s="627">
        <f>2*L52</f>
        <v>32</v>
      </c>
      <c r="S52" s="406" t="str">
        <f>IFERROR(VLOOKUP(H52,données!$AC$30:$AL$41,MATCH(F52,données!$AC$2:$AL$2,0),FALSE),"inexistant")</f>
        <v>CBA0000175</v>
      </c>
      <c r="T52" s="637" t="str">
        <f>NOMENCLATURE_GEN!AB52</f>
        <v>0-30</v>
      </c>
      <c r="U52" s="442">
        <v>1500</v>
      </c>
      <c r="V52" s="9">
        <f>ROUNDUP(I52/1000,0)</f>
        <v>12</v>
      </c>
      <c r="W52" s="10">
        <v>6</v>
      </c>
      <c r="X52" s="11"/>
    </row>
    <row r="53" spans="1:24" s="8" customFormat="1" ht="39.950000000000003" hidden="1" customHeight="1">
      <c r="A53" s="3"/>
      <c r="B53" s="25" t="str">
        <f>IF(NOMENCLATURE_GEN!B53="","",NOMENCLATURE_GEN!B53)</f>
        <v>SUP</v>
      </c>
      <c r="C53" s="243" t="str">
        <f>IF(NOMENCLATURE_GEN!C53="","",NOMENCLATURE_GEN!C53)</f>
        <v/>
      </c>
      <c r="D53" s="4">
        <f>IF(NOMENCLATURE_GEN!D53="","",NOMENCLATURE_GEN!D53)</f>
        <v>140</v>
      </c>
      <c r="E53" s="4" t="str">
        <f ca="1">IF(NOMENCLATURE_GEN!E53="","",NOMENCLATURE_GEN!E53)</f>
        <v>A</v>
      </c>
      <c r="F53" s="4" t="str">
        <f>IF(NOMENCLATURE_GEN!F53="","",NOMENCLATURE_GEN!F53)</f>
        <v>CON</v>
      </c>
      <c r="G53" s="154" t="str">
        <f>IF(NOMENCLATURE_GEN!G53="","",NOMENCLATURE_GEN!G53)</f>
        <v>Cone de répartition du flux 0-30mm en entrée du liwell</v>
      </c>
      <c r="H53" s="26" t="str">
        <f>IF(NOMENCLATURE_GEN!H53="","",NOMENCLATURE_GEN!H53)</f>
        <v/>
      </c>
      <c r="I53" s="26" t="str">
        <f>IF(NOMENCLATURE_GEN!I53="","",NOMENCLATURE_GEN!I53)</f>
        <v/>
      </c>
      <c r="J53" s="56" t="str">
        <f>IF(NOMENCLATURE_GEN!J53="","",NOMENCLATURE_GEN!J53)</f>
        <v/>
      </c>
      <c r="K53" s="12"/>
      <c r="L53" s="627"/>
      <c r="M53" s="109" t="str">
        <f>IFERROR(VLOOKUP(H53,données!$AC$4:$AL$15,MATCH(F53,données!$AC$2:$AL$2,0),FALSE),"inexistant")</f>
        <v>inexistant</v>
      </c>
      <c r="N53" s="12"/>
      <c r="O53" s="627"/>
      <c r="P53" s="84" t="str">
        <f>IFERROR(VLOOKUP(H53,données!$AC$17:$AL$28,MATCH(F53,données!$AC$2:$AL$2,0),FALSE),"inexistant")</f>
        <v>inexistant</v>
      </c>
      <c r="Q53" s="111"/>
      <c r="R53" s="630"/>
      <c r="S53" s="406" t="str">
        <f>IFERROR(VLOOKUP(H53,données!$AC$30:$AL$41,MATCH(F53,données!$AC$2:$AL$2,0),FALSE),"inexistant")</f>
        <v>inexistant</v>
      </c>
      <c r="T53" s="637" t="str">
        <f>NOMENCLATURE_GEN!AB53</f>
        <v>0-30</v>
      </c>
      <c r="U53" s="442"/>
      <c r="V53" s="9"/>
      <c r="W53" s="10"/>
      <c r="X53" s="11"/>
    </row>
    <row r="54" spans="1:24" s="8" customFormat="1" ht="39.950000000000003" hidden="1" customHeight="1">
      <c r="A54" s="3"/>
      <c r="B54" s="25" t="str">
        <f>IF(NOMENCLATURE_GEN!B54="","",NOMENCLATURE_GEN!B54)</f>
        <v/>
      </c>
      <c r="C54" s="243" t="str">
        <f>IF(NOMENCLATURE_GEN!C54="","",NOMENCLATURE_GEN!C54)</f>
        <v/>
      </c>
      <c r="D54" s="4">
        <f>IF(NOMENCLATURE_GEN!D54="","",NOMENCLATURE_GEN!D54)</f>
        <v>141</v>
      </c>
      <c r="E54" s="4" t="str">
        <f ca="1">IF(NOMENCLATURE_GEN!E54="","",NOMENCLATURE_GEN!E54)</f>
        <v>A</v>
      </c>
      <c r="F54" s="4" t="str">
        <f>IF(NOMENCLATURE_GEN!F54="","",NOMENCLATURE_GEN!F54)</f>
        <v>CRI</v>
      </c>
      <c r="G54" s="154" t="str">
        <f>IF(NOMENCLATURE_GEN!G54="","",NOMENCLATURE_GEN!G54)</f>
        <v>Crible trampoline maille 10mm</v>
      </c>
      <c r="H54" s="26">
        <f>IF(NOMENCLATURE_GEN!H54="","",NOMENCLATURE_GEN!H54)</f>
        <v>2000</v>
      </c>
      <c r="I54" s="26">
        <f>IF(NOMENCLATURE_GEN!I54="","",NOMENCLATURE_GEN!I54)</f>
        <v>8850</v>
      </c>
      <c r="J54" s="56" t="str">
        <f>IF(NOMENCLATURE_GEN!J54="","",NOMENCLATURE_GEN!J54)</f>
        <v/>
      </c>
      <c r="K54" s="12"/>
      <c r="L54" s="627"/>
      <c r="M54" s="109" t="str">
        <f>IFERROR(VLOOKUP(H54,données!$AC$4:$AL$15,MATCH(F54,données!$AC$2:$AL$2,0),FALSE),"inexistant")</f>
        <v>inexistant</v>
      </c>
      <c r="N54" s="12"/>
      <c r="O54" s="627"/>
      <c r="P54" s="84" t="str">
        <f>IFERROR(VLOOKUP(H54,données!$AC$17:$AL$28,MATCH(F54,données!$AC$2:$AL$2,0),FALSE),"inexistant")</f>
        <v>inexistant</v>
      </c>
      <c r="Q54" s="111"/>
      <c r="R54" s="630"/>
      <c r="S54" s="406" t="str">
        <f>IFERROR(VLOOKUP(H54,données!$AC$30:$AL$41,MATCH(F54,données!$AC$2:$AL$2,0),FALSE),"inexistant")</f>
        <v>inexistant</v>
      </c>
      <c r="T54" s="637" t="str">
        <f>NOMENCLATURE_GEN!AB54</f>
        <v>0-30</v>
      </c>
      <c r="U54" s="442"/>
      <c r="V54" s="9"/>
      <c r="W54" s="10"/>
      <c r="X54" s="11"/>
    </row>
    <row r="55" spans="1:24" s="8" customFormat="1" ht="39.950000000000003" hidden="1" customHeight="1">
      <c r="A55" s="3"/>
      <c r="B55" s="25" t="str">
        <f>IF(NOMENCLATURE_GEN!B55="","",NOMENCLATURE_GEN!B55)</f>
        <v>SUP</v>
      </c>
      <c r="C55" s="243" t="str">
        <f>IF(NOMENCLATURE_GEN!C55="","",NOMENCLATURE_GEN!C55)</f>
        <v/>
      </c>
      <c r="D55" s="4">
        <f>IF(NOMENCLATURE_GEN!D55="","",NOMENCLATURE_GEN!D55)</f>
        <v>142</v>
      </c>
      <c r="E55" s="4" t="str">
        <f ca="1">IF(NOMENCLATURE_GEN!E55="","",NOMENCLATURE_GEN!E55)</f>
        <v>A</v>
      </c>
      <c r="F55" s="4" t="str">
        <f>IF(NOMENCLATURE_GEN!F55="","",NOMENCLATURE_GEN!F55)</f>
        <v>TRE</v>
      </c>
      <c r="G55" s="154" t="str">
        <f>IF(NOMENCLATURE_GEN!G55="","",NOMENCLATURE_GEN!G55)</f>
        <v>Trémie des passants sous crible trampoline</v>
      </c>
      <c r="H55" s="26">
        <f>IF(NOMENCLATURE_GEN!H55="","",NOMENCLATURE_GEN!H55)</f>
        <v>2000</v>
      </c>
      <c r="I55" s="26">
        <f>IF(NOMENCLATURE_GEN!I55="","",NOMENCLATURE_GEN!I55)</f>
        <v>8850</v>
      </c>
      <c r="J55" s="56" t="str">
        <f>IF(NOMENCLATURE_GEN!J55="","",NOMENCLATURE_GEN!J55)</f>
        <v/>
      </c>
      <c r="K55" s="12"/>
      <c r="L55" s="627"/>
      <c r="M55" s="109" t="str">
        <f>IFERROR(VLOOKUP(H55,données!$AC$4:$AL$15,MATCH(F55,données!$AC$2:$AL$2,0),FALSE),"inexistant")</f>
        <v>inexistant</v>
      </c>
      <c r="N55" s="12"/>
      <c r="O55" s="627"/>
      <c r="P55" s="84" t="str">
        <f>IFERROR(VLOOKUP(H55,données!$AC$17:$AL$28,MATCH(F55,données!$AC$2:$AL$2,0),FALSE),"inexistant")</f>
        <v>inexistant</v>
      </c>
      <c r="Q55" s="111"/>
      <c r="R55" s="630"/>
      <c r="S55" s="406" t="str">
        <f>IFERROR(VLOOKUP(H55,données!$AC$30:$AL$41,MATCH(F55,données!$AC$2:$AL$2,0),FALSE),"inexistant")</f>
        <v>inexistant</v>
      </c>
      <c r="T55" s="637" t="str">
        <f>NOMENCLATURE_GEN!AB55</f>
        <v>0-8</v>
      </c>
      <c r="U55" s="442"/>
      <c r="V55" s="9"/>
      <c r="W55" s="10"/>
      <c r="X55" s="11"/>
    </row>
    <row r="56" spans="1:24" s="8" customFormat="1" ht="39.950000000000003" customHeight="1">
      <c r="A56" s="3"/>
      <c r="B56" s="25" t="str">
        <f>IF(NOMENCLATURE_GEN!B56="","",NOMENCLATURE_GEN!B56)</f>
        <v/>
      </c>
      <c r="C56" s="243" t="str">
        <f>IF(NOMENCLATURE_GEN!C56="","",NOMENCLATURE_GEN!C56)</f>
        <v/>
      </c>
      <c r="D56" s="4">
        <f>IF(NOMENCLATURE_GEN!D56="","",NOMENCLATURE_GEN!D56)</f>
        <v>143</v>
      </c>
      <c r="E56" s="4" t="str">
        <f ca="1">IF(NOMENCLATURE_GEN!E56="","",NOMENCLATURE_GEN!E56)</f>
        <v>A</v>
      </c>
      <c r="F56" s="4" t="str">
        <f>IF(NOMENCLATURE_GEN!F56="","",NOMENCLATURE_GEN!F56)</f>
        <v>CBA</v>
      </c>
      <c r="G56" s="154" t="str">
        <f>IF(NOMENCLATURE_GEN!G56="","",NOMENCLATURE_GEN!G56)</f>
        <v>Convoyeur de reprise du 0-8mm et alimentation du tapis balistique double</v>
      </c>
      <c r="H56" s="26">
        <f>IF(NOMENCLATURE_GEN!H56="","",NOMENCLATURE_GEN!H56)</f>
        <v>1800</v>
      </c>
      <c r="I56" s="26">
        <f>IF(NOMENCLATURE_GEN!I56="","",NOMENCLATURE_GEN!I56)</f>
        <v>11500</v>
      </c>
      <c r="J56" s="56">
        <f>IF(NOMENCLATURE_GEN!J56="","",NOMENCLATURE_GEN!J56)</f>
        <v>23</v>
      </c>
      <c r="K56" s="12">
        <f>V56+W56-X56</f>
        <v>45</v>
      </c>
      <c r="L56" s="627">
        <v>39</v>
      </c>
      <c r="M56" s="109" t="str">
        <f>IFERROR(VLOOKUP(H56,données!$AC$4:$AL$15,MATCH(F56,données!$AC$2:$AL$2,0),FALSE),"inexistant")</f>
        <v>CBA1800020</v>
      </c>
      <c r="N56" s="12">
        <v>5</v>
      </c>
      <c r="O56" s="627">
        <v>5</v>
      </c>
      <c r="P56" s="561" t="s">
        <v>569</v>
      </c>
      <c r="Q56" s="110">
        <f>2*K56</f>
        <v>90</v>
      </c>
      <c r="R56" s="627">
        <f>2*L56</f>
        <v>78</v>
      </c>
      <c r="S56" s="406" t="str">
        <f>IFERROR(VLOOKUP(H56,données!$AC$30:$AL$41,MATCH(F56,données!$AC$2:$AL$2,0),FALSE),"inexistant")</f>
        <v>CBA0000175</v>
      </c>
      <c r="T56" s="637" t="str">
        <f>NOMENCLATURE_GEN!AB56</f>
        <v>0-8</v>
      </c>
      <c r="U56" s="442">
        <v>11000</v>
      </c>
      <c r="V56" s="9">
        <f>ROUNDUP(I56/1000,0)</f>
        <v>12</v>
      </c>
      <c r="W56" s="10">
        <v>33</v>
      </c>
      <c r="X56" s="11"/>
    </row>
    <row r="57" spans="1:24" s="8" customFormat="1" ht="39.950000000000003" customHeight="1">
      <c r="A57" s="3"/>
      <c r="B57" s="25" t="str">
        <f>IF(NOMENCLATURE_GEN!B57="","",NOMENCLATURE_GEN!B57)</f>
        <v/>
      </c>
      <c r="C57" s="243" t="str">
        <f>IF(NOMENCLATURE_GEN!C57="","",NOMENCLATURE_GEN!C57)</f>
        <v/>
      </c>
      <c r="D57" s="4">
        <f>IF(NOMENCLATURE_GEN!D57="","",NOMENCLATURE_GEN!D57)</f>
        <v>144</v>
      </c>
      <c r="E57" s="4" t="str">
        <f ca="1">IF(NOMENCLATURE_GEN!E57="","",NOMENCLATURE_GEN!E57)</f>
        <v>A</v>
      </c>
      <c r="F57" s="4" t="str">
        <f>IF(NOMENCLATURE_GEN!F57="","",NOMENCLATURE_GEN!F57)</f>
        <v>BAL</v>
      </c>
      <c r="G57" s="154" t="str">
        <f>IF(NOMENCLATURE_GEN!G57="","",NOMENCLATURE_GEN!G57)</f>
        <v>Tapis balistique double MOTEUR N°1</v>
      </c>
      <c r="H57" s="26">
        <f>IF(NOMENCLATURE_GEN!H57="","",NOMENCLATURE_GEN!H57)</f>
        <v>1800</v>
      </c>
      <c r="I57" s="26">
        <f>IF(NOMENCLATURE_GEN!I57="","",NOMENCLATURE_GEN!I57)</f>
        <v>2500</v>
      </c>
      <c r="J57" s="56">
        <f>IF(NOMENCLATURE_GEN!J57="","",NOMENCLATURE_GEN!J57)</f>
        <v>0</v>
      </c>
      <c r="K57" s="12"/>
      <c r="L57" s="627"/>
      <c r="M57" s="109" t="str">
        <f>IFERROR(VLOOKUP(H57,données!$AC$4:$AL$15,MATCH(F57,données!$AC$2:$AL$2,0),FALSE),"inexistant")</f>
        <v>inexistant</v>
      </c>
      <c r="N57" s="12">
        <v>1</v>
      </c>
      <c r="O57" s="627"/>
      <c r="P57" s="84" t="s">
        <v>216</v>
      </c>
      <c r="Q57" s="111"/>
      <c r="R57" s="630"/>
      <c r="S57" s="406" t="str">
        <f>IFERROR(VLOOKUP(H57,données!$AC$30:$AL$41,MATCH(F57,données!$AC$2:$AL$2,0),FALSE),"inexistant")</f>
        <v>inexistant</v>
      </c>
      <c r="T57" s="637" t="str">
        <f>NOMENCLATURE_GEN!AB57</f>
        <v>0-8</v>
      </c>
      <c r="U57" s="442"/>
      <c r="V57" s="9"/>
      <c r="W57" s="10"/>
      <c r="X57" s="11"/>
    </row>
    <row r="58" spans="1:24" s="8" customFormat="1" ht="39.950000000000003" customHeight="1">
      <c r="A58" s="3"/>
      <c r="B58" s="25" t="str">
        <f>IF(NOMENCLATURE_GEN!B58="","",NOMENCLATURE_GEN!B58)</f>
        <v/>
      </c>
      <c r="C58" s="243" t="str">
        <f>IF(NOMENCLATURE_GEN!C58="","",NOMENCLATURE_GEN!C58)</f>
        <v/>
      </c>
      <c r="D58" s="4">
        <f>IF(NOMENCLATURE_GEN!D58="","",NOMENCLATURE_GEN!D58)</f>
        <v>144</v>
      </c>
      <c r="E58" s="4" t="str">
        <f ca="1">IF(NOMENCLATURE_GEN!E58="","",NOMENCLATURE_GEN!E58)</f>
        <v>B</v>
      </c>
      <c r="F58" s="4" t="str">
        <f>IF(NOMENCLATURE_GEN!F58="","",NOMENCLATURE_GEN!F58)</f>
        <v>BAL</v>
      </c>
      <c r="G58" s="154" t="str">
        <f>IF(NOMENCLATURE_GEN!G58="","",NOMENCLATURE_GEN!G58)</f>
        <v>Tapis balistique double MOTEUR N°2</v>
      </c>
      <c r="H58" s="26">
        <f>IF(NOMENCLATURE_GEN!H58="","",NOMENCLATURE_GEN!H58)</f>
        <v>1800</v>
      </c>
      <c r="I58" s="26">
        <f>IF(NOMENCLATURE_GEN!I58="","",NOMENCLATURE_GEN!I58)</f>
        <v>2500</v>
      </c>
      <c r="J58" s="56">
        <f>IF(NOMENCLATURE_GEN!J58="","",NOMENCLATURE_GEN!J58)</f>
        <v>0</v>
      </c>
      <c r="K58" s="12"/>
      <c r="L58" s="627"/>
      <c r="M58" s="109" t="str">
        <f>IFERROR(VLOOKUP(H58,données!$AC$4:$AL$15,MATCH(F58,données!$AC$2:$AL$2,0),FALSE),"inexistant")</f>
        <v>inexistant</v>
      </c>
      <c r="N58" s="12">
        <v>1</v>
      </c>
      <c r="O58" s="627"/>
      <c r="P58" s="84" t="s">
        <v>216</v>
      </c>
      <c r="Q58" s="111"/>
      <c r="R58" s="630"/>
      <c r="S58" s="406" t="str">
        <f>IFERROR(VLOOKUP(H58,données!$AC$30:$AL$41,MATCH(F58,données!$AC$2:$AL$2,0),FALSE),"inexistant")</f>
        <v>inexistant</v>
      </c>
      <c r="T58" s="637" t="str">
        <f>NOMENCLATURE_GEN!AB58</f>
        <v>0-8</v>
      </c>
      <c r="U58" s="442"/>
      <c r="V58" s="9"/>
      <c r="W58" s="10"/>
      <c r="X58" s="11"/>
    </row>
    <row r="59" spans="1:24" s="8" customFormat="1" ht="39.950000000000003" customHeight="1">
      <c r="A59" s="3"/>
      <c r="B59" s="25" t="str">
        <f>IF(NOMENCLATURE_GEN!B59="","",NOMENCLATURE_GEN!B59)</f>
        <v/>
      </c>
      <c r="C59" s="243" t="str">
        <f>IF(NOMENCLATURE_GEN!C59="","",NOMENCLATURE_GEN!C59)</f>
        <v/>
      </c>
      <c r="D59" s="4">
        <f>IF(NOMENCLATURE_GEN!D59="","",NOMENCLATURE_GEN!D59)</f>
        <v>145</v>
      </c>
      <c r="E59" s="4" t="str">
        <f ca="1">IF(NOMENCLATURE_GEN!E59="","",NOMENCLATURE_GEN!E59)</f>
        <v>A</v>
      </c>
      <c r="F59" s="4" t="str">
        <f>IF(NOMENCLATURE_GEN!F59="","",NOMENCLATURE_GEN!F59)</f>
        <v>TBE</v>
      </c>
      <c r="G59" s="154" t="str">
        <f>IF(NOMENCLATURE_GEN!G59="","",NOMENCLATURE_GEN!G59)</f>
        <v>Convoyeur de reprise BY-PASS des lourds 0-8mm</v>
      </c>
      <c r="H59" s="26">
        <f>IF(NOMENCLATURE_GEN!H59="","",NOMENCLATURE_GEN!H59)</f>
        <v>800</v>
      </c>
      <c r="I59" s="26">
        <f>IF(NOMENCLATURE_GEN!I59="","",NOMENCLATURE_GEN!I59)</f>
        <v>3500</v>
      </c>
      <c r="J59" s="56">
        <f>IF(NOMENCLATURE_GEN!J59="","",NOMENCLATURE_GEN!J59)</f>
        <v>0</v>
      </c>
      <c r="K59" s="12">
        <f>V59+W59-X59</f>
        <v>15</v>
      </c>
      <c r="L59" s="627">
        <v>10</v>
      </c>
      <c r="M59" s="109" t="str">
        <f>IFERROR(VLOOKUP(H59,données!$AC$4:$AL$15,MATCH(F59,données!$AC$2:$AL$2,0),FALSE),"inexistant")</f>
        <v>TBE0800007</v>
      </c>
      <c r="N59" s="12">
        <v>3</v>
      </c>
      <c r="O59" s="627">
        <v>2</v>
      </c>
      <c r="P59" s="84" t="str">
        <f>IFERROR(VLOOKUP(H59,données!$AC$17:$AL$28,MATCH(F59,données!$AC$2:$AL$2,0),FALSE),"inexistant")</f>
        <v>TBE0800008</v>
      </c>
      <c r="Q59" s="111"/>
      <c r="R59" s="630"/>
      <c r="S59" s="406" t="str">
        <f>IFERROR(VLOOKUP(H59,données!$AC$30:$AL$41,MATCH(F59,données!$AC$2:$AL$2,0),FALSE),"inexistant")</f>
        <v>Inexistant</v>
      </c>
      <c r="T59" s="637" t="str">
        <f>NOMENCLATURE_GEN!AB59</f>
        <v>0-8</v>
      </c>
      <c r="U59" s="442">
        <v>3000</v>
      </c>
      <c r="V59" s="9">
        <f>ROUNDUP(I59/1000,0)</f>
        <v>4</v>
      </c>
      <c r="W59" s="10">
        <v>11</v>
      </c>
      <c r="X59" s="11"/>
    </row>
    <row r="60" spans="1:24" s="8" customFormat="1" ht="39.950000000000003" customHeight="1">
      <c r="A60" s="3"/>
      <c r="B60" s="25" t="str">
        <f>IF(NOMENCLATURE_GEN!B60="","",NOMENCLATURE_GEN!B60)</f>
        <v/>
      </c>
      <c r="C60" s="243" t="str">
        <f>IF(NOMENCLATURE_GEN!C60="","",NOMENCLATURE_GEN!C60)</f>
        <v/>
      </c>
      <c r="D60" s="4">
        <f>IF(NOMENCLATURE_GEN!D60="","",NOMENCLATURE_GEN!D60)</f>
        <v>146</v>
      </c>
      <c r="E60" s="4" t="str">
        <f ca="1">IF(NOMENCLATURE_GEN!E60="","",NOMENCLATURE_GEN!E60)</f>
        <v>A</v>
      </c>
      <c r="F60" s="4" t="str">
        <f>IF(NOMENCLATURE_GEN!F60="","",NOMENCLATURE_GEN!F60)</f>
        <v>TBE</v>
      </c>
      <c r="G60" s="154" t="str">
        <f>IF(NOMENCLATURE_GEN!G60="","",NOMENCLATURE_GEN!G60)</f>
        <v>Convoyeur de transfert des lourds 0-8mm</v>
      </c>
      <c r="H60" s="26">
        <f>IF(NOMENCLATURE_GEN!H60="","",NOMENCLATURE_GEN!H60)</f>
        <v>800</v>
      </c>
      <c r="I60" s="26">
        <f>IF(NOMENCLATURE_GEN!I60="","",NOMENCLATURE_GEN!I60)</f>
        <v>16750</v>
      </c>
      <c r="J60" s="56">
        <f>IF(NOMENCLATURE_GEN!J60="","",NOMENCLATURE_GEN!J60)</f>
        <v>6</v>
      </c>
      <c r="K60" s="12">
        <f>V60+W60-X60</f>
        <v>22</v>
      </c>
      <c r="L60" s="627">
        <v>33</v>
      </c>
      <c r="M60" s="109" t="str">
        <f>IFERROR(VLOOKUP(H60,données!$AC$4:$AL$15,MATCH(F60,données!$AC$2:$AL$2,0),FALSE),"inexistant")</f>
        <v>TBE0800007</v>
      </c>
      <c r="N60" s="12">
        <v>7</v>
      </c>
      <c r="O60" s="627">
        <v>7</v>
      </c>
      <c r="P60" s="84" t="str">
        <f>IFERROR(VLOOKUP(H60,données!$AC$17:$AL$28,MATCH(F60,données!$AC$2:$AL$2,0),FALSE),"inexistant")</f>
        <v>TBE0800008</v>
      </c>
      <c r="Q60" s="111"/>
      <c r="R60" s="630"/>
      <c r="S60" s="406" t="str">
        <f>IFERROR(VLOOKUP(H60,données!$AC$30:$AL$41,MATCH(F60,données!$AC$2:$AL$2,0),FALSE),"inexistant")</f>
        <v>Inexistant</v>
      </c>
      <c r="T60" s="637" t="str">
        <f>NOMENCLATURE_GEN!AB60</f>
        <v>0-30</v>
      </c>
      <c r="U60" s="442">
        <v>1000</v>
      </c>
      <c r="V60" s="9">
        <f>ROUNDUP(I60/1000,0)</f>
        <v>17</v>
      </c>
      <c r="W60" s="10">
        <v>5</v>
      </c>
      <c r="X60" s="11"/>
    </row>
    <row r="61" spans="1:24" s="8" customFormat="1" ht="39.950000000000003" customHeight="1">
      <c r="A61" s="3"/>
      <c r="B61" s="25" t="str">
        <f>IF(NOMENCLATURE_GEN!B61="","",NOMENCLATURE_GEN!B61)</f>
        <v/>
      </c>
      <c r="C61" s="243" t="str">
        <f>IF(NOMENCLATURE_GEN!C61="","",NOMENCLATURE_GEN!C61)</f>
        <v/>
      </c>
      <c r="D61" s="4">
        <f>IF(NOMENCLATURE_GEN!D61="","",NOMENCLATURE_GEN!D61)</f>
        <v>147</v>
      </c>
      <c r="E61" s="4" t="str">
        <f ca="1">IF(NOMENCLATURE_GEN!E61="","",NOMENCLATURE_GEN!E61)</f>
        <v>A</v>
      </c>
      <c r="F61" s="4" t="str">
        <f>IF(NOMENCLATURE_GEN!F61="","",NOMENCLATURE_GEN!F61)</f>
        <v>TBE</v>
      </c>
      <c r="G61" s="154" t="str">
        <f>IF(NOMENCLATURE_GEN!G61="","",NOMENCLATURE_GEN!G61)</f>
        <v>Convoyeur de transfert des lourds 0-8mm</v>
      </c>
      <c r="H61" s="26">
        <f>IF(NOMENCLATURE_GEN!H61="","",NOMENCLATURE_GEN!H61)</f>
        <v>800</v>
      </c>
      <c r="I61" s="26">
        <f>IF(NOMENCLATURE_GEN!I61="","",NOMENCLATURE_GEN!I61)</f>
        <v>12000</v>
      </c>
      <c r="J61" s="56">
        <f>IF(NOMENCLATURE_GEN!J61="","",NOMENCLATURE_GEN!J61)</f>
        <v>20</v>
      </c>
      <c r="K61" s="12">
        <f>V61+W61-X61</f>
        <v>20</v>
      </c>
      <c r="L61" s="627">
        <v>24</v>
      </c>
      <c r="M61" s="109" t="str">
        <f>IFERROR(VLOOKUP(H61,données!$AC$4:$AL$15,MATCH(F61,données!$AC$2:$AL$2,0),FALSE),"inexistant")</f>
        <v>TBE0800007</v>
      </c>
      <c r="N61" s="12">
        <v>5</v>
      </c>
      <c r="O61" s="627">
        <v>5</v>
      </c>
      <c r="P61" s="551" t="s">
        <v>570</v>
      </c>
      <c r="Q61" s="111"/>
      <c r="R61" s="630"/>
      <c r="S61" s="406" t="str">
        <f>IFERROR(VLOOKUP(H61,données!$AC$30:$AL$41,MATCH(F61,données!$AC$2:$AL$2,0),FALSE),"inexistant")</f>
        <v>Inexistant</v>
      </c>
      <c r="T61" s="637" t="str">
        <f>NOMENCLATURE_GEN!AB61</f>
        <v>0-30</v>
      </c>
      <c r="U61" s="442">
        <v>2000</v>
      </c>
      <c r="V61" s="9">
        <f>ROUNDUP(I61/1000,0)</f>
        <v>12</v>
      </c>
      <c r="W61" s="10">
        <v>8</v>
      </c>
      <c r="X61" s="11"/>
    </row>
    <row r="62" spans="1:24" s="8" customFormat="1" ht="39.950000000000003" customHeight="1">
      <c r="A62" s="3"/>
      <c r="B62" s="25" t="str">
        <f>IF(NOMENCLATURE_GEN!B62="","",NOMENCLATURE_GEN!B62)</f>
        <v/>
      </c>
      <c r="C62" s="243" t="str">
        <f>IF(NOMENCLATURE_GEN!C62="","",NOMENCLATURE_GEN!C62)</f>
        <v/>
      </c>
      <c r="D62" s="4">
        <f>IF(NOMENCLATURE_GEN!D62="","",NOMENCLATURE_GEN!D62)</f>
        <v>148</v>
      </c>
      <c r="E62" s="4" t="str">
        <f ca="1">IF(NOMENCLATURE_GEN!E62="","",NOMENCLATURE_GEN!E62)</f>
        <v>A</v>
      </c>
      <c r="F62" s="4" t="str">
        <f>IF(NOMENCLATURE_GEN!F62="","",NOMENCLATURE_GEN!F62)</f>
        <v>TBE</v>
      </c>
      <c r="G62" s="154" t="str">
        <f>IF(NOMENCLATURE_GEN!G62="","",NOMENCLATURE_GEN!G62)</f>
        <v>Convoyeur rotatif double sens de mise en benne des refus lourds</v>
      </c>
      <c r="H62" s="26">
        <f>IF(NOMENCLATURE_GEN!H62="","",NOMENCLATURE_GEN!H62)</f>
        <v>800</v>
      </c>
      <c r="I62" s="26">
        <f>IF(NOMENCLATURE_GEN!I62="","",NOMENCLATURE_GEN!I62)</f>
        <v>5000</v>
      </c>
      <c r="J62" s="56">
        <f>IF(NOMENCLATURE_GEN!J62="","",NOMENCLATURE_GEN!J62)</f>
        <v>0</v>
      </c>
      <c r="K62" s="12">
        <f>V62+W62-X62</f>
        <v>10</v>
      </c>
      <c r="L62" s="627">
        <v>10</v>
      </c>
      <c r="M62" s="109" t="str">
        <f>IFERROR(VLOOKUP(H62,données!$AC$4:$AL$15,MATCH(F62,données!$AC$2:$AL$2,0),FALSE),"inexistant")</f>
        <v>TBE0800007</v>
      </c>
      <c r="N62" s="12">
        <v>3</v>
      </c>
      <c r="O62" s="627">
        <v>3</v>
      </c>
      <c r="P62" s="84" t="str">
        <f>IFERROR(VLOOKUP(H62,données!$AC$17:$AL$28,MATCH(F62,données!$AC$2:$AL$2,0),FALSE),"inexistant")</f>
        <v>TBE0800008</v>
      </c>
      <c r="Q62" s="111"/>
      <c r="R62" s="630"/>
      <c r="S62" s="406" t="str">
        <f>IFERROR(VLOOKUP(H62,données!$AC$30:$AL$41,MATCH(F62,données!$AC$2:$AL$2,0),FALSE),"inexistant")</f>
        <v>Inexistant</v>
      </c>
      <c r="T62" s="637" t="str">
        <f>NOMENCLATURE_GEN!AB62</f>
        <v>0-30</v>
      </c>
      <c r="U62" s="442">
        <v>1000</v>
      </c>
      <c r="V62" s="9">
        <f>ROUNDUP(I62/1000,0)</f>
        <v>5</v>
      </c>
      <c r="W62" s="10">
        <v>5</v>
      </c>
      <c r="X62" s="11"/>
    </row>
    <row r="63" spans="1:24" s="8" customFormat="1" ht="39.950000000000003" hidden="1" customHeight="1">
      <c r="A63" s="3"/>
      <c r="B63" s="25" t="str">
        <f>IF(NOMENCLATURE_GEN!B63="","",NOMENCLATURE_GEN!B63)</f>
        <v/>
      </c>
      <c r="C63" s="243" t="str">
        <f>IF(NOMENCLATURE_GEN!C63="","",NOMENCLATURE_GEN!C63)</f>
        <v/>
      </c>
      <c r="D63" s="4">
        <f>IF(NOMENCLATURE_GEN!D63="","",NOMENCLATURE_GEN!D63)</f>
        <v>149</v>
      </c>
      <c r="E63" s="4" t="str">
        <f ca="1">IF(NOMENCLATURE_GEN!E63="","",NOMENCLATURE_GEN!E63)</f>
        <v>A</v>
      </c>
      <c r="F63" s="4" t="str">
        <f>IF(NOMENCLATURE_GEN!F63="","",NOMENCLATURE_GEN!F63)</f>
        <v>COU</v>
      </c>
      <c r="G63" s="154" t="str">
        <f>IF(NOMENCLATURE_GEN!G63="","",NOMENCLATURE_GEN!G63)</f>
        <v>Couronne rotatif pour convoyeur de mise en tas</v>
      </c>
      <c r="H63" s="26">
        <f>IF(NOMENCLATURE_GEN!H63="","",NOMENCLATURE_GEN!H63)</f>
        <v>800</v>
      </c>
      <c r="I63" s="26">
        <f>IF(NOMENCLATURE_GEN!I63="","",NOMENCLATURE_GEN!I63)</f>
        <v>800</v>
      </c>
      <c r="J63" s="56" t="str">
        <f>IF(NOMENCLATURE_GEN!J63="","",NOMENCLATURE_GEN!J63)</f>
        <v/>
      </c>
      <c r="K63" s="12"/>
      <c r="L63" s="627"/>
      <c r="M63" s="109" t="str">
        <f>IFERROR(VLOOKUP(H63,données!$AC$4:$AL$15,MATCH(F63,données!$AC$2:$AL$2,0),FALSE),"inexistant")</f>
        <v>inexistant</v>
      </c>
      <c r="N63" s="12"/>
      <c r="O63" s="627"/>
      <c r="P63" s="84" t="str">
        <f>IFERROR(VLOOKUP(H63,données!$AC$17:$AL$28,MATCH(F63,données!$AC$2:$AL$2,0),FALSE),"inexistant")</f>
        <v>inexistant</v>
      </c>
      <c r="Q63" s="111"/>
      <c r="R63" s="630"/>
      <c r="S63" s="406" t="str">
        <f>IFERROR(VLOOKUP(H63,données!$AC$30:$AL$41,MATCH(F63,données!$AC$2:$AL$2,0),FALSE),"inexistant")</f>
        <v>inexistant</v>
      </c>
      <c r="T63" s="637" t="str">
        <f>NOMENCLATURE_GEN!AB63</f>
        <v>0-30</v>
      </c>
      <c r="U63" s="442"/>
      <c r="V63" s="9"/>
      <c r="W63" s="10"/>
      <c r="X63" s="11"/>
    </row>
    <row r="64" spans="1:24" s="8" customFormat="1" ht="39.950000000000003" customHeight="1">
      <c r="A64" s="3"/>
      <c r="B64" s="25" t="str">
        <f>IF(NOMENCLATURE_GEN!B64="","",NOMENCLATURE_GEN!B64)</f>
        <v/>
      </c>
      <c r="C64" s="243" t="str">
        <f>IF(NOMENCLATURE_GEN!C64="","",NOMENCLATURE_GEN!C64)</f>
        <v/>
      </c>
      <c r="D64" s="4">
        <f>IF(NOMENCLATURE_GEN!D64="","",NOMENCLATURE_GEN!D64)</f>
        <v>150</v>
      </c>
      <c r="E64" s="4" t="str">
        <f ca="1">IF(NOMENCLATURE_GEN!E64="","",NOMENCLATURE_GEN!E64)</f>
        <v>A</v>
      </c>
      <c r="F64" s="4" t="str">
        <f>IF(NOMENCLATURE_GEN!F64="","",NOMENCLATURE_GEN!F64)</f>
        <v>TBE</v>
      </c>
      <c r="G64" s="154" t="str">
        <f>IF(NOMENCLATURE_GEN!G64="","",NOMENCLATURE_GEN!G64)</f>
        <v>Convoyeur de reprise By-pass des refus du liwell</v>
      </c>
      <c r="H64" s="26">
        <f>IF(NOMENCLATURE_GEN!H64="","",NOMENCLATURE_GEN!H64)</f>
        <v>1000</v>
      </c>
      <c r="I64" s="26">
        <f>IF(NOMENCLATURE_GEN!I64="","",NOMENCLATURE_GEN!I64)</f>
        <v>5250</v>
      </c>
      <c r="J64" s="56">
        <f>IF(NOMENCLATURE_GEN!J64="","",NOMENCLATURE_GEN!J64)</f>
        <v>0</v>
      </c>
      <c r="K64" s="12">
        <f>V64+W64-X64</f>
        <v>15</v>
      </c>
      <c r="L64" s="627">
        <v>14</v>
      </c>
      <c r="M64" s="109" t="str">
        <f>IFERROR(VLOOKUP(H64,données!$AC$4:$AL$15,MATCH(F64,données!$AC$2:$AL$2,0),FALSE),"inexistant")</f>
        <v>TBE1000007</v>
      </c>
      <c r="N64" s="12">
        <v>3</v>
      </c>
      <c r="O64" s="627">
        <v>3</v>
      </c>
      <c r="P64" s="84" t="str">
        <f>IFERROR(VLOOKUP(H64,données!$AC$17:$AL$28,MATCH(F64,données!$AC$2:$AL$2,0),FALSE),"inexistant")</f>
        <v>TBE1000008</v>
      </c>
      <c r="Q64" s="111"/>
      <c r="R64" s="630"/>
      <c r="S64" s="406" t="str">
        <f>IFERROR(VLOOKUP(H64,données!$AC$30:$AL$41,MATCH(F64,données!$AC$2:$AL$2,0),FALSE),"inexistant")</f>
        <v>Inexistant</v>
      </c>
      <c r="T64" s="637" t="str">
        <f>NOMENCLATURE_GEN!AB64</f>
        <v>8-30</v>
      </c>
      <c r="U64" s="442">
        <v>2500</v>
      </c>
      <c r="V64" s="9">
        <f>ROUNDUP(I64/1000,0)</f>
        <v>6</v>
      </c>
      <c r="W64" s="10">
        <v>9</v>
      </c>
      <c r="X64" s="11"/>
    </row>
    <row r="65" spans="1:24" s="8" customFormat="1" ht="39.950000000000003" customHeight="1">
      <c r="A65" s="3"/>
      <c r="B65" s="25" t="str">
        <f>IF(NOMENCLATURE_GEN!B65="","",NOMENCLATURE_GEN!B65)</f>
        <v/>
      </c>
      <c r="C65" s="243" t="str">
        <f>IF(NOMENCLATURE_GEN!C65="","",NOMENCLATURE_GEN!C65)</f>
        <v/>
      </c>
      <c r="D65" s="4">
        <f>IF(NOMENCLATURE_GEN!D65="","",NOMENCLATURE_GEN!D65)</f>
        <v>151</v>
      </c>
      <c r="E65" s="4" t="str">
        <f ca="1">IF(NOMENCLATURE_GEN!E65="","",NOMENCLATURE_GEN!E65)</f>
        <v>A</v>
      </c>
      <c r="F65" s="4" t="str">
        <f>IF(NOMENCLATURE_GEN!F65="","",NOMENCLATURE_GEN!F65)</f>
        <v>TBE</v>
      </c>
      <c r="G65" s="154" t="str">
        <f>IF(NOMENCLATURE_GEN!G65="","",NOMENCLATURE_GEN!G65)</f>
        <v>Convoyeur de reprise By-pass des refus du balistique 1</v>
      </c>
      <c r="H65" s="26">
        <f>IF(NOMENCLATURE_GEN!H65="","",NOMENCLATURE_GEN!H65)</f>
        <v>1000</v>
      </c>
      <c r="I65" s="26">
        <f>IF(NOMENCLATURE_GEN!I65="","",NOMENCLATURE_GEN!I65)</f>
        <v>5250</v>
      </c>
      <c r="J65" s="56">
        <f>IF(NOMENCLATURE_GEN!J65="","",NOMENCLATURE_GEN!J65)</f>
        <v>0</v>
      </c>
      <c r="K65" s="12">
        <f>V65+W65-X65</f>
        <v>14</v>
      </c>
      <c r="L65" s="627">
        <v>15</v>
      </c>
      <c r="M65" s="109" t="str">
        <f>IFERROR(VLOOKUP(H65,données!$AC$4:$AL$15,MATCH(F65,données!$AC$2:$AL$2,0),FALSE),"inexistant")</f>
        <v>TBE1000007</v>
      </c>
      <c r="N65" s="12">
        <v>3</v>
      </c>
      <c r="O65" s="627">
        <v>3</v>
      </c>
      <c r="P65" s="84" t="str">
        <f>IFERROR(VLOOKUP(H65,données!$AC$17:$AL$28,MATCH(F65,données!$AC$2:$AL$2,0),FALSE),"inexistant")</f>
        <v>TBE1000008</v>
      </c>
      <c r="Q65" s="111"/>
      <c r="R65" s="630"/>
      <c r="S65" s="406" t="str">
        <f>IFERROR(VLOOKUP(H65,données!$AC$30:$AL$41,MATCH(F65,données!$AC$2:$AL$2,0),FALSE),"inexistant")</f>
        <v>Inexistant</v>
      </c>
      <c r="T65" s="637" t="str">
        <f>NOMENCLATURE_GEN!AB65</f>
        <v>0-30</v>
      </c>
      <c r="U65" s="442">
        <v>2000</v>
      </c>
      <c r="V65" s="9">
        <f>ROUNDUP(I65/1000,0)</f>
        <v>6</v>
      </c>
      <c r="W65" s="10">
        <v>8</v>
      </c>
      <c r="X65" s="11"/>
    </row>
    <row r="66" spans="1:24" s="8" customFormat="1" ht="39.950000000000003" customHeight="1">
      <c r="A66" s="3"/>
      <c r="B66" s="25" t="str">
        <f>IF(NOMENCLATURE_GEN!B66="","",NOMENCLATURE_GEN!B66)</f>
        <v/>
      </c>
      <c r="C66" s="243" t="str">
        <f>IF(NOMENCLATURE_GEN!C66="","",NOMENCLATURE_GEN!C66)</f>
        <v/>
      </c>
      <c r="D66" s="4">
        <f>IF(NOMENCLATURE_GEN!D66="","",NOMENCLATURE_GEN!D66)</f>
        <v>152</v>
      </c>
      <c r="E66" s="4" t="str">
        <f ca="1">IF(NOMENCLATURE_GEN!E66="","",NOMENCLATURE_GEN!E66)</f>
        <v>A</v>
      </c>
      <c r="F66" s="4" t="str">
        <f>IF(NOMENCLATURE_GEN!F66="","",NOMENCLATURE_GEN!F66)</f>
        <v>TBE</v>
      </c>
      <c r="G66" s="154" t="str">
        <f>IF(NOMENCLATURE_GEN!G66="","",NOMENCLATURE_GEN!G66)</f>
        <v>Convoyeur de transfert des refus vers module de sur-tri</v>
      </c>
      <c r="H66" s="26">
        <f>IF(NOMENCLATURE_GEN!H66="","",NOMENCLATURE_GEN!H66)</f>
        <v>1000</v>
      </c>
      <c r="I66" s="26">
        <f>IF(NOMENCLATURE_GEN!I66="","",NOMENCLATURE_GEN!I66)</f>
        <v>15000</v>
      </c>
      <c r="J66" s="56">
        <f>IF(NOMENCLATURE_GEN!J66="","",NOMENCLATURE_GEN!J66)</f>
        <v>8</v>
      </c>
      <c r="K66" s="12">
        <f>V66+W66-X66</f>
        <v>24</v>
      </c>
      <c r="L66" s="627">
        <v>26</v>
      </c>
      <c r="M66" s="109" t="str">
        <f>IFERROR(VLOOKUP(H66,données!$AC$4:$AL$15,MATCH(F66,données!$AC$2:$AL$2,0),FALSE),"inexistant")</f>
        <v>TBE1000007</v>
      </c>
      <c r="N66" s="12">
        <v>6</v>
      </c>
      <c r="O66" s="627">
        <v>6</v>
      </c>
      <c r="P66" s="84" t="str">
        <f>IFERROR(VLOOKUP(H66,données!$AC$17:$AL$28,MATCH(F66,données!$AC$2:$AL$2,0),FALSE),"inexistant")</f>
        <v>TBE1000008</v>
      </c>
      <c r="Q66" s="111"/>
      <c r="R66" s="630"/>
      <c r="S66" s="406" t="str">
        <f>IFERROR(VLOOKUP(H66,données!$AC$30:$AL$41,MATCH(F66,données!$AC$2:$AL$2,0),FALSE),"inexistant")</f>
        <v>Inexistant</v>
      </c>
      <c r="T66" s="637" t="str">
        <f>NOMENCLATURE_GEN!AB66</f>
        <v>0-30</v>
      </c>
      <c r="U66" s="442">
        <v>2500</v>
      </c>
      <c r="V66" s="9">
        <f>ROUNDUP(I66/1000,0)</f>
        <v>15</v>
      </c>
      <c r="W66" s="10">
        <v>9</v>
      </c>
      <c r="X66" s="11"/>
    </row>
    <row r="67" spans="1:24" s="8" customFormat="1" ht="39.950000000000003" customHeight="1">
      <c r="A67" s="3"/>
      <c r="B67" s="25" t="str">
        <f>IF(NOMENCLATURE_GEN!B67="","",NOMENCLATURE_GEN!B67)</f>
        <v/>
      </c>
      <c r="C67" s="243" t="str">
        <f>IF(NOMENCLATURE_GEN!C67="","",NOMENCLATURE_GEN!C67)</f>
        <v/>
      </c>
      <c r="D67" s="4">
        <f>IF(NOMENCLATURE_GEN!D67="","",NOMENCLATURE_GEN!D67)</f>
        <v>153</v>
      </c>
      <c r="E67" s="4" t="str">
        <f ca="1">IF(NOMENCLATURE_GEN!E67="","",NOMENCLATURE_GEN!E67)</f>
        <v>A</v>
      </c>
      <c r="F67" s="4" t="str">
        <f>IF(NOMENCLATURE_GEN!F67="","",NOMENCLATURE_GEN!F67)</f>
        <v>TBE</v>
      </c>
      <c r="G67" s="154" t="str">
        <f>IF(NOMENCLATURE_GEN!G67="","",NOMENCLATURE_GEN!G67)</f>
        <v>Convoyeur de transfert des refus vers module de sur-tri</v>
      </c>
      <c r="H67" s="26">
        <f>IF(NOMENCLATURE_GEN!H67="","",NOMENCLATURE_GEN!H67)</f>
        <v>1000</v>
      </c>
      <c r="I67" s="26">
        <f>IF(NOMENCLATURE_GEN!I67="","",NOMENCLATURE_GEN!I67)</f>
        <v>5000</v>
      </c>
      <c r="J67" s="56">
        <f>IF(NOMENCLATURE_GEN!J67="","",NOMENCLATURE_GEN!J67)</f>
        <v>18</v>
      </c>
      <c r="K67" s="12">
        <f>V67+W67-X67</f>
        <v>16</v>
      </c>
      <c r="L67" s="627">
        <v>14</v>
      </c>
      <c r="M67" s="109" t="str">
        <f>IFERROR(VLOOKUP(H67,données!$AC$4:$AL$15,MATCH(F67,données!$AC$2:$AL$2,0),FALSE),"inexistant")</f>
        <v>TBE1000007</v>
      </c>
      <c r="N67" s="12">
        <v>3</v>
      </c>
      <c r="O67" s="627">
        <v>3</v>
      </c>
      <c r="P67" s="551" t="s">
        <v>571</v>
      </c>
      <c r="Q67" s="111"/>
      <c r="R67" s="630"/>
      <c r="S67" s="406" t="str">
        <f>IFERROR(VLOOKUP(H67,données!$AC$30:$AL$41,MATCH(F67,données!$AC$2:$AL$2,0),FALSE),"inexistant")</f>
        <v>Inexistant</v>
      </c>
      <c r="T67" s="637" t="str">
        <f>NOMENCLATURE_GEN!AB67</f>
        <v>0-30</v>
      </c>
      <c r="U67" s="442">
        <v>3000</v>
      </c>
      <c r="V67" s="9">
        <f>ROUNDUP(I67/1000,0)</f>
        <v>5</v>
      </c>
      <c r="W67" s="10">
        <v>11</v>
      </c>
      <c r="X67" s="11"/>
    </row>
    <row r="68" spans="1:24" s="8" customFormat="1" ht="39.950000000000003" customHeight="1">
      <c r="A68" s="3"/>
      <c r="B68" s="25" t="str">
        <f>IF(NOMENCLATURE_GEN!B68="","",NOMENCLATURE_GEN!B68)</f>
        <v/>
      </c>
      <c r="C68" s="243" t="str">
        <f>IF(NOMENCLATURE_GEN!C68="","",NOMENCLATURE_GEN!C68)</f>
        <v/>
      </c>
      <c r="D68" s="4">
        <f>IF(NOMENCLATURE_GEN!D68="","",NOMENCLATURE_GEN!D68)</f>
        <v>154</v>
      </c>
      <c r="E68" s="4" t="str">
        <f ca="1">IF(NOMENCLATURE_GEN!E68="","",NOMENCLATURE_GEN!E68)</f>
        <v>A</v>
      </c>
      <c r="F68" s="4" t="str">
        <f>IF(NOMENCLATURE_GEN!F68="","",NOMENCLATURE_GEN!F68)</f>
        <v>TBE</v>
      </c>
      <c r="G68" s="154" t="str">
        <f>IF(NOMENCLATURE_GEN!G68="","",NOMENCLATURE_GEN!G68)</f>
        <v>Convoyeur de transfert des refus vers module de sur-tri</v>
      </c>
      <c r="H68" s="26">
        <f>IF(NOMENCLATURE_GEN!H68="","",NOMENCLATURE_GEN!H68)</f>
        <v>1000</v>
      </c>
      <c r="I68" s="26">
        <f>IF(NOMENCLATURE_GEN!I68="","",NOMENCLATURE_GEN!I68)</f>
        <v>26250</v>
      </c>
      <c r="J68" s="56">
        <f>IF(NOMENCLATURE_GEN!J68="","",NOMENCLATURE_GEN!J68)</f>
        <v>18</v>
      </c>
      <c r="K68" s="12">
        <f>V68+W68-X68</f>
        <v>33</v>
      </c>
      <c r="L68" s="627">
        <v>32</v>
      </c>
      <c r="M68" s="109" t="str">
        <f>IFERROR(VLOOKUP(H68,données!$AC$4:$AL$15,MATCH(F68,données!$AC$2:$AL$2,0),FALSE),"inexistant")</f>
        <v>TBE1000007</v>
      </c>
      <c r="N68" s="12">
        <v>10</v>
      </c>
      <c r="O68" s="627">
        <v>10</v>
      </c>
      <c r="P68" s="551" t="s">
        <v>571</v>
      </c>
      <c r="Q68" s="111"/>
      <c r="R68" s="630"/>
      <c r="S68" s="406" t="str">
        <f>IFERROR(VLOOKUP(H68,données!$AC$30:$AL$41,MATCH(F68,données!$AC$2:$AL$2,0),FALSE),"inexistant")</f>
        <v>Inexistant</v>
      </c>
      <c r="T68" s="637" t="str">
        <f>NOMENCLATURE_GEN!AB68</f>
        <v>0-30</v>
      </c>
      <c r="U68" s="442">
        <v>1500</v>
      </c>
      <c r="V68" s="9">
        <f>ROUNDUP(I68/1000,0)</f>
        <v>27</v>
      </c>
      <c r="W68" s="10">
        <v>6</v>
      </c>
      <c r="X68" s="11"/>
    </row>
    <row r="69" spans="1:24" s="8" customFormat="1" ht="39.950000000000003" hidden="1" customHeight="1">
      <c r="A69" s="3"/>
      <c r="B69" s="25" t="str">
        <f>IF(NOMENCLATURE_GEN!B69="","",NOMENCLATURE_GEN!B69)</f>
        <v/>
      </c>
      <c r="C69" s="243" t="str">
        <f>IF(NOMENCLATURE_GEN!C69="","",NOMENCLATURE_GEN!C69)</f>
        <v/>
      </c>
      <c r="D69" s="4">
        <f>IF(NOMENCLATURE_GEN!D69="","",NOMENCLATURE_GEN!D69)</f>
        <v>155</v>
      </c>
      <c r="E69" s="4" t="str">
        <f ca="1">IF(NOMENCLATURE_GEN!E69="","",NOMENCLATURE_GEN!E69)</f>
        <v>A</v>
      </c>
      <c r="F69" s="4" t="str">
        <f>IF(NOMENCLATURE_GEN!F69="","",NOMENCLATURE_GEN!F69)</f>
        <v>TFM</v>
      </c>
      <c r="G69" s="154" t="str">
        <f>IF(NOMENCLATURE_GEN!G69="","",NOMENCLATURE_GEN!G69)</f>
        <v>Table densimétrique FM150 - Moteur balourd</v>
      </c>
      <c r="H69" s="26" t="str">
        <f>IF(NOMENCLATURE_GEN!H69="","",NOMENCLATURE_GEN!H69)</f>
        <v/>
      </c>
      <c r="I69" s="26" t="str">
        <f>IF(NOMENCLATURE_GEN!I69="","",NOMENCLATURE_GEN!I69)</f>
        <v/>
      </c>
      <c r="J69" s="56" t="str">
        <f>IF(NOMENCLATURE_GEN!J69="","",NOMENCLATURE_GEN!J69)</f>
        <v/>
      </c>
      <c r="K69" s="12"/>
      <c r="L69" s="627"/>
      <c r="M69" s="109" t="str">
        <f>IFERROR(VLOOKUP(H69,données!$AC$4:$AL$15,MATCH(F69,données!$AC$2:$AL$2,0),FALSE),"inexistant")</f>
        <v>inexistant</v>
      </c>
      <c r="N69" s="12"/>
      <c r="O69" s="627"/>
      <c r="P69" s="84" t="str">
        <f>IFERROR(VLOOKUP(H69,données!$AC$17:$AL$28,MATCH(F69,données!$AC$2:$AL$2,0),FALSE),"inexistant")</f>
        <v>inexistant</v>
      </c>
      <c r="Q69" s="111"/>
      <c r="R69" s="630"/>
      <c r="S69" s="406" t="str">
        <f>IFERROR(VLOOKUP(H69,données!$AC$30:$AL$41,MATCH(F69,données!$AC$2:$AL$2,0),FALSE),"inexistant")</f>
        <v>inexistant</v>
      </c>
      <c r="T69" s="637" t="str">
        <f>NOMENCLATURE_GEN!AB69</f>
        <v>0-30</v>
      </c>
      <c r="U69" s="442"/>
      <c r="V69" s="9"/>
      <c r="W69" s="10"/>
      <c r="X69" s="11"/>
    </row>
    <row r="70" spans="1:24" s="8" customFormat="1" ht="39.950000000000003" hidden="1" customHeight="1">
      <c r="A70" s="3"/>
      <c r="B70" s="25" t="str">
        <f>IF(NOMENCLATURE_GEN!B70="","",NOMENCLATURE_GEN!B70)</f>
        <v/>
      </c>
      <c r="C70" s="243" t="str">
        <f>IF(NOMENCLATURE_GEN!C70="","",NOMENCLATURE_GEN!C70)</f>
        <v/>
      </c>
      <c r="D70" s="4">
        <f>IF(NOMENCLATURE_GEN!D70="","",NOMENCLATURE_GEN!D70)</f>
        <v>155</v>
      </c>
      <c r="E70" s="4" t="str">
        <f ca="1">IF(NOMENCLATURE_GEN!E70="","",NOMENCLATURE_GEN!E70)</f>
        <v>B</v>
      </c>
      <c r="F70" s="4" t="str">
        <f>IF(NOMENCLATURE_GEN!F70="","",NOMENCLATURE_GEN!F70)</f>
        <v>TFM</v>
      </c>
      <c r="G70" s="154" t="str">
        <f>IF(NOMENCLATURE_GEN!G70="","",NOMENCLATURE_GEN!G70)</f>
        <v>Table densimétrique FM150 - Ventilateur de fluidisation</v>
      </c>
      <c r="H70" s="26" t="str">
        <f>IF(NOMENCLATURE_GEN!H70="","",NOMENCLATURE_GEN!H70)</f>
        <v/>
      </c>
      <c r="I70" s="26" t="str">
        <f>IF(NOMENCLATURE_GEN!I70="","",NOMENCLATURE_GEN!I70)</f>
        <v/>
      </c>
      <c r="J70" s="56" t="str">
        <f>IF(NOMENCLATURE_GEN!J70="","",NOMENCLATURE_GEN!J70)</f>
        <v/>
      </c>
      <c r="K70" s="12"/>
      <c r="L70" s="627"/>
      <c r="M70" s="109" t="str">
        <f>IFERROR(VLOOKUP(H70,données!$AC$4:$AL$15,MATCH(F70,données!$AC$2:$AL$2,0),FALSE),"inexistant")</f>
        <v>inexistant</v>
      </c>
      <c r="N70" s="12"/>
      <c r="O70" s="627"/>
      <c r="P70" s="84" t="str">
        <f>IFERROR(VLOOKUP(H70,données!$AC$17:$AL$28,MATCH(F70,données!$AC$2:$AL$2,0),FALSE),"inexistant")</f>
        <v>inexistant</v>
      </c>
      <c r="Q70" s="111"/>
      <c r="R70" s="630"/>
      <c r="S70" s="406" t="str">
        <f>IFERROR(VLOOKUP(H70,données!$AC$30:$AL$41,MATCH(F70,données!$AC$2:$AL$2,0),FALSE),"inexistant")</f>
        <v>inexistant</v>
      </c>
      <c r="T70" s="637" t="str">
        <f>NOMENCLATURE_GEN!AB70</f>
        <v>0-30</v>
      </c>
      <c r="U70" s="442"/>
      <c r="V70" s="9"/>
      <c r="W70" s="10"/>
      <c r="X70" s="11"/>
    </row>
    <row r="71" spans="1:24" s="8" customFormat="1" ht="39.950000000000003" hidden="1" customHeight="1">
      <c r="A71" s="3"/>
      <c r="B71" s="25" t="str">
        <f>IF(NOMENCLATURE_GEN!B71="","",NOMENCLATURE_GEN!B71)</f>
        <v/>
      </c>
      <c r="C71" s="243" t="str">
        <f>IF(NOMENCLATURE_GEN!C71="","",NOMENCLATURE_GEN!C71)</f>
        <v/>
      </c>
      <c r="D71" s="4">
        <f>IF(NOMENCLATURE_GEN!D71="","",NOMENCLATURE_GEN!D71)</f>
        <v>155</v>
      </c>
      <c r="E71" s="4" t="str">
        <f ca="1">IF(NOMENCLATURE_GEN!E71="","",NOMENCLATURE_GEN!E71)</f>
        <v>C</v>
      </c>
      <c r="F71" s="4" t="str">
        <f>IF(NOMENCLATURE_GEN!F71="","",NOMENCLATURE_GEN!F71)</f>
        <v>TFM</v>
      </c>
      <c r="G71" s="154" t="str">
        <f>IF(NOMENCLATURE_GEN!G71="","",NOMENCLATURE_GEN!G71)</f>
        <v>Table densimétrique FM150 - Ecluse utra lourds</v>
      </c>
      <c r="H71" s="26" t="str">
        <f>IF(NOMENCLATURE_GEN!H71="","",NOMENCLATURE_GEN!H71)</f>
        <v/>
      </c>
      <c r="I71" s="26" t="str">
        <f>IF(NOMENCLATURE_GEN!I71="","",NOMENCLATURE_GEN!I71)</f>
        <v/>
      </c>
      <c r="J71" s="56" t="str">
        <f>IF(NOMENCLATURE_GEN!J71="","",NOMENCLATURE_GEN!J71)</f>
        <v/>
      </c>
      <c r="K71" s="12"/>
      <c r="L71" s="627"/>
      <c r="M71" s="109" t="str">
        <f>IFERROR(VLOOKUP(H71,données!$AC$4:$AL$15,MATCH(F71,données!$AC$2:$AL$2,0),FALSE),"inexistant")</f>
        <v>inexistant</v>
      </c>
      <c r="N71" s="12"/>
      <c r="O71" s="627"/>
      <c r="P71" s="84" t="str">
        <f>IFERROR(VLOOKUP(H71,données!$AC$17:$AL$28,MATCH(F71,données!$AC$2:$AL$2,0),FALSE),"inexistant")</f>
        <v>inexistant</v>
      </c>
      <c r="Q71" s="111"/>
      <c r="R71" s="630"/>
      <c r="S71" s="406" t="str">
        <f>IFERROR(VLOOKUP(H71,données!$AC$30:$AL$41,MATCH(F71,données!$AC$2:$AL$2,0),FALSE),"inexistant")</f>
        <v>inexistant</v>
      </c>
      <c r="T71" s="637" t="str">
        <f>NOMENCLATURE_GEN!AB71</f>
        <v>0-30</v>
      </c>
      <c r="U71" s="442"/>
      <c r="V71" s="9"/>
      <c r="W71" s="10"/>
      <c r="X71" s="11"/>
    </row>
    <row r="72" spans="1:24" s="8" customFormat="1" ht="39.950000000000003" hidden="1" customHeight="1">
      <c r="A72" s="3"/>
      <c r="B72" s="25" t="str">
        <f>IF(NOMENCLATURE_GEN!B72="","",NOMENCLATURE_GEN!B72)</f>
        <v/>
      </c>
      <c r="C72" s="243" t="str">
        <f>IF(NOMENCLATURE_GEN!C72="","",NOMENCLATURE_GEN!C72)</f>
        <v/>
      </c>
      <c r="D72" s="4">
        <f>IF(NOMENCLATURE_GEN!D72="","",NOMENCLATURE_GEN!D72)</f>
        <v>155</v>
      </c>
      <c r="E72" s="4" t="str">
        <f ca="1">IF(NOMENCLATURE_GEN!E72="","",NOMENCLATURE_GEN!E72)</f>
        <v>D</v>
      </c>
      <c r="F72" s="4" t="str">
        <f>IF(NOMENCLATURE_GEN!F72="","",NOMENCLATURE_GEN!F72)</f>
        <v>TFM</v>
      </c>
      <c r="G72" s="154" t="str">
        <f>IF(NOMENCLATURE_GEN!G72="","",NOMENCLATURE_GEN!G72)</f>
        <v>Table densimétrique FM150 - Clapet motorisé</v>
      </c>
      <c r="H72" s="26" t="str">
        <f>IF(NOMENCLATURE_GEN!H72="","",NOMENCLATURE_GEN!H72)</f>
        <v/>
      </c>
      <c r="I72" s="26" t="str">
        <f>IF(NOMENCLATURE_GEN!I72="","",NOMENCLATURE_GEN!I72)</f>
        <v/>
      </c>
      <c r="J72" s="56" t="str">
        <f>IF(NOMENCLATURE_GEN!J72="","",NOMENCLATURE_GEN!J72)</f>
        <v/>
      </c>
      <c r="K72" s="12"/>
      <c r="L72" s="627"/>
      <c r="M72" s="109" t="str">
        <f>IFERROR(VLOOKUP(H72,données!$AC$4:$AL$15,MATCH(F72,données!$AC$2:$AL$2,0),FALSE),"inexistant")</f>
        <v>inexistant</v>
      </c>
      <c r="N72" s="12"/>
      <c r="O72" s="627"/>
      <c r="P72" s="84" t="str">
        <f>IFERROR(VLOOKUP(H72,données!$AC$17:$AL$28,MATCH(F72,données!$AC$2:$AL$2,0),FALSE),"inexistant")</f>
        <v>inexistant</v>
      </c>
      <c r="Q72" s="111"/>
      <c r="R72" s="630"/>
      <c r="S72" s="406" t="str">
        <f>IFERROR(VLOOKUP(H72,données!$AC$30:$AL$41,MATCH(F72,données!$AC$2:$AL$2,0),FALSE),"inexistant")</f>
        <v>inexistant</v>
      </c>
      <c r="T72" s="637" t="str">
        <f>NOMENCLATURE_GEN!AB72</f>
        <v>0-30</v>
      </c>
      <c r="U72" s="442"/>
      <c r="V72" s="9"/>
      <c r="W72" s="10"/>
      <c r="X72" s="11"/>
    </row>
    <row r="73" spans="1:24" s="8" customFormat="1" ht="39.950000000000003" customHeight="1">
      <c r="A73" s="3"/>
      <c r="B73" s="25" t="str">
        <f>IF(NOMENCLATURE_GEN!B73="","",NOMENCLATURE_GEN!B73)</f>
        <v/>
      </c>
      <c r="C73" s="243" t="str">
        <f>IF(NOMENCLATURE_GEN!C73="","",NOMENCLATURE_GEN!C73)</f>
        <v/>
      </c>
      <c r="D73" s="4">
        <f>IF(NOMENCLATURE_GEN!D73="","",NOMENCLATURE_GEN!D73)</f>
        <v>156</v>
      </c>
      <c r="E73" s="4" t="str">
        <f ca="1">IF(NOMENCLATURE_GEN!E73="","",NOMENCLATURE_GEN!E73)</f>
        <v>A</v>
      </c>
      <c r="F73" s="4" t="str">
        <f>IF(NOMENCLATURE_GEN!F73="","",NOMENCLATURE_GEN!F73)</f>
        <v>TBE</v>
      </c>
      <c r="G73" s="154" t="str">
        <f>IF(NOMENCLATURE_GEN!G73="","",NOMENCLATURE_GEN!G73)</f>
        <v>Convoyeur de reprise des refus lourds et transfert vers centralisation</v>
      </c>
      <c r="H73" s="26">
        <f>IF(NOMENCLATURE_GEN!H73="","",NOMENCLATURE_GEN!H73)</f>
        <v>800</v>
      </c>
      <c r="I73" s="26">
        <f>IF(NOMENCLATURE_GEN!I73="","",NOMENCLATURE_GEN!I73)</f>
        <v>3000</v>
      </c>
      <c r="J73" s="56">
        <f>IF(NOMENCLATURE_GEN!J73="","",NOMENCLATURE_GEN!J73)</f>
        <v>0</v>
      </c>
      <c r="K73" s="12">
        <f>V73+W73-X73</f>
        <v>11</v>
      </c>
      <c r="L73" s="627">
        <v>8</v>
      </c>
      <c r="M73" s="109" t="str">
        <f>IFERROR(VLOOKUP(H73,données!$AC$4:$AL$15,MATCH(F73,données!$AC$2:$AL$2,0),FALSE),"inexistant")</f>
        <v>TBE0800007</v>
      </c>
      <c r="N73" s="12">
        <v>3</v>
      </c>
      <c r="O73" s="627">
        <v>2</v>
      </c>
      <c r="P73" s="84" t="str">
        <f>IFERROR(VLOOKUP(H73,données!$AC$17:$AL$28,MATCH(F73,données!$AC$2:$AL$2,0),FALSE),"inexistant")</f>
        <v>TBE0800008</v>
      </c>
      <c r="Q73" s="111"/>
      <c r="R73" s="630"/>
      <c r="S73" s="406" t="str">
        <f>IFERROR(VLOOKUP(H73,données!$AC$30:$AL$41,MATCH(F73,données!$AC$2:$AL$2,0),FALSE),"inexistant")</f>
        <v>Inexistant</v>
      </c>
      <c r="T73" s="637" t="str">
        <f>NOMENCLATURE_GEN!AB73</f>
        <v>0-30</v>
      </c>
      <c r="U73" s="442">
        <v>2000</v>
      </c>
      <c r="V73" s="9">
        <f>ROUNDUP(I73/1000,0)</f>
        <v>3</v>
      </c>
      <c r="W73" s="10">
        <v>8</v>
      </c>
      <c r="X73" s="11"/>
    </row>
    <row r="74" spans="1:24" s="8" customFormat="1" ht="39.950000000000003" customHeight="1">
      <c r="A74" s="3"/>
      <c r="B74" s="25" t="str">
        <f>IF(NOMENCLATURE_GEN!B74="","",NOMENCLATURE_GEN!B74)</f>
        <v/>
      </c>
      <c r="C74" s="243" t="str">
        <f>IF(NOMENCLATURE_GEN!C74="","",NOMENCLATURE_GEN!C74)</f>
        <v/>
      </c>
      <c r="D74" s="4">
        <f>IF(NOMENCLATURE_GEN!D74="","",NOMENCLATURE_GEN!D74)</f>
        <v>157</v>
      </c>
      <c r="E74" s="4" t="str">
        <f ca="1">IF(NOMENCLATURE_GEN!E74="","",NOMENCLATURE_GEN!E74)</f>
        <v>A</v>
      </c>
      <c r="F74" s="4" t="str">
        <f>IF(NOMENCLATURE_GEN!F74="","",NOMENCLATURE_GEN!F74)</f>
        <v>TBE</v>
      </c>
      <c r="G74" s="154" t="str">
        <f>IF(NOMENCLATURE_GEN!G74="","",NOMENCLATURE_GEN!G74)</f>
        <v>Convoyeur de reprise des refus lourds et transfert vers centralisation</v>
      </c>
      <c r="H74" s="26">
        <f>IF(NOMENCLATURE_GEN!H74="","",NOMENCLATURE_GEN!H74)</f>
        <v>800</v>
      </c>
      <c r="I74" s="26">
        <f>IF(NOMENCLATURE_GEN!I74="","",NOMENCLATURE_GEN!I74)</f>
        <v>10000</v>
      </c>
      <c r="J74" s="56">
        <f>IF(NOMENCLATURE_GEN!J74="","",NOMENCLATURE_GEN!J74)</f>
        <v>6</v>
      </c>
      <c r="K74" s="12">
        <f>V74+W74-X74</f>
        <v>15</v>
      </c>
      <c r="L74" s="627">
        <v>16</v>
      </c>
      <c r="M74" s="109" t="str">
        <f>IFERROR(VLOOKUP(H74,données!$AC$4:$AL$15,MATCH(F74,données!$AC$2:$AL$2,0),FALSE),"inexistant")</f>
        <v>TBE0800007</v>
      </c>
      <c r="N74" s="12">
        <v>5</v>
      </c>
      <c r="O74" s="627">
        <v>5</v>
      </c>
      <c r="P74" s="84" t="str">
        <f>IFERROR(VLOOKUP(H74,données!$AC$17:$AL$28,MATCH(F74,données!$AC$2:$AL$2,0),FALSE),"inexistant")</f>
        <v>TBE0800008</v>
      </c>
      <c r="Q74" s="111"/>
      <c r="R74" s="630"/>
      <c r="S74" s="406" t="str">
        <f>IFERROR(VLOOKUP(H74,données!$AC$30:$AL$41,MATCH(F74,données!$AC$2:$AL$2,0),FALSE),"inexistant")</f>
        <v>Inexistant</v>
      </c>
      <c r="T74" s="637" t="str">
        <f>NOMENCLATURE_GEN!AB74</f>
        <v>0-8</v>
      </c>
      <c r="U74" s="442">
        <v>1000</v>
      </c>
      <c r="V74" s="9">
        <f>ROUNDUP(I74/1000,0)</f>
        <v>10</v>
      </c>
      <c r="W74" s="10">
        <v>5</v>
      </c>
      <c r="X74" s="11"/>
    </row>
    <row r="75" spans="1:24" s="8" customFormat="1" ht="39.950000000000003" customHeight="1">
      <c r="A75" s="3"/>
      <c r="B75" s="25" t="str">
        <f>IF(NOMENCLATURE_GEN!B75="","",NOMENCLATURE_GEN!B75)</f>
        <v/>
      </c>
      <c r="C75" s="243" t="str">
        <f>IF(NOMENCLATURE_GEN!C75="","",NOMENCLATURE_GEN!C75)</f>
        <v/>
      </c>
      <c r="D75" s="4">
        <f>IF(NOMENCLATURE_GEN!D75="","",NOMENCLATURE_GEN!D75)</f>
        <v>158</v>
      </c>
      <c r="E75" s="4" t="str">
        <f ca="1">IF(NOMENCLATURE_GEN!E75="","",NOMENCLATURE_GEN!E75)</f>
        <v>A</v>
      </c>
      <c r="F75" s="4" t="str">
        <f>IF(NOMENCLATURE_GEN!F75="","",NOMENCLATURE_GEN!F75)</f>
        <v>TBE</v>
      </c>
      <c r="G75" s="154" t="str">
        <f>IF(NOMENCLATURE_GEN!G75="","",NOMENCLATURE_GEN!G75)</f>
        <v>Convoyeur de reprise des lourds 0-8mm</v>
      </c>
      <c r="H75" s="26">
        <f>IF(NOMENCLATURE_GEN!H75="","",NOMENCLATURE_GEN!H75)</f>
        <v>1800</v>
      </c>
      <c r="I75" s="26">
        <f>IF(NOMENCLATURE_GEN!I75="","",NOMENCLATURE_GEN!I75)</f>
        <v>4000</v>
      </c>
      <c r="J75" s="56">
        <f>IF(NOMENCLATURE_GEN!J75="","",NOMENCLATURE_GEN!J75)</f>
        <v>12</v>
      </c>
      <c r="K75" s="12">
        <f>V75+W75-X75</f>
        <v>16</v>
      </c>
      <c r="L75" s="627">
        <v>12</v>
      </c>
      <c r="M75" s="109" t="str">
        <f>IFERROR(VLOOKUP(H75,données!$AC$4:$AL$15,MATCH(F75,données!$AC$2:$AL$2,0),FALSE),"inexistant")</f>
        <v>TBE1800007</v>
      </c>
      <c r="N75" s="12">
        <v>3</v>
      </c>
      <c r="O75" s="627">
        <v>2</v>
      </c>
      <c r="P75" s="84" t="str">
        <f>IFERROR(VLOOKUP(H75,données!$AC$17:$AL$28,MATCH(F75,données!$AC$2:$AL$2,0),FALSE),"inexistant")</f>
        <v>TBE1800008</v>
      </c>
      <c r="Q75" s="111"/>
      <c r="R75" s="630"/>
      <c r="S75" s="406" t="str">
        <f>IFERROR(VLOOKUP(H75,données!$AC$30:$AL$41,MATCH(F75,données!$AC$2:$AL$2,0),FALSE),"inexistant")</f>
        <v>Inexistant</v>
      </c>
      <c r="T75" s="637" t="str">
        <f>NOMENCLATURE_GEN!AB75</f>
        <v>0-8</v>
      </c>
      <c r="U75" s="442">
        <v>3500</v>
      </c>
      <c r="V75" s="9">
        <f>ROUNDUP(I75/1000,0)</f>
        <v>4</v>
      </c>
      <c r="W75" s="10">
        <v>12</v>
      </c>
      <c r="X75" s="11"/>
    </row>
    <row r="76" spans="1:24" s="8" customFormat="1" ht="39.950000000000003" hidden="1" customHeight="1">
      <c r="A76" s="3"/>
      <c r="B76" s="25" t="str">
        <f>IF(NOMENCLATURE_GEN!B76="","",NOMENCLATURE_GEN!B76)</f>
        <v>SUP</v>
      </c>
      <c r="C76" s="243" t="str">
        <f>IF(NOMENCLATURE_GEN!C76="","",NOMENCLATURE_GEN!C76)</f>
        <v/>
      </c>
      <c r="D76" s="4">
        <f>IF(NOMENCLATURE_GEN!D76="","",NOMENCLATURE_GEN!D76)</f>
        <v>159</v>
      </c>
      <c r="E76" s="4" t="str">
        <f ca="1">IF(NOMENCLATURE_GEN!E76="","",NOMENCLATURE_GEN!E76)</f>
        <v>A</v>
      </c>
      <c r="F76" s="4" t="str">
        <f>IF(NOMENCLATURE_GEN!F76="","",NOMENCLATURE_GEN!F76)</f>
        <v>GLT</v>
      </c>
      <c r="G76" s="154" t="str">
        <f>IF(NOMENCLATURE_GEN!G76="","",NOMENCLATURE_GEN!G76)</f>
        <v>Goulotte de reprise des légers de la table FM150</v>
      </c>
      <c r="H76" s="26" t="str">
        <f>IF(NOMENCLATURE_GEN!H76="","",NOMENCLATURE_GEN!H76)</f>
        <v/>
      </c>
      <c r="I76" s="26" t="str">
        <f>IF(NOMENCLATURE_GEN!I76="","",NOMENCLATURE_GEN!I76)</f>
        <v/>
      </c>
      <c r="J76" s="56" t="str">
        <f>IF(NOMENCLATURE_GEN!J76="","",NOMENCLATURE_GEN!J76)</f>
        <v/>
      </c>
      <c r="K76" s="12"/>
      <c r="L76" s="627"/>
      <c r="M76" s="109" t="str">
        <f>IFERROR(VLOOKUP(H76,données!$AC$4:$AL$15,MATCH(F76,données!$AC$2:$AL$2,0),FALSE),"inexistant")</f>
        <v>inexistant</v>
      </c>
      <c r="N76" s="12"/>
      <c r="O76" s="627"/>
      <c r="P76" s="84" t="str">
        <f>IFERROR(VLOOKUP(H76,données!$AC$17:$AL$28,MATCH(F76,données!$AC$2:$AL$2,0),FALSE),"inexistant")</f>
        <v>inexistant</v>
      </c>
      <c r="Q76" s="111"/>
      <c r="R76" s="630"/>
      <c r="S76" s="406" t="str">
        <f>IFERROR(VLOOKUP(H76,données!$AC$30:$AL$41,MATCH(F76,données!$AC$2:$AL$2,0),FALSE),"inexistant")</f>
        <v>inexistant</v>
      </c>
      <c r="T76" s="637" t="str">
        <f>NOMENCLATURE_GEN!AB76</f>
        <v>0-30</v>
      </c>
      <c r="U76" s="442"/>
      <c r="V76" s="9"/>
      <c r="W76" s="10"/>
      <c r="X76" s="11"/>
    </row>
    <row r="77" spans="1:24" s="8" customFormat="1" ht="39.950000000000003" customHeight="1">
      <c r="A77" s="3"/>
      <c r="B77" s="25" t="str">
        <f>IF(NOMENCLATURE_GEN!B77="","",NOMENCLATURE_GEN!B77)</f>
        <v/>
      </c>
      <c r="C77" s="243" t="str">
        <f>IF(NOMENCLATURE_GEN!C77="","",NOMENCLATURE_GEN!C77)</f>
        <v/>
      </c>
      <c r="D77" s="4">
        <f>IF(NOMENCLATURE_GEN!D77="","",NOMENCLATURE_GEN!D77)</f>
        <v>160</v>
      </c>
      <c r="E77" s="4" t="str">
        <f ca="1">IF(NOMENCLATURE_GEN!E77="","",NOMENCLATURE_GEN!E77)</f>
        <v>A</v>
      </c>
      <c r="F77" s="4" t="str">
        <f>IF(NOMENCLATURE_GEN!F77="","",NOMENCLATURE_GEN!F77)</f>
        <v>TBE</v>
      </c>
      <c r="G77" s="154" t="str">
        <f>IF(NOMENCLATURE_GEN!G77="","",NOMENCLATURE_GEN!G77)</f>
        <v>Convoyeur double sens de remplissage de la benne FFOM</v>
      </c>
      <c r="H77" s="26">
        <f>IF(NOMENCLATURE_GEN!H77="","",NOMENCLATURE_GEN!H77)</f>
        <v>800</v>
      </c>
      <c r="I77" s="26">
        <f>IF(NOMENCLATURE_GEN!I77="","",NOMENCLATURE_GEN!I77)</f>
        <v>5000</v>
      </c>
      <c r="J77" s="56">
        <f>IF(NOMENCLATURE_GEN!J77="","",NOMENCLATURE_GEN!J77)</f>
        <v>0</v>
      </c>
      <c r="K77" s="12">
        <f>V77+W77-X77</f>
        <v>20</v>
      </c>
      <c r="L77" s="627">
        <v>16</v>
      </c>
      <c r="M77" s="109" t="str">
        <f>IFERROR(VLOOKUP(H77,données!$AC$4:$AL$15,MATCH(F77,données!$AC$2:$AL$2,0),FALSE),"inexistant")</f>
        <v>TBE0800007</v>
      </c>
      <c r="N77" s="12">
        <v>3</v>
      </c>
      <c r="O77" s="627">
        <v>3</v>
      </c>
      <c r="P77" s="84" t="str">
        <f>IFERROR(VLOOKUP(H77,données!$AC$17:$AL$28,MATCH(F77,données!$AC$2:$AL$2,0),FALSE),"inexistant")</f>
        <v>TBE0800008</v>
      </c>
      <c r="Q77" s="111"/>
      <c r="R77" s="630"/>
      <c r="S77" s="406" t="str">
        <f>IFERROR(VLOOKUP(H77,données!$AC$30:$AL$41,MATCH(F77,données!$AC$2:$AL$2,0),FALSE),"inexistant")</f>
        <v>Inexistant</v>
      </c>
      <c r="T77" s="637" t="str">
        <f>NOMENCLATURE_GEN!AB77</f>
        <v>0-30</v>
      </c>
      <c r="U77" s="442" t="s">
        <v>96</v>
      </c>
      <c r="V77" s="9">
        <f>ROUNDUP(I77/1000,0)</f>
        <v>5</v>
      </c>
      <c r="W77" s="10">
        <v>15</v>
      </c>
      <c r="X77" s="11"/>
    </row>
    <row r="78" spans="1:24" s="8" customFormat="1" ht="39.950000000000003" hidden="1" customHeight="1">
      <c r="A78" s="3"/>
      <c r="B78" s="25" t="str">
        <f>IF(NOMENCLATURE_GEN!B78="","",NOMENCLATURE_GEN!B78)</f>
        <v/>
      </c>
      <c r="C78" s="243" t="str">
        <f>IF(NOMENCLATURE_GEN!C78="","",NOMENCLATURE_GEN!C78)</f>
        <v/>
      </c>
      <c r="D78" s="4">
        <f>IF(NOMENCLATURE_GEN!D78="","",NOMENCLATURE_GEN!D78)</f>
        <v>161</v>
      </c>
      <c r="E78" s="4" t="str">
        <f ca="1">IF(NOMENCLATURE_GEN!E78="","",NOMENCLATURE_GEN!E78)</f>
        <v>A</v>
      </c>
      <c r="F78" s="4" t="str">
        <f>IF(NOMENCLATURE_GEN!F78="","",NOMENCLATURE_GEN!F78)</f>
        <v>NAV</v>
      </c>
      <c r="G78" s="154" t="str">
        <f>IF(NOMENCLATURE_GEN!G78="","",NOMENCLATURE_GEN!G78)</f>
        <v>Système navette pour convoyeur double sens</v>
      </c>
      <c r="H78" s="26" t="str">
        <f>IF(NOMENCLATURE_GEN!H78="","",NOMENCLATURE_GEN!H78)</f>
        <v/>
      </c>
      <c r="I78" s="26" t="str">
        <f>IF(NOMENCLATURE_GEN!I78="","",NOMENCLATURE_GEN!I78)</f>
        <v/>
      </c>
      <c r="J78" s="56" t="str">
        <f>IF(NOMENCLATURE_GEN!J78="","",NOMENCLATURE_GEN!J78)</f>
        <v/>
      </c>
      <c r="K78" s="12"/>
      <c r="L78" s="627"/>
      <c r="M78" s="109" t="str">
        <f>IFERROR(VLOOKUP(H78,données!$AC$4:$AL$15,MATCH(F78,données!$AC$2:$AL$2,0),FALSE),"inexistant")</f>
        <v>inexistant</v>
      </c>
      <c r="N78" s="12"/>
      <c r="O78" s="627"/>
      <c r="P78" s="84" t="str">
        <f>IFERROR(VLOOKUP(H78,données!$AC$17:$AL$28,MATCH(F78,données!$AC$2:$AL$2,0),FALSE),"inexistant")</f>
        <v>inexistant</v>
      </c>
      <c r="Q78" s="111"/>
      <c r="R78" s="630"/>
      <c r="S78" s="406" t="str">
        <f>IFERROR(VLOOKUP(H78,données!$AC$30:$AL$41,MATCH(F78,données!$AC$2:$AL$2,0),FALSE),"inexistant")</f>
        <v>inexistant</v>
      </c>
      <c r="T78" s="637" t="str">
        <f>NOMENCLATURE_GEN!AB78</f>
        <v>0-30</v>
      </c>
      <c r="U78" s="442"/>
      <c r="V78" s="9"/>
      <c r="W78" s="10"/>
      <c r="X78" s="11"/>
    </row>
    <row r="79" spans="1:24" s="8" customFormat="1" ht="39.950000000000003" customHeight="1">
      <c r="A79" s="3"/>
      <c r="B79" s="25" t="str">
        <f>IF(NOMENCLATURE_GEN!B79="","",NOMENCLATURE_GEN!B79)</f>
        <v/>
      </c>
      <c r="C79" s="243" t="str">
        <f>IF(NOMENCLATURE_GEN!C79="","",NOMENCLATURE_GEN!C79)</f>
        <v/>
      </c>
      <c r="D79" s="4">
        <f>IF(NOMENCLATURE_GEN!D79="","",NOMENCLATURE_GEN!D79)</f>
        <v>162</v>
      </c>
      <c r="E79" s="4" t="str">
        <f ca="1">IF(NOMENCLATURE_GEN!E79="","",NOMENCLATURE_GEN!E79)</f>
        <v>A</v>
      </c>
      <c r="F79" s="4" t="str">
        <f>IF(NOMENCLATURE_GEN!F79="","",NOMENCLATURE_GEN!F79)</f>
        <v>TBE</v>
      </c>
      <c r="G79" s="154" t="str">
        <f>IF(NOMENCLATURE_GEN!G79="","",NOMENCLATURE_GEN!G79)</f>
        <v>Convoyeur de reprise des aciers 0-30 et &gt; 180mm</v>
      </c>
      <c r="H79" s="26">
        <f>IF(NOMENCLATURE_GEN!H79="","",NOMENCLATURE_GEN!H79)</f>
        <v>1000</v>
      </c>
      <c r="I79" s="26">
        <f>IF(NOMENCLATURE_GEN!I79="","",NOMENCLATURE_GEN!I79)</f>
        <v>15500</v>
      </c>
      <c r="J79" s="56">
        <f>IF(NOMENCLATURE_GEN!J79="","",NOMENCLATURE_GEN!J79)</f>
        <v>0</v>
      </c>
      <c r="K79" s="12">
        <f>V79+W79-X79</f>
        <v>13</v>
      </c>
      <c r="L79" s="627">
        <v>14</v>
      </c>
      <c r="M79" s="109" t="str">
        <f>IFERROR(VLOOKUP(H79,données!$AC$4:$AL$15,MATCH(F79,données!$AC$2:$AL$2,0),FALSE),"inexistant")</f>
        <v>TBE1000007</v>
      </c>
      <c r="N79" s="12">
        <v>7</v>
      </c>
      <c r="O79" s="627">
        <v>7</v>
      </c>
      <c r="P79" s="84" t="str">
        <f>IFERROR(VLOOKUP(H79,données!$AC$17:$AL$28,MATCH(F79,données!$AC$2:$AL$2,0),FALSE),"inexistant")</f>
        <v>TBE1000008</v>
      </c>
      <c r="Q79" s="111"/>
      <c r="R79" s="630"/>
      <c r="S79" s="406" t="str">
        <f>IFERROR(VLOOKUP(H79,données!$AC$30:$AL$41,MATCH(F79,données!$AC$2:$AL$2,0),FALSE),"inexistant")</f>
        <v>Inexistant</v>
      </c>
      <c r="T79" s="633" t="str">
        <f>NOMENCLATURE_GEN!AB79</f>
        <v>TOUT</v>
      </c>
      <c r="U79" s="548">
        <v>3000</v>
      </c>
      <c r="V79" s="9">
        <f>ROUNDUP(I79/1000,0)</f>
        <v>16</v>
      </c>
      <c r="W79" s="10"/>
      <c r="X79" s="11">
        <v>3</v>
      </c>
    </row>
    <row r="80" spans="1:24" s="8" customFormat="1" ht="39.950000000000003" customHeight="1">
      <c r="A80" s="3"/>
      <c r="B80" s="25" t="str">
        <f>IF(NOMENCLATURE_GEN!B80="","",NOMENCLATURE_GEN!B80)</f>
        <v/>
      </c>
      <c r="C80" s="243" t="str">
        <f>IF(NOMENCLATURE_GEN!C80="","",NOMENCLATURE_GEN!C80)</f>
        <v/>
      </c>
      <c r="D80" s="4">
        <f>IF(NOMENCLATURE_GEN!D80="","",NOMENCLATURE_GEN!D80)</f>
        <v>163</v>
      </c>
      <c r="E80" s="4" t="str">
        <f ca="1">IF(NOMENCLATURE_GEN!E80="","",NOMENCLATURE_GEN!E80)</f>
        <v>A</v>
      </c>
      <c r="F80" s="4" t="str">
        <f>IF(NOMENCLATURE_GEN!F80="","",NOMENCLATURE_GEN!F80)</f>
        <v>TBE</v>
      </c>
      <c r="G80" s="154" t="str">
        <f>IF(NOMENCLATURE_GEN!G80="","",NOMENCLATURE_GEN!G80)</f>
        <v>Convoyeur de centralisation des aciers</v>
      </c>
      <c r="H80" s="26">
        <f>IF(NOMENCLATURE_GEN!H80="","",NOMENCLATURE_GEN!H80)</f>
        <v>1000</v>
      </c>
      <c r="I80" s="26">
        <f>IF(NOMENCLATURE_GEN!I80="","",NOMENCLATURE_GEN!I80)</f>
        <v>4000</v>
      </c>
      <c r="J80" s="56">
        <f>IF(NOMENCLATURE_GEN!J80="","",NOMENCLATURE_GEN!J80)</f>
        <v>15</v>
      </c>
      <c r="K80" s="12">
        <f>V80+W80-X80</f>
        <v>1</v>
      </c>
      <c r="L80" s="627">
        <v>3</v>
      </c>
      <c r="M80" s="109" t="str">
        <f>IFERROR(VLOOKUP(H80,données!$AC$4:$AL$15,MATCH(F80,données!$AC$2:$AL$2,0),FALSE),"inexistant")</f>
        <v>TBE1000007</v>
      </c>
      <c r="N80" s="12">
        <v>3</v>
      </c>
      <c r="O80" s="627">
        <v>2</v>
      </c>
      <c r="P80" s="84" t="str">
        <f>IFERROR(VLOOKUP(H80,données!$AC$17:$AL$28,MATCH(F80,données!$AC$2:$AL$2,0),FALSE),"inexistant")</f>
        <v>TBE1000008</v>
      </c>
      <c r="Q80" s="111"/>
      <c r="R80" s="630"/>
      <c r="S80" s="406" t="str">
        <f>IFERROR(VLOOKUP(H80,données!$AC$30:$AL$41,MATCH(F80,données!$AC$2:$AL$2,0),FALSE),"inexistant")</f>
        <v>Inexistant</v>
      </c>
      <c r="T80" s="633" t="str">
        <f>NOMENCLATURE_GEN!AB80</f>
        <v>TOUT</v>
      </c>
      <c r="U80" s="548">
        <v>3500</v>
      </c>
      <c r="V80" s="9">
        <f>ROUNDUP(I80/1000,0)</f>
        <v>4</v>
      </c>
      <c r="W80" s="10"/>
      <c r="X80" s="11">
        <v>3</v>
      </c>
    </row>
    <row r="81" spans="1:24" s="8" customFormat="1" ht="39.950000000000003" customHeight="1">
      <c r="A81" s="3"/>
      <c r="B81" s="25" t="str">
        <f>IF(NOMENCLATURE_GEN!B81="","",NOMENCLATURE_GEN!B81)</f>
        <v/>
      </c>
      <c r="C81" s="243" t="str">
        <f>IF(NOMENCLATURE_GEN!C81="","",NOMENCLATURE_GEN!C81)</f>
        <v/>
      </c>
      <c r="D81" s="4">
        <f>IF(NOMENCLATURE_GEN!D81="","",NOMENCLATURE_GEN!D81)</f>
        <v>164</v>
      </c>
      <c r="E81" s="4" t="str">
        <f ca="1">IF(NOMENCLATURE_GEN!E81="","",NOMENCLATURE_GEN!E81)</f>
        <v>A</v>
      </c>
      <c r="F81" s="4" t="str">
        <f>IF(NOMENCLATURE_GEN!F81="","",NOMENCLATURE_GEN!F81)</f>
        <v>TBE</v>
      </c>
      <c r="G81" s="154" t="str">
        <f>IF(NOMENCLATURE_GEN!G81="","",NOMENCLATURE_GEN!G81)</f>
        <v>Convoyeur de transfert des aciers vers benne</v>
      </c>
      <c r="H81" s="26">
        <f>IF(NOMENCLATURE_GEN!H81="","",NOMENCLATURE_GEN!H81)</f>
        <v>1000</v>
      </c>
      <c r="I81" s="26">
        <f>IF(NOMENCLATURE_GEN!I81="","",NOMENCLATURE_GEN!I81)</f>
        <v>11500</v>
      </c>
      <c r="J81" s="56">
        <f>IF(NOMENCLATURE_GEN!J81="","",NOMENCLATURE_GEN!J81)</f>
        <v>25</v>
      </c>
      <c r="K81" s="12">
        <f>V81+W81-X81</f>
        <v>11</v>
      </c>
      <c r="L81" s="627">
        <v>11</v>
      </c>
      <c r="M81" s="109" t="str">
        <f>IFERROR(VLOOKUP(H81,données!$AC$4:$AL$15,MATCH(F81,données!$AC$2:$AL$2,0),FALSE),"inexistant")</f>
        <v>TBE1000007</v>
      </c>
      <c r="N81" s="12">
        <v>5</v>
      </c>
      <c r="O81" s="627">
        <v>7</v>
      </c>
      <c r="P81" s="551" t="s">
        <v>571</v>
      </c>
      <c r="Q81" s="111"/>
      <c r="R81" s="630"/>
      <c r="S81" s="406" t="str">
        <f>IFERROR(VLOOKUP(H81,données!$AC$30:$AL$41,MATCH(F81,données!$AC$2:$AL$2,0),FALSE),"inexistant")</f>
        <v>Inexistant</v>
      </c>
      <c r="T81" s="633" t="str">
        <f>NOMENCLATURE_GEN!AB81</f>
        <v>TOUT</v>
      </c>
      <c r="U81" s="548">
        <v>1500</v>
      </c>
      <c r="V81" s="9">
        <f>ROUNDUP(I81/1000,0)</f>
        <v>12</v>
      </c>
      <c r="W81" s="10"/>
      <c r="X81" s="11">
        <v>1</v>
      </c>
    </row>
    <row r="82" spans="1:24" s="8" customFormat="1" ht="39.950000000000003" customHeight="1">
      <c r="A82" s="3"/>
      <c r="B82" s="25" t="str">
        <f>IF(NOMENCLATURE_GEN!B82="","",NOMENCLATURE_GEN!B82)</f>
        <v/>
      </c>
      <c r="C82" s="243" t="str">
        <f>IF(NOMENCLATURE_GEN!C82="","",NOMENCLATURE_GEN!C82)</f>
        <v/>
      </c>
      <c r="D82" s="4">
        <f>IF(NOMENCLATURE_GEN!D82="","",NOMENCLATURE_GEN!D82)</f>
        <v>165</v>
      </c>
      <c r="E82" s="4" t="str">
        <f ca="1">IF(NOMENCLATURE_GEN!E82="","",NOMENCLATURE_GEN!E82)</f>
        <v>A</v>
      </c>
      <c r="F82" s="4" t="str">
        <f>IF(NOMENCLATURE_GEN!F82="","",NOMENCLATURE_GEN!F82)</f>
        <v>TBE</v>
      </c>
      <c r="G82" s="154" t="str">
        <f>IF(NOMENCLATURE_GEN!G82="","",NOMENCLATURE_GEN!G82)</f>
        <v>Convoyeur navette double sens de remplissage de la benne acier</v>
      </c>
      <c r="H82" s="26">
        <f>IF(NOMENCLATURE_GEN!H82="","",NOMENCLATURE_GEN!H82)</f>
        <v>1000</v>
      </c>
      <c r="I82" s="26">
        <f>IF(NOMENCLATURE_GEN!I82="","",NOMENCLATURE_GEN!I82)</f>
        <v>3000</v>
      </c>
      <c r="J82" s="56">
        <f>IF(NOMENCLATURE_GEN!J82="","",NOMENCLATURE_GEN!J82)</f>
        <v>0</v>
      </c>
      <c r="K82" s="12">
        <f>V82+W82-X82</f>
        <v>3</v>
      </c>
      <c r="L82" s="627">
        <v>3</v>
      </c>
      <c r="M82" s="109" t="str">
        <f>IFERROR(VLOOKUP(H82,données!$AC$4:$AL$15,MATCH(F82,données!$AC$2:$AL$2,0),FALSE),"inexistant")</f>
        <v>TBE1000007</v>
      </c>
      <c r="N82" s="12">
        <v>3</v>
      </c>
      <c r="O82" s="627">
        <v>2</v>
      </c>
      <c r="P82" s="84" t="str">
        <f>IFERROR(VLOOKUP(H82,données!$AC$17:$AL$28,MATCH(F82,données!$AC$2:$AL$2,0),FALSE),"inexistant")</f>
        <v>TBE1000008</v>
      </c>
      <c r="Q82" s="111"/>
      <c r="R82" s="630"/>
      <c r="S82" s="406" t="str">
        <f>IFERROR(VLOOKUP(H82,données!$AC$30:$AL$41,MATCH(F82,données!$AC$2:$AL$2,0),FALSE),"inexistant")</f>
        <v>Inexistant</v>
      </c>
      <c r="T82" s="633" t="str">
        <f>NOMENCLATURE_GEN!AB82</f>
        <v>TOUT</v>
      </c>
      <c r="U82" s="548" t="s">
        <v>96</v>
      </c>
      <c r="V82" s="9">
        <f>ROUNDUP(I82/1000,0)</f>
        <v>3</v>
      </c>
      <c r="W82" s="10"/>
      <c r="X82" s="11">
        <v>0</v>
      </c>
    </row>
    <row r="83" spans="1:24" s="8" customFormat="1" ht="39.950000000000003" hidden="1" customHeight="1">
      <c r="A83" s="3"/>
      <c r="B83" s="25" t="str">
        <f>IF(NOMENCLATURE_GEN!B83="","",NOMENCLATURE_GEN!B83)</f>
        <v/>
      </c>
      <c r="C83" s="243" t="str">
        <f>IF(NOMENCLATURE_GEN!C83="","",NOMENCLATURE_GEN!C83)</f>
        <v/>
      </c>
      <c r="D83" s="4">
        <f>IF(NOMENCLATURE_GEN!D83="","",NOMENCLATURE_GEN!D83)</f>
        <v>166</v>
      </c>
      <c r="E83" s="4" t="str">
        <f ca="1">IF(NOMENCLATURE_GEN!E83="","",NOMENCLATURE_GEN!E83)</f>
        <v>A</v>
      </c>
      <c r="F83" s="4" t="str">
        <f>IF(NOMENCLATURE_GEN!F83="","",NOMENCLATURE_GEN!F83)</f>
        <v>CYC</v>
      </c>
      <c r="G83" s="154" t="str">
        <f>IF(NOMENCLATURE_GEN!G83="","",NOMENCLATURE_GEN!G83)</f>
        <v>Cyclone &amp; écluse pour table densimétrique  - Ventilateur</v>
      </c>
      <c r="H83" s="26" t="str">
        <f>IF(NOMENCLATURE_GEN!H83="","",NOMENCLATURE_GEN!H83)</f>
        <v/>
      </c>
      <c r="I83" s="26" t="str">
        <f>IF(NOMENCLATURE_GEN!I83="","",NOMENCLATURE_GEN!I83)</f>
        <v/>
      </c>
      <c r="J83" s="56" t="str">
        <f>IF(NOMENCLATURE_GEN!J83="","",NOMENCLATURE_GEN!J83)</f>
        <v/>
      </c>
      <c r="K83" s="12"/>
      <c r="L83" s="627"/>
      <c r="M83" s="109" t="str">
        <f>IFERROR(VLOOKUP(H83,données!$AC$4:$AL$15,MATCH(F83,données!$AC$2:$AL$2,0),FALSE),"inexistant")</f>
        <v>inexistant</v>
      </c>
      <c r="N83" s="12"/>
      <c r="O83" s="627"/>
      <c r="P83" s="84" t="str">
        <f>IFERROR(VLOOKUP(H83,données!$AC$17:$AL$28,MATCH(F83,données!$AC$2:$AL$2,0),FALSE),"inexistant")</f>
        <v>inexistant</v>
      </c>
      <c r="Q83" s="111"/>
      <c r="R83" s="630"/>
      <c r="S83" s="406" t="str">
        <f>IFERROR(VLOOKUP(H83,données!$AC$30:$AL$41,MATCH(F83,données!$AC$2:$AL$2,0),FALSE),"inexistant")</f>
        <v>inexistant</v>
      </c>
      <c r="T83" s="637">
        <f>NOMENCLATURE_GEN!AB83</f>
        <v>0</v>
      </c>
      <c r="U83" s="442"/>
      <c r="V83" s="9"/>
      <c r="W83" s="10"/>
      <c r="X83" s="11"/>
    </row>
    <row r="84" spans="1:24" s="8" customFormat="1" ht="39.950000000000003" hidden="1" customHeight="1">
      <c r="A84" s="3"/>
      <c r="B84" s="25" t="str">
        <f>IF(NOMENCLATURE_GEN!B84="","",NOMENCLATURE_GEN!B84)</f>
        <v/>
      </c>
      <c r="C84" s="243" t="str">
        <f>IF(NOMENCLATURE_GEN!C84="","",NOMENCLATURE_GEN!C84)</f>
        <v/>
      </c>
      <c r="D84" s="4">
        <f>IF(NOMENCLATURE_GEN!D84="","",NOMENCLATURE_GEN!D84)</f>
        <v>166</v>
      </c>
      <c r="E84" s="4" t="str">
        <f ca="1">IF(NOMENCLATURE_GEN!E84="","",NOMENCLATURE_GEN!E84)</f>
        <v>B</v>
      </c>
      <c r="F84" s="4" t="str">
        <f>IF(NOMENCLATURE_GEN!F84="","",NOMENCLATURE_GEN!F84)</f>
        <v>CYC</v>
      </c>
      <c r="G84" s="154" t="str">
        <f>IF(NOMENCLATURE_GEN!G84="","",NOMENCLATURE_GEN!G84)</f>
        <v>Cyclone &amp; écluse pour table densimétrique - Ecluse</v>
      </c>
      <c r="H84" s="26" t="str">
        <f>IF(NOMENCLATURE_GEN!H84="","",NOMENCLATURE_GEN!H84)</f>
        <v/>
      </c>
      <c r="I84" s="26" t="str">
        <f>IF(NOMENCLATURE_GEN!I84="","",NOMENCLATURE_GEN!I84)</f>
        <v/>
      </c>
      <c r="J84" s="56" t="str">
        <f>IF(NOMENCLATURE_GEN!J84="","",NOMENCLATURE_GEN!J84)</f>
        <v/>
      </c>
      <c r="K84" s="12"/>
      <c r="L84" s="627"/>
      <c r="M84" s="109" t="str">
        <f>IFERROR(VLOOKUP(H84,données!$AC$4:$AL$15,MATCH(F84,données!$AC$2:$AL$2,0),FALSE),"inexistant")</f>
        <v>inexistant</v>
      </c>
      <c r="N84" s="12"/>
      <c r="O84" s="627"/>
      <c r="P84" s="84" t="str">
        <f>IFERROR(VLOOKUP(H84,données!$AC$17:$AL$28,MATCH(F84,données!$AC$2:$AL$2,0),FALSE),"inexistant")</f>
        <v>inexistant</v>
      </c>
      <c r="Q84" s="111"/>
      <c r="R84" s="630"/>
      <c r="S84" s="406" t="str">
        <f>IFERROR(VLOOKUP(H84,données!$AC$30:$AL$41,MATCH(F84,données!$AC$2:$AL$2,0),FALSE),"inexistant")</f>
        <v>inexistant</v>
      </c>
      <c r="T84" s="637">
        <f>NOMENCLATURE_GEN!AB84</f>
        <v>0</v>
      </c>
      <c r="U84" s="442"/>
      <c r="V84" s="9"/>
      <c r="W84" s="10"/>
      <c r="X84" s="11"/>
    </row>
    <row r="85" spans="1:24" s="8" customFormat="1" ht="39.950000000000003" hidden="1" customHeight="1">
      <c r="A85" s="3"/>
      <c r="B85" s="25" t="str">
        <f>IF(NOMENCLATURE_GEN!B85="","",NOMENCLATURE_GEN!B85)</f>
        <v/>
      </c>
      <c r="C85" s="243" t="str">
        <f>IF(NOMENCLATURE_GEN!C85="","",NOMENCLATURE_GEN!C85)</f>
        <v/>
      </c>
      <c r="D85" s="4">
        <f>IF(NOMENCLATURE_GEN!D85="","",NOMENCLATURE_GEN!D85)</f>
        <v>166</v>
      </c>
      <c r="E85" s="4" t="str">
        <f ca="1">IF(NOMENCLATURE_GEN!E85="","",NOMENCLATURE_GEN!E85)</f>
        <v>C</v>
      </c>
      <c r="F85" s="4" t="str">
        <f>IF(NOMENCLATURE_GEN!F85="","",NOMENCLATURE_GEN!F85)</f>
        <v>CYC</v>
      </c>
      <c r="G85" s="154" t="str">
        <f>IF(NOMENCLATURE_GEN!G85="","",NOMENCLATURE_GEN!G85)</f>
        <v>Cyclone &amp; écluse pour table densimétrique - Clapet motorisé</v>
      </c>
      <c r="H85" s="26" t="str">
        <f>IF(NOMENCLATURE_GEN!H85="","",NOMENCLATURE_GEN!H85)</f>
        <v/>
      </c>
      <c r="I85" s="26" t="str">
        <f>IF(NOMENCLATURE_GEN!I85="","",NOMENCLATURE_GEN!I85)</f>
        <v/>
      </c>
      <c r="J85" s="56" t="str">
        <f>IF(NOMENCLATURE_GEN!J85="","",NOMENCLATURE_GEN!J85)</f>
        <v/>
      </c>
      <c r="K85" s="12"/>
      <c r="L85" s="627"/>
      <c r="M85" s="109" t="str">
        <f>IFERROR(VLOOKUP(H85,données!$AC$4:$AL$15,MATCH(F85,données!$AC$2:$AL$2,0),FALSE),"inexistant")</f>
        <v>inexistant</v>
      </c>
      <c r="N85" s="12"/>
      <c r="O85" s="627"/>
      <c r="P85" s="84" t="str">
        <f>IFERROR(VLOOKUP(H85,données!$AC$17:$AL$28,MATCH(F85,données!$AC$2:$AL$2,0),FALSE),"inexistant")</f>
        <v>inexistant</v>
      </c>
      <c r="Q85" s="111"/>
      <c r="R85" s="630"/>
      <c r="S85" s="406" t="str">
        <f>IFERROR(VLOOKUP(H85,données!$AC$30:$AL$41,MATCH(F85,données!$AC$2:$AL$2,0),FALSE),"inexistant")</f>
        <v>inexistant</v>
      </c>
      <c r="T85" s="637">
        <f>NOMENCLATURE_GEN!AB85</f>
        <v>0</v>
      </c>
      <c r="U85" s="442"/>
      <c r="V85" s="9"/>
      <c r="W85" s="10"/>
      <c r="X85" s="11"/>
    </row>
    <row r="86" spans="1:24" s="8" customFormat="1" ht="39.950000000000003" hidden="1" customHeight="1">
      <c r="A86" s="3"/>
      <c r="B86" s="25" t="str">
        <f>IF(NOMENCLATURE_GEN!B86="","",NOMENCLATURE_GEN!B86)</f>
        <v/>
      </c>
      <c r="C86" s="243" t="str">
        <f>IF(NOMENCLATURE_GEN!C86="","",NOMENCLATURE_GEN!C86)</f>
        <v/>
      </c>
      <c r="D86" s="4">
        <f>IF(NOMENCLATURE_GEN!D86="","",NOMENCLATURE_GEN!D86)</f>
        <v>167</v>
      </c>
      <c r="E86" s="4" t="str">
        <f ca="1">IF(NOMENCLATURE_GEN!E86="","",NOMENCLATURE_GEN!E86)</f>
        <v>A</v>
      </c>
      <c r="F86" s="4" t="str">
        <f>IF(NOMENCLATURE_GEN!F86="","",NOMENCLATURE_GEN!F86)</f>
        <v>HYD</v>
      </c>
      <c r="G86" s="154" t="str">
        <f>IF(NOMENCLATURE_GEN!G86="","",NOMENCLATURE_GEN!G86)</f>
        <v>Centrale hydraulique de pilotage des FMA</v>
      </c>
      <c r="H86" s="26" t="str">
        <f>IF(NOMENCLATURE_GEN!H86="","",NOMENCLATURE_GEN!H86)</f>
        <v/>
      </c>
      <c r="I86" s="26" t="str">
        <f>IF(NOMENCLATURE_GEN!I86="","",NOMENCLATURE_GEN!I86)</f>
        <v/>
      </c>
      <c r="J86" s="56" t="str">
        <f>IF(NOMENCLATURE_GEN!J86="","",NOMENCLATURE_GEN!J86)</f>
        <v/>
      </c>
      <c r="K86" s="12"/>
      <c r="L86" s="627"/>
      <c r="M86" s="109" t="str">
        <f>IFERROR(VLOOKUP(H86,données!$AC$4:$AL$15,MATCH(F86,données!$AC$2:$AL$2,0),FALSE),"inexistant")</f>
        <v>inexistant</v>
      </c>
      <c r="N86" s="12"/>
      <c r="O86" s="627"/>
      <c r="P86" s="84" t="str">
        <f>IFERROR(VLOOKUP(H86,données!$AC$17:$AL$28,MATCH(F86,données!$AC$2:$AL$2,0),FALSE),"inexistant")</f>
        <v>inexistant</v>
      </c>
      <c r="Q86" s="111"/>
      <c r="R86" s="630"/>
      <c r="S86" s="406" t="str">
        <f>IFERROR(VLOOKUP(H86,données!$AC$30:$AL$41,MATCH(F86,données!$AC$2:$AL$2,0),FALSE),"inexistant")</f>
        <v>inexistant</v>
      </c>
      <c r="T86" s="637">
        <f>NOMENCLATURE_GEN!AB86</f>
        <v>0</v>
      </c>
      <c r="U86" s="442"/>
      <c r="V86" s="9"/>
      <c r="W86" s="10"/>
      <c r="X86" s="11"/>
    </row>
    <row r="87" spans="1:24" s="8" customFormat="1" ht="39.950000000000003" hidden="1" customHeight="1">
      <c r="A87" s="3"/>
      <c r="B87" s="25" t="str">
        <f>IF(NOMENCLATURE_GEN!B87="","",NOMENCLATURE_GEN!B87)</f>
        <v>SUP</v>
      </c>
      <c r="C87" s="243" t="str">
        <f>IF(NOMENCLATURE_GEN!C87="","",NOMENCLATURE_GEN!C87)</f>
        <v/>
      </c>
      <c r="D87" s="4">
        <f>IF(NOMENCLATURE_GEN!D87="","",NOMENCLATURE_GEN!D87)</f>
        <v>168</v>
      </c>
      <c r="E87" s="4" t="str">
        <f ca="1">IF(NOMENCLATURE_GEN!E87="","",NOMENCLATURE_GEN!E87)</f>
        <v>A</v>
      </c>
      <c r="F87" s="4" t="str">
        <f>IF(NOMENCLATURE_GEN!F87="","",NOMENCLATURE_GEN!F87)</f>
        <v>FMA</v>
      </c>
      <c r="G87" s="154" t="str">
        <f>IF(NOMENCLATURE_GEN!G87="","",NOMENCLATURE_GEN!G87)</f>
        <v>Guide roue des FMA</v>
      </c>
      <c r="H87" s="26" t="str">
        <f>IF(NOMENCLATURE_GEN!H87="","",NOMENCLATURE_GEN!H87)</f>
        <v/>
      </c>
      <c r="I87" s="26" t="str">
        <f>IF(NOMENCLATURE_GEN!I87="","",NOMENCLATURE_GEN!I87)</f>
        <v/>
      </c>
      <c r="J87" s="56" t="str">
        <f>IF(NOMENCLATURE_GEN!J87="","",NOMENCLATURE_GEN!J87)</f>
        <v/>
      </c>
      <c r="K87" s="12"/>
      <c r="L87" s="627"/>
      <c r="M87" s="109" t="str">
        <f>IFERROR(VLOOKUP(H87,données!$AC$4:$AL$15,MATCH(F87,données!$AC$2:$AL$2,0),FALSE),"inexistant")</f>
        <v>inexistant</v>
      </c>
      <c r="N87" s="12"/>
      <c r="O87" s="627"/>
      <c r="P87" s="84" t="str">
        <f>IFERROR(VLOOKUP(H87,données!$AC$17:$AL$28,MATCH(F87,données!$AC$2:$AL$2,0),FALSE),"inexistant")</f>
        <v>inexistant</v>
      </c>
      <c r="Q87" s="111"/>
      <c r="R87" s="630"/>
      <c r="S87" s="406" t="str">
        <f>IFERROR(VLOOKUP(H87,données!$AC$30:$AL$41,MATCH(F87,données!$AC$2:$AL$2,0),FALSE),"inexistant")</f>
        <v>inexistant</v>
      </c>
      <c r="T87" s="637">
        <f>NOMENCLATURE_GEN!AB87</f>
        <v>0</v>
      </c>
      <c r="U87" s="442"/>
      <c r="V87" s="9"/>
      <c r="W87" s="10"/>
      <c r="X87" s="11"/>
    </row>
    <row r="88" spans="1:24" s="8" customFormat="1" ht="39.950000000000003" hidden="1" customHeight="1">
      <c r="A88" s="3"/>
      <c r="B88" s="25" t="str">
        <f>IF(NOMENCLATURE_GEN!B88="","",NOMENCLATURE_GEN!B88)</f>
        <v>SUP</v>
      </c>
      <c r="C88" s="243" t="str">
        <f>IF(NOMENCLATURE_GEN!C88="","",NOMENCLATURE_GEN!C88)</f>
        <v/>
      </c>
      <c r="D88" s="4">
        <f>IF(NOMENCLATURE_GEN!D88="","",NOMENCLATURE_GEN!D88)</f>
        <v>169</v>
      </c>
      <c r="E88" s="4" t="str">
        <f ca="1">IF(NOMENCLATURE_GEN!E88="","",NOMENCLATURE_GEN!E88)</f>
        <v>A</v>
      </c>
      <c r="F88" s="4" t="str">
        <f>IF(NOMENCLATURE_GEN!F88="","",NOMENCLATURE_GEN!F88)</f>
        <v>FMA</v>
      </c>
      <c r="G88" s="154" t="str">
        <f>IF(NOMENCLATURE_GEN!G88="","",NOMENCLATURE_GEN!G88)</f>
        <v>Bloc roue des FMA</v>
      </c>
      <c r="H88" s="26" t="str">
        <f>IF(NOMENCLATURE_GEN!H88="","",NOMENCLATURE_GEN!H88)</f>
        <v/>
      </c>
      <c r="I88" s="26" t="str">
        <f>IF(NOMENCLATURE_GEN!I88="","",NOMENCLATURE_GEN!I88)</f>
        <v/>
      </c>
      <c r="J88" s="56" t="str">
        <f>IF(NOMENCLATURE_GEN!J88="","",NOMENCLATURE_GEN!J88)</f>
        <v/>
      </c>
      <c r="K88" s="12"/>
      <c r="L88" s="627"/>
      <c r="M88" s="109" t="str">
        <f>IFERROR(VLOOKUP(H88,données!$AC$4:$AL$15,MATCH(F88,données!$AC$2:$AL$2,0),FALSE),"inexistant")</f>
        <v>inexistant</v>
      </c>
      <c r="N88" s="12"/>
      <c r="O88" s="627"/>
      <c r="P88" s="84" t="str">
        <f>IFERROR(VLOOKUP(H88,données!$AC$17:$AL$28,MATCH(F88,données!$AC$2:$AL$2,0),FALSE),"inexistant")</f>
        <v>inexistant</v>
      </c>
      <c r="Q88" s="111"/>
      <c r="R88" s="630"/>
      <c r="S88" s="406" t="str">
        <f>IFERROR(VLOOKUP(H88,données!$AC$30:$AL$41,MATCH(F88,données!$AC$2:$AL$2,0),FALSE),"inexistant")</f>
        <v>inexistant</v>
      </c>
      <c r="T88" s="637">
        <f>NOMENCLATURE_GEN!AB88</f>
        <v>0</v>
      </c>
      <c r="U88" s="442"/>
      <c r="V88" s="9"/>
      <c r="W88" s="10"/>
      <c r="X88" s="11"/>
    </row>
    <row r="89" spans="1:24" s="8" customFormat="1" ht="39.950000000000003" hidden="1" customHeight="1">
      <c r="A89" s="3"/>
      <c r="B89" s="25" t="str">
        <f>IF(NOMENCLATURE_GEN!B89="","",NOMENCLATURE_GEN!B89)</f>
        <v/>
      </c>
      <c r="C89" s="243" t="str">
        <f>IF(NOMENCLATURE_GEN!C89="","",NOMENCLATURE_GEN!C89)</f>
        <v/>
      </c>
      <c r="D89" s="4">
        <f>IF(NOMENCLATURE_GEN!D89="","",NOMENCLATURE_GEN!D89)</f>
        <v>170</v>
      </c>
      <c r="E89" s="4" t="str">
        <f ca="1">IF(NOMENCLATURE_GEN!E89="","",NOMENCLATURE_GEN!E89)</f>
        <v>A</v>
      </c>
      <c r="F89" s="4" t="str">
        <f>IF(NOMENCLATURE_GEN!F89="","",NOMENCLATURE_GEN!F89)</f>
        <v>COM</v>
      </c>
      <c r="G89" s="154" t="str">
        <f>IF(NOMENCLATURE_GEN!G89="","",NOMENCLATURE_GEN!G89)</f>
        <v>Compresseur + sécheur pour nettoyage trommel</v>
      </c>
      <c r="H89" s="26" t="str">
        <f>IF(NOMENCLATURE_GEN!H89="","",NOMENCLATURE_GEN!H89)</f>
        <v/>
      </c>
      <c r="I89" s="26" t="str">
        <f>IF(NOMENCLATURE_GEN!I89="","",NOMENCLATURE_GEN!I89)</f>
        <v/>
      </c>
      <c r="J89" s="56" t="str">
        <f>IF(NOMENCLATURE_GEN!J89="","",NOMENCLATURE_GEN!J89)</f>
        <v/>
      </c>
      <c r="K89" s="12"/>
      <c r="L89" s="627"/>
      <c r="M89" s="109" t="str">
        <f>IFERROR(VLOOKUP(H89,données!$AC$4:$AL$15,MATCH(F89,données!$AC$2:$AL$2,0),FALSE),"inexistant")</f>
        <v>inexistant</v>
      </c>
      <c r="N89" s="12"/>
      <c r="O89" s="627"/>
      <c r="P89" s="84" t="str">
        <f>IFERROR(VLOOKUP(H89,données!$AC$17:$AL$28,MATCH(F89,données!$AC$2:$AL$2,0),FALSE),"inexistant")</f>
        <v>inexistant</v>
      </c>
      <c r="Q89" s="111"/>
      <c r="R89" s="630"/>
      <c r="S89" s="406" t="str">
        <f>IFERROR(VLOOKUP(H89,données!$AC$30:$AL$41,MATCH(F89,données!$AC$2:$AL$2,0),FALSE),"inexistant")</f>
        <v>inexistant</v>
      </c>
      <c r="T89" s="637">
        <f>NOMENCLATURE_GEN!AB89</f>
        <v>0</v>
      </c>
      <c r="U89" s="442"/>
      <c r="V89" s="9"/>
      <c r="W89" s="10"/>
      <c r="X89" s="11"/>
    </row>
    <row r="90" spans="1:24" s="8" customFormat="1" ht="39.950000000000003" customHeight="1">
      <c r="A90" s="3"/>
      <c r="B90" s="25" t="str">
        <f>IF(NOMENCLATURE_GEN!B90="","",NOMENCLATURE_GEN!B90)</f>
        <v/>
      </c>
      <c r="C90" s="243" t="str">
        <f>IF(NOMENCLATURE_GEN!C90="","",NOMENCLATURE_GEN!C90)</f>
        <v/>
      </c>
      <c r="D90" s="4">
        <f>IF(NOMENCLATURE_GEN!D90="","",NOMENCLATURE_GEN!D90)</f>
        <v>172</v>
      </c>
      <c r="E90" s="4" t="str">
        <f ca="1">IF(NOMENCLATURE_GEN!E90="","",NOMENCLATURE_GEN!E90)</f>
        <v>A</v>
      </c>
      <c r="F90" s="4" t="str">
        <f>IF(NOMENCLATURE_GEN!F90="","",NOMENCLATURE_GEN!F90)</f>
        <v>CBA</v>
      </c>
      <c r="G90" s="154" t="str">
        <f>IF(NOMENCLATURE_GEN!G90="","",NOMENCLATURE_GEN!G90)</f>
        <v>Convoyeur de reprise des légers 0-8mm by-pass (tampon ou métha)</v>
      </c>
      <c r="H90" s="26">
        <f>IF(NOMENCLATURE_GEN!H90="","",NOMENCLATURE_GEN!H90)</f>
        <v>1000</v>
      </c>
      <c r="I90" s="26">
        <f>IF(NOMENCLATURE_GEN!I90="","",NOMENCLATURE_GEN!I90)</f>
        <v>18250</v>
      </c>
      <c r="J90" s="56">
        <f>IF(NOMENCLATURE_GEN!J90="","",NOMENCLATURE_GEN!J90)</f>
        <v>12</v>
      </c>
      <c r="K90" s="12">
        <f>V90+W90-X90</f>
        <v>28</v>
      </c>
      <c r="L90" s="627">
        <v>29</v>
      </c>
      <c r="M90" s="109" t="str">
        <f>IFERROR(VLOOKUP(H90,données!$AC$4:$AL$15,MATCH(F90,données!$AC$2:$AL$2,0),FALSE),"inexistant")</f>
        <v>CBA1000020</v>
      </c>
      <c r="N90" s="12">
        <v>7</v>
      </c>
      <c r="O90" s="627">
        <v>7</v>
      </c>
      <c r="P90" s="84" t="str">
        <f>IFERROR(VLOOKUP(H90,données!$AC$17:$AL$28,MATCH(F90,données!$AC$2:$AL$2,0),FALSE),"inexistant")</f>
        <v>CBA1000008</v>
      </c>
      <c r="Q90" s="110">
        <f>2*K90</f>
        <v>56</v>
      </c>
      <c r="R90" s="627">
        <f t="shared" ref="R90:R92" si="8">2*L90</f>
        <v>58</v>
      </c>
      <c r="S90" s="406" t="str">
        <f>IFERROR(VLOOKUP(H90,données!$AC$30:$AL$41,MATCH(F90,données!$AC$2:$AL$2,0),FALSE),"inexistant")</f>
        <v>CBA0000175</v>
      </c>
      <c r="T90" s="637" t="str">
        <f>NOMENCLATURE_GEN!AB90</f>
        <v>0-8</v>
      </c>
      <c r="U90" s="442">
        <v>2500</v>
      </c>
      <c r="V90" s="9">
        <f>ROUNDUP(I90/1000,0)</f>
        <v>19</v>
      </c>
      <c r="W90" s="10">
        <v>9</v>
      </c>
      <c r="X90" s="11"/>
    </row>
    <row r="91" spans="1:24" s="8" customFormat="1" ht="39.950000000000003" customHeight="1">
      <c r="A91" s="3"/>
      <c r="B91" s="25" t="str">
        <f>IF(NOMENCLATURE_GEN!B91="","",NOMENCLATURE_GEN!B91)</f>
        <v/>
      </c>
      <c r="C91" s="243" t="str">
        <f>IF(NOMENCLATURE_GEN!C91="","",NOMENCLATURE_GEN!C91)</f>
        <v/>
      </c>
      <c r="D91" s="4">
        <f>IF(NOMENCLATURE_GEN!D91="","",NOMENCLATURE_GEN!D91)</f>
        <v>173</v>
      </c>
      <c r="E91" s="4" t="str">
        <f ca="1">IF(NOMENCLATURE_GEN!E91="","",NOMENCLATURE_GEN!E91)</f>
        <v>A</v>
      </c>
      <c r="F91" s="4" t="str">
        <f>IF(NOMENCLATURE_GEN!F91="","",NOMENCLATURE_GEN!F91)</f>
        <v>CBA</v>
      </c>
      <c r="G91" s="154" t="str">
        <f>IF(NOMENCLATURE_GEN!G91="","",NOMENCLATURE_GEN!G91)</f>
        <v>Convoyeur de transfert des légers 0-8mm vers métha</v>
      </c>
      <c r="H91" s="26">
        <f>IF(NOMENCLATURE_GEN!H91="","",NOMENCLATURE_GEN!H91)</f>
        <v>1000</v>
      </c>
      <c r="I91" s="26">
        <f>IF(NOMENCLATURE_GEN!I91="","",NOMENCLATURE_GEN!I91)</f>
        <v>12750</v>
      </c>
      <c r="J91" s="56">
        <f>IF(NOMENCLATURE_GEN!J91="","",NOMENCLATURE_GEN!J91)</f>
        <v>18</v>
      </c>
      <c r="K91" s="12">
        <f>V91+W91-X91</f>
        <v>27</v>
      </c>
      <c r="L91" s="627">
        <v>25</v>
      </c>
      <c r="M91" s="109" t="str">
        <f>IFERROR(VLOOKUP(H91,données!$AC$4:$AL$15,MATCH(F91,données!$AC$2:$AL$2,0),FALSE),"inexistant")</f>
        <v>CBA1000020</v>
      </c>
      <c r="N91" s="12">
        <v>6</v>
      </c>
      <c r="O91" s="627">
        <v>5</v>
      </c>
      <c r="P91" s="84" t="str">
        <f>IFERROR(VLOOKUP(H91,données!$AC$17:$AL$28,MATCH(F91,données!$AC$2:$AL$2,0),FALSE),"inexistant")</f>
        <v>CBA1000008</v>
      </c>
      <c r="Q91" s="110">
        <f>2*K91</f>
        <v>54</v>
      </c>
      <c r="R91" s="627">
        <f t="shared" si="8"/>
        <v>50</v>
      </c>
      <c r="S91" s="406" t="str">
        <f>IFERROR(VLOOKUP(H91,données!$AC$30:$AL$41,MATCH(F91,données!$AC$2:$AL$2,0),FALSE),"inexistant")</f>
        <v>CBA0000175</v>
      </c>
      <c r="T91" s="637" t="str">
        <f>NOMENCLATURE_GEN!AB91</f>
        <v>0-8</v>
      </c>
      <c r="U91" s="442">
        <v>4000</v>
      </c>
      <c r="V91" s="9">
        <f>ROUNDUP(I91/1000,0)</f>
        <v>13</v>
      </c>
      <c r="W91" s="10">
        <v>14</v>
      </c>
      <c r="X91" s="11"/>
    </row>
    <row r="92" spans="1:24" s="8" customFormat="1" ht="39.950000000000003" customHeight="1">
      <c r="A92" s="3"/>
      <c r="B92" s="25" t="str">
        <f>IF(NOMENCLATURE_GEN!B92="","",NOMENCLATURE_GEN!B92)</f>
        <v/>
      </c>
      <c r="C92" s="243" t="str">
        <f>IF(NOMENCLATURE_GEN!C92="","",NOMENCLATURE_GEN!C92)</f>
        <v/>
      </c>
      <c r="D92" s="4">
        <f>IF(NOMENCLATURE_GEN!D92="","",NOMENCLATURE_GEN!D92)</f>
        <v>174</v>
      </c>
      <c r="E92" s="4" t="str">
        <f ca="1">IF(NOMENCLATURE_GEN!E92="","",NOMENCLATURE_GEN!E92)</f>
        <v>A</v>
      </c>
      <c r="F92" s="4" t="str">
        <f>IF(NOMENCLATURE_GEN!F92="","",NOMENCLATURE_GEN!F92)</f>
        <v>CBA</v>
      </c>
      <c r="G92" s="154" t="str">
        <f>IF(NOMENCLATURE_GEN!G92="","",NOMENCLATURE_GEN!G92)</f>
        <v>Convoyeur de transfert vers tampon (casier de stockage ou trémie tampon)</v>
      </c>
      <c r="H92" s="26">
        <f>IF(NOMENCLATURE_GEN!H92="","",NOMENCLATURE_GEN!H92)</f>
        <v>1000</v>
      </c>
      <c r="I92" s="26">
        <f>IF(NOMENCLATURE_GEN!I92="","",NOMENCLATURE_GEN!I92)</f>
        <v>7250</v>
      </c>
      <c r="J92" s="56">
        <f>IF(NOMENCLATURE_GEN!J92="","",NOMENCLATURE_GEN!J92)</f>
        <v>15</v>
      </c>
      <c r="K92" s="12">
        <f>V92+W92-X92</f>
        <v>14</v>
      </c>
      <c r="L92" s="627">
        <v>11</v>
      </c>
      <c r="M92" s="109" t="str">
        <f>IFERROR(VLOOKUP(H92,données!$AC$4:$AL$15,MATCH(F92,données!$AC$2:$AL$2,0),FALSE),"inexistant")</f>
        <v>CBA1000020</v>
      </c>
      <c r="N92" s="12">
        <v>4</v>
      </c>
      <c r="O92" s="627">
        <v>4</v>
      </c>
      <c r="P92" s="84" t="str">
        <f>IFERROR(VLOOKUP(H92,données!$AC$17:$AL$28,MATCH(F92,données!$AC$2:$AL$2,0),FALSE),"inexistant")</f>
        <v>CBA1000008</v>
      </c>
      <c r="Q92" s="110">
        <f>2*K92</f>
        <v>28</v>
      </c>
      <c r="R92" s="627">
        <f t="shared" si="8"/>
        <v>22</v>
      </c>
      <c r="S92" s="406" t="str">
        <f>IFERROR(VLOOKUP(H92,données!$AC$30:$AL$41,MATCH(F92,données!$AC$2:$AL$2,0),FALSE),"inexistant")</f>
        <v>CBA0000175</v>
      </c>
      <c r="T92" s="637" t="str">
        <f>NOMENCLATURE_GEN!AB92</f>
        <v>0-8</v>
      </c>
      <c r="U92" s="442">
        <v>1500</v>
      </c>
      <c r="V92" s="9">
        <f>ROUNDUP(I92/1000,0)</f>
        <v>8</v>
      </c>
      <c r="W92" s="10">
        <v>6</v>
      </c>
      <c r="X92" s="11"/>
    </row>
    <row r="93" spans="1:24" s="8" customFormat="1" ht="39.950000000000003" hidden="1" customHeight="1">
      <c r="A93" s="3"/>
      <c r="B93" s="25" t="str">
        <f>IF(NOMENCLATURE_GEN!B93="","",NOMENCLATURE_GEN!B93)</f>
        <v/>
      </c>
      <c r="C93" s="243" t="str">
        <f>IF(NOMENCLATURE_GEN!C93="","",NOMENCLATURE_GEN!C93)</f>
        <v/>
      </c>
      <c r="D93" s="4">
        <f>IF(NOMENCLATURE_GEN!D93="","",NOMENCLATURE_GEN!D93)</f>
        <v>175</v>
      </c>
      <c r="E93" s="4" t="str">
        <f ca="1">IF(NOMENCLATURE_GEN!E93="","",NOMENCLATURE_GEN!E93)</f>
        <v>A</v>
      </c>
      <c r="F93" s="4" t="str">
        <f>IF(NOMENCLATURE_GEN!F93="","",NOMENCLATURE_GEN!F93)</f>
        <v>GLT</v>
      </c>
      <c r="G93" s="154" t="str">
        <f>IF(NOMENCLATURE_GEN!G93="","",NOMENCLATURE_GEN!G93)</f>
        <v>Goulotte by-pass (casier ou trémie tampon)</v>
      </c>
      <c r="H93" s="26" t="str">
        <f>IF(NOMENCLATURE_GEN!H93="","",NOMENCLATURE_GEN!H93)</f>
        <v/>
      </c>
      <c r="I93" s="26" t="str">
        <f>IF(NOMENCLATURE_GEN!I93="","",NOMENCLATURE_GEN!I93)</f>
        <v/>
      </c>
      <c r="J93" s="56" t="str">
        <f>IF(NOMENCLATURE_GEN!J93="","",NOMENCLATURE_GEN!J93)</f>
        <v/>
      </c>
      <c r="K93" s="12"/>
      <c r="L93" s="627"/>
      <c r="M93" s="109" t="str">
        <f>IFERROR(VLOOKUP(H93,données!$AC$4:$AL$15,MATCH(F93,données!$AC$2:$AL$2,0),FALSE),"inexistant")</f>
        <v>inexistant</v>
      </c>
      <c r="N93" s="12"/>
      <c r="O93" s="627"/>
      <c r="P93" s="84" t="str">
        <f>IFERROR(VLOOKUP(H93,données!$AC$17:$AL$28,MATCH(F93,données!$AC$2:$AL$2,0),FALSE),"inexistant")</f>
        <v>inexistant</v>
      </c>
      <c r="Q93" s="111"/>
      <c r="R93" s="630"/>
      <c r="S93" s="406" t="str">
        <f>IFERROR(VLOOKUP(H93,données!$AC$30:$AL$41,MATCH(F93,données!$AC$2:$AL$2,0),FALSE),"inexistant")</f>
        <v>inexistant</v>
      </c>
      <c r="T93" s="637" t="str">
        <f>NOMENCLATURE_GEN!AB93</f>
        <v>0-8</v>
      </c>
      <c r="U93" s="442"/>
      <c r="V93" s="9"/>
      <c r="W93" s="10"/>
      <c r="X93" s="11"/>
    </row>
    <row r="94" spans="1:24" s="8" customFormat="1" ht="39.950000000000003" hidden="1" customHeight="1">
      <c r="A94" s="3"/>
      <c r="B94" s="25" t="str">
        <f>IF(NOMENCLATURE_GEN!B94="","",NOMENCLATURE_GEN!B94)</f>
        <v>SUP</v>
      </c>
      <c r="C94" s="243" t="str">
        <f>IF(NOMENCLATURE_GEN!C94="","",NOMENCLATURE_GEN!C94)</f>
        <v/>
      </c>
      <c r="D94" s="4">
        <f>IF(NOMENCLATURE_GEN!D94="","",NOMENCLATURE_GEN!D94)</f>
        <v>176</v>
      </c>
      <c r="E94" s="4" t="str">
        <f ca="1">IF(NOMENCLATURE_GEN!E94="","",NOMENCLATURE_GEN!E94)</f>
        <v>A</v>
      </c>
      <c r="F94" s="4" t="str">
        <f>IF(NOMENCLATURE_GEN!F94="","",NOMENCLATURE_GEN!F94)</f>
        <v>TRE</v>
      </c>
      <c r="G94" s="154" t="str">
        <f>IF(NOMENCLATURE_GEN!G94="","",NOMENCLATURE_GEN!G94)</f>
        <v>Trémie de chargement</v>
      </c>
      <c r="H94" s="26" t="str">
        <f>IF(NOMENCLATURE_GEN!H94="","",NOMENCLATURE_GEN!H94)</f>
        <v/>
      </c>
      <c r="I94" s="26" t="str">
        <f>IF(NOMENCLATURE_GEN!I94="","",NOMENCLATURE_GEN!I94)</f>
        <v/>
      </c>
      <c r="J94" s="56" t="str">
        <f>IF(NOMENCLATURE_GEN!J94="","",NOMENCLATURE_GEN!J94)</f>
        <v/>
      </c>
      <c r="K94" s="12"/>
      <c r="L94" s="627"/>
      <c r="M94" s="109" t="str">
        <f>IFERROR(VLOOKUP(H94,données!$AC$4:$AL$15,MATCH(F94,données!$AC$2:$AL$2,0),FALSE),"inexistant")</f>
        <v>inexistant</v>
      </c>
      <c r="N94" s="12"/>
      <c r="O94" s="627"/>
      <c r="P94" s="84" t="str">
        <f>IFERROR(VLOOKUP(H94,données!$AC$17:$AL$28,MATCH(F94,données!$AC$2:$AL$2,0),FALSE),"inexistant")</f>
        <v>inexistant</v>
      </c>
      <c r="Q94" s="111"/>
      <c r="R94" s="630"/>
      <c r="S94" s="406" t="str">
        <f>IFERROR(VLOOKUP(H94,données!$AC$30:$AL$41,MATCH(F94,données!$AC$2:$AL$2,0),FALSE),"inexistant")</f>
        <v>inexistant</v>
      </c>
      <c r="T94" s="637" t="str">
        <f>NOMENCLATURE_GEN!AB94</f>
        <v>0-8</v>
      </c>
      <c r="U94" s="442"/>
      <c r="V94" s="9"/>
      <c r="W94" s="10"/>
      <c r="X94" s="11"/>
    </row>
    <row r="95" spans="1:24" s="8" customFormat="1" ht="39.950000000000003" hidden="1" customHeight="1">
      <c r="A95" s="3"/>
      <c r="B95" s="25" t="str">
        <f>IF(NOMENCLATURE_GEN!B95="","",NOMENCLATURE_GEN!B95)</f>
        <v/>
      </c>
      <c r="C95" s="243" t="str">
        <f>IF(NOMENCLATURE_GEN!C95="","",NOMENCLATURE_GEN!C95)</f>
        <v/>
      </c>
      <c r="D95" s="4">
        <f>IF(NOMENCLATURE_GEN!D95="","",NOMENCLATURE_GEN!D95)</f>
        <v>177</v>
      </c>
      <c r="E95" s="4" t="str">
        <f ca="1">IF(NOMENCLATURE_GEN!E95="","",NOMENCLATURE_GEN!E95)</f>
        <v>A</v>
      </c>
      <c r="F95" s="4" t="str">
        <f>IF(NOMENCLATURE_GEN!F95="","",NOMENCLATURE_GEN!F95)</f>
        <v>EAB</v>
      </c>
      <c r="G95" s="154" t="str">
        <f>IF(NOMENCLATURE_GEN!G95="","",NOMENCLATURE_GEN!G95)</f>
        <v>Convoyeur alimentateur</v>
      </c>
      <c r="H95" s="26">
        <f>IF(NOMENCLATURE_GEN!H95="","",NOMENCLATURE_GEN!H95)</f>
        <v>1600</v>
      </c>
      <c r="I95" s="26">
        <f>IF(NOMENCLATURE_GEN!I95="","",NOMENCLATURE_GEN!I95)</f>
        <v>11500</v>
      </c>
      <c r="J95" s="56">
        <f>IF(NOMENCLATURE_GEN!J95="","",NOMENCLATURE_GEN!J95)</f>
        <v>8</v>
      </c>
      <c r="K95" s="12"/>
      <c r="L95" s="627"/>
      <c r="M95" s="109" t="str">
        <f>IFERROR(VLOOKUP(H95,données!$AC$4:$AL$15,MATCH(F95,données!$AC$2:$AL$2,0),FALSE),"inexistant")</f>
        <v>inexistant</v>
      </c>
      <c r="N95" s="12"/>
      <c r="O95" s="627"/>
      <c r="P95" s="84" t="str">
        <f>IFERROR(VLOOKUP(H95,données!$AC$17:$AL$28,MATCH(F95,données!$AC$2:$AL$2,0),FALSE),"inexistant")</f>
        <v>inexistant</v>
      </c>
      <c r="Q95" s="111"/>
      <c r="R95" s="630"/>
      <c r="S95" s="406" t="str">
        <f>IFERROR(VLOOKUP(H95,données!$AC$30:$AL$41,MATCH(F95,données!$AC$2:$AL$2,0),FALSE),"inexistant")</f>
        <v>inexistant</v>
      </c>
      <c r="T95" s="637" t="str">
        <f>NOMENCLATURE_GEN!AB95</f>
        <v>0-8</v>
      </c>
      <c r="U95" s="442"/>
      <c r="V95" s="9"/>
      <c r="W95" s="10"/>
      <c r="X95" s="11"/>
    </row>
    <row r="96" spans="1:24" s="8" customFormat="1" ht="39.950000000000003" hidden="1" customHeight="1">
      <c r="A96" s="3"/>
      <c r="B96" s="25" t="str">
        <f>IF(NOMENCLATURE_GEN!B96="","",NOMENCLATURE_GEN!B96)</f>
        <v/>
      </c>
      <c r="C96" s="243" t="str">
        <f>IF(NOMENCLATURE_GEN!C96="","",NOMENCLATURE_GEN!C96)</f>
        <v/>
      </c>
      <c r="D96" s="4">
        <f>IF(NOMENCLATURE_GEN!D96="","",NOMENCLATURE_GEN!D96)</f>
        <v>177</v>
      </c>
      <c r="E96" s="4" t="str">
        <f ca="1">IF(NOMENCLATURE_GEN!E96="","",NOMENCLATURE_GEN!E96)</f>
        <v>B</v>
      </c>
      <c r="F96" s="4" t="str">
        <f>IF(NOMENCLATURE_GEN!F96="","",NOMENCLATURE_GEN!F96)</f>
        <v>GRA</v>
      </c>
      <c r="G96" s="154" t="str">
        <f>IF(NOMENCLATURE_GEN!G96="","",NOMENCLATURE_GEN!G96)</f>
        <v>Convoyeur à bande et chaines - Centrale de graissage</v>
      </c>
      <c r="H96" s="26" t="str">
        <f>IF(NOMENCLATURE_GEN!H96="","",NOMENCLATURE_GEN!H96)</f>
        <v/>
      </c>
      <c r="I96" s="26" t="str">
        <f>IF(NOMENCLATURE_GEN!I96="","",NOMENCLATURE_GEN!I96)</f>
        <v/>
      </c>
      <c r="J96" s="56" t="str">
        <f>IF(NOMENCLATURE_GEN!J96="","",NOMENCLATURE_GEN!J96)</f>
        <v/>
      </c>
      <c r="K96" s="12"/>
      <c r="L96" s="627"/>
      <c r="M96" s="109" t="str">
        <f>IFERROR(VLOOKUP(H96,données!$AC$4:$AL$15,MATCH(F96,données!$AC$2:$AL$2,0),FALSE),"inexistant")</f>
        <v>inexistant</v>
      </c>
      <c r="N96" s="12"/>
      <c r="O96" s="627"/>
      <c r="P96" s="84" t="str">
        <f>IFERROR(VLOOKUP(H96,données!$AC$17:$AL$28,MATCH(F96,données!$AC$2:$AL$2,0),FALSE),"inexistant")</f>
        <v>inexistant</v>
      </c>
      <c r="Q96" s="111"/>
      <c r="R96" s="630"/>
      <c r="S96" s="406" t="str">
        <f>IFERROR(VLOOKUP(H96,données!$AC$30:$AL$41,MATCH(F96,données!$AC$2:$AL$2,0),FALSE),"inexistant")</f>
        <v>inexistant</v>
      </c>
      <c r="T96" s="637" t="str">
        <f>NOMENCLATURE_GEN!AB96</f>
        <v>0-8</v>
      </c>
      <c r="U96" s="442"/>
      <c r="V96" s="9"/>
      <c r="W96" s="10"/>
      <c r="X96" s="11"/>
    </row>
    <row r="97" spans="1:24" s="8" customFormat="1" ht="39.950000000000003" hidden="1" customHeight="1">
      <c r="A97" s="3"/>
      <c r="B97" s="25" t="str">
        <f>IF(NOMENCLATURE_GEN!B97="","",NOMENCLATURE_GEN!B97)</f>
        <v/>
      </c>
      <c r="C97" s="243" t="str">
        <f>IF(NOMENCLATURE_GEN!C97="","",NOMENCLATURE_GEN!C97)</f>
        <v/>
      </c>
      <c r="D97" s="4">
        <f>IF(NOMENCLATURE_GEN!D97="","",NOMENCLATURE_GEN!D97)</f>
        <v>178</v>
      </c>
      <c r="E97" s="4" t="str">
        <f ca="1">IF(NOMENCLATURE_GEN!E97="","",NOMENCLATURE_GEN!E97)</f>
        <v>A</v>
      </c>
      <c r="F97" s="4" t="str">
        <f>IF(NOMENCLATURE_GEN!F97="","",NOMENCLATURE_GEN!F97)</f>
        <v>REG</v>
      </c>
      <c r="G97" s="154" t="str">
        <f>IF(NOMENCLATURE_GEN!G97="","",NOMENCLATURE_GEN!G97)</f>
        <v>Ebouleur</v>
      </c>
      <c r="H97" s="26">
        <f>IF(NOMENCLATURE_GEN!H97="","",NOMENCLATURE_GEN!H97)</f>
        <v>1600</v>
      </c>
      <c r="I97" s="26" t="str">
        <f>IF(NOMENCLATURE_GEN!I97="","",NOMENCLATURE_GEN!I97)</f>
        <v>Ø450</v>
      </c>
      <c r="J97" s="56" t="str">
        <f>IF(NOMENCLATURE_GEN!J97="","",NOMENCLATURE_GEN!J97)</f>
        <v/>
      </c>
      <c r="K97" s="12"/>
      <c r="L97" s="627"/>
      <c r="M97" s="109" t="str">
        <f>IFERROR(VLOOKUP(H97,données!$AC$4:$AL$15,MATCH(F97,données!$AC$2:$AL$2,0),FALSE),"inexistant")</f>
        <v>inexistant</v>
      </c>
      <c r="N97" s="12"/>
      <c r="O97" s="627"/>
      <c r="P97" s="84" t="str">
        <f>IFERROR(VLOOKUP(H97,données!$AC$17:$AL$28,MATCH(F97,données!$AC$2:$AL$2,0),FALSE),"inexistant")</f>
        <v>inexistant</v>
      </c>
      <c r="Q97" s="111"/>
      <c r="R97" s="630"/>
      <c r="S97" s="406" t="str">
        <f>IFERROR(VLOOKUP(H97,données!$AC$30:$AL$41,MATCH(F97,données!$AC$2:$AL$2,0),FALSE),"inexistant")</f>
        <v>inexistant</v>
      </c>
      <c r="T97" s="637" t="str">
        <f>NOMENCLATURE_GEN!AB97</f>
        <v>0-8</v>
      </c>
      <c r="U97" s="442"/>
      <c r="V97" s="9"/>
      <c r="W97" s="10"/>
      <c r="X97" s="11"/>
    </row>
    <row r="98" spans="1:24" s="8" customFormat="1" ht="39.950000000000003" hidden="1" customHeight="1">
      <c r="A98" s="3"/>
      <c r="B98" s="25" t="str">
        <f>IF(NOMENCLATURE_GEN!B98="","",NOMENCLATURE_GEN!B98)</f>
        <v/>
      </c>
      <c r="C98" s="243" t="str">
        <f>IF(NOMENCLATURE_GEN!C98="","",NOMENCLATURE_GEN!C98)</f>
        <v/>
      </c>
      <c r="D98" s="4">
        <f>IF(NOMENCLATURE_GEN!D98="","",NOMENCLATURE_GEN!D98)</f>
        <v>178</v>
      </c>
      <c r="E98" s="4" t="str">
        <f ca="1">IF(NOMENCLATURE_GEN!E98="","",NOMENCLATURE_GEN!E98)</f>
        <v>B</v>
      </c>
      <c r="F98" s="4" t="str">
        <f>IF(NOMENCLATURE_GEN!F98="","",NOMENCLATURE_GEN!F98)</f>
        <v>REG</v>
      </c>
      <c r="G98" s="154" t="str">
        <f>IF(NOMENCLATURE_GEN!G98="","",NOMENCLATURE_GEN!G98)</f>
        <v>Ebouleur</v>
      </c>
      <c r="H98" s="26">
        <f>IF(NOMENCLATURE_GEN!H98="","",NOMENCLATURE_GEN!H98)</f>
        <v>1600</v>
      </c>
      <c r="I98" s="26" t="str">
        <f>IF(NOMENCLATURE_GEN!I98="","",NOMENCLATURE_GEN!I98)</f>
        <v>Ø450</v>
      </c>
      <c r="J98" s="56" t="str">
        <f>IF(NOMENCLATURE_GEN!J98="","",NOMENCLATURE_GEN!J98)</f>
        <v/>
      </c>
      <c r="K98" s="12"/>
      <c r="L98" s="627"/>
      <c r="M98" s="109" t="str">
        <f>IFERROR(VLOOKUP(H98,données!$AC$4:$AL$15,MATCH(F98,données!$AC$2:$AL$2,0),FALSE),"inexistant")</f>
        <v>inexistant</v>
      </c>
      <c r="N98" s="12"/>
      <c r="O98" s="627"/>
      <c r="P98" s="84" t="str">
        <f>IFERROR(VLOOKUP(H98,données!$AC$17:$AL$28,MATCH(F98,données!$AC$2:$AL$2,0),FALSE),"inexistant")</f>
        <v>inexistant</v>
      </c>
      <c r="Q98" s="111"/>
      <c r="R98" s="630"/>
      <c r="S98" s="406" t="str">
        <f>IFERROR(VLOOKUP(H98,données!$AC$30:$AL$41,MATCH(F98,données!$AC$2:$AL$2,0),FALSE),"inexistant")</f>
        <v>inexistant</v>
      </c>
      <c r="T98" s="637" t="str">
        <f>NOMENCLATURE_GEN!AB98</f>
        <v>0-8</v>
      </c>
      <c r="U98" s="442"/>
      <c r="V98" s="9"/>
      <c r="W98" s="10"/>
      <c r="X98" s="11"/>
    </row>
    <row r="99" spans="1:24" s="8" customFormat="1" ht="39.950000000000003" customHeight="1">
      <c r="A99" s="3"/>
      <c r="B99" s="25" t="str">
        <f>IF(NOMENCLATURE_GEN!B99="","",NOMENCLATURE_GEN!B99)</f>
        <v/>
      </c>
      <c r="C99" s="243" t="str">
        <f>IF(NOMENCLATURE_GEN!C99="","",NOMENCLATURE_GEN!C99)</f>
        <v/>
      </c>
      <c r="D99" s="4">
        <f>IF(NOMENCLATURE_GEN!D99="","",NOMENCLATURE_GEN!D99)</f>
        <v>179</v>
      </c>
      <c r="E99" s="4" t="str">
        <f ca="1">IF(NOMENCLATURE_GEN!E99="","",NOMENCLATURE_GEN!E99)</f>
        <v>A</v>
      </c>
      <c r="F99" s="4" t="str">
        <f>IF(NOMENCLATURE_GEN!F99="","",NOMENCLATURE_GEN!F99)</f>
        <v>CBA</v>
      </c>
      <c r="G99" s="154" t="str">
        <f>IF(NOMENCLATURE_GEN!G99="","",NOMENCLATURE_GEN!G99)</f>
        <v>Convoyeur de transfert des légers 0-8mm vers métha</v>
      </c>
      <c r="H99" s="26">
        <f>IF(NOMENCLATURE_GEN!H99="","",NOMENCLATURE_GEN!H99)</f>
        <v>1000</v>
      </c>
      <c r="I99" s="26">
        <f>IF(NOMENCLATURE_GEN!I99="","",NOMENCLATURE_GEN!I99)</f>
        <v>18250</v>
      </c>
      <c r="J99" s="56">
        <f>IF(NOMENCLATURE_GEN!J99="","",NOMENCLATURE_GEN!J99)</f>
        <v>9</v>
      </c>
      <c r="K99" s="12">
        <f>V99+W99-X99</f>
        <v>27</v>
      </c>
      <c r="L99" s="627">
        <v>29</v>
      </c>
      <c r="M99" s="109" t="str">
        <f>IFERROR(VLOOKUP(H99,données!$AC$4:$AL$15,MATCH(F99,données!$AC$2:$AL$2,0),FALSE),"inexistant")</f>
        <v>CBA1000020</v>
      </c>
      <c r="N99" s="12">
        <v>7</v>
      </c>
      <c r="O99" s="627">
        <v>7</v>
      </c>
      <c r="P99" s="84" t="str">
        <f>IFERROR(VLOOKUP(H99,données!$AC$17:$AL$28,MATCH(F99,données!$AC$2:$AL$2,0),FALSE),"inexistant")</f>
        <v>CBA1000008</v>
      </c>
      <c r="Q99" s="110">
        <f>2*K99</f>
        <v>54</v>
      </c>
      <c r="R99" s="627">
        <f t="shared" ref="R99:R101" si="9">2*L99</f>
        <v>58</v>
      </c>
      <c r="S99" s="406" t="str">
        <f>IFERROR(VLOOKUP(H99,données!$AC$30:$AL$41,MATCH(F99,données!$AC$2:$AL$2,0),FALSE),"inexistant")</f>
        <v>CBA0000175</v>
      </c>
      <c r="T99" s="637" t="str">
        <f>NOMENCLATURE_GEN!AB99</f>
        <v>0-8</v>
      </c>
      <c r="U99" s="442">
        <v>2000</v>
      </c>
      <c r="V99" s="9">
        <f>ROUNDUP(I99/1000,0)</f>
        <v>19</v>
      </c>
      <c r="W99" s="10">
        <v>8</v>
      </c>
      <c r="X99" s="11"/>
    </row>
    <row r="100" spans="1:24" s="8" customFormat="1" ht="39.950000000000003" customHeight="1">
      <c r="A100" s="3"/>
      <c r="B100" s="25" t="str">
        <f>IF(NOMENCLATURE_GEN!B100="","",NOMENCLATURE_GEN!B100)</f>
        <v/>
      </c>
      <c r="C100" s="243" t="str">
        <f>IF(NOMENCLATURE_GEN!C100="","",NOMENCLATURE_GEN!C100)</f>
        <v/>
      </c>
      <c r="D100" s="4">
        <f>IF(NOMENCLATURE_GEN!D100="","",NOMENCLATURE_GEN!D100)</f>
        <v>180</v>
      </c>
      <c r="E100" s="4" t="str">
        <f ca="1">IF(NOMENCLATURE_GEN!E100="","",NOMENCLATURE_GEN!E100)</f>
        <v>A</v>
      </c>
      <c r="F100" s="4" t="str">
        <f>IF(NOMENCLATURE_GEN!F100="","",NOMENCLATURE_GEN!F100)</f>
        <v>CBA</v>
      </c>
      <c r="G100" s="154" t="str">
        <f>IF(NOMENCLATURE_GEN!G100="","",NOMENCLATURE_GEN!G100)</f>
        <v>Convoyeur de transfert des légers 0-8mm vers métha</v>
      </c>
      <c r="H100" s="26">
        <f>IF(NOMENCLATURE_GEN!H100="","",NOMENCLATURE_GEN!H100)</f>
        <v>1000</v>
      </c>
      <c r="I100" s="26">
        <f>IF(NOMENCLATURE_GEN!I100="","",NOMENCLATURE_GEN!I100)</f>
        <v>6250</v>
      </c>
      <c r="J100" s="56">
        <f>IF(NOMENCLATURE_GEN!J100="","",NOMENCLATURE_GEN!J100)</f>
        <v>18</v>
      </c>
      <c r="K100" s="12">
        <f>V100+W100-X100</f>
        <v>13</v>
      </c>
      <c r="L100" s="627">
        <v>12</v>
      </c>
      <c r="M100" s="109" t="str">
        <f>IFERROR(VLOOKUP(H100,données!$AC$4:$AL$15,MATCH(F100,données!$AC$2:$AL$2,0),FALSE),"inexistant")</f>
        <v>CBA1000020</v>
      </c>
      <c r="N100" s="12">
        <v>3</v>
      </c>
      <c r="O100" s="627">
        <v>3</v>
      </c>
      <c r="P100" s="84" t="str">
        <f>IFERROR(VLOOKUP(H100,données!$AC$17:$AL$28,MATCH(F100,données!$AC$2:$AL$2,0),FALSE),"inexistant")</f>
        <v>CBA1000008</v>
      </c>
      <c r="Q100" s="110">
        <f>2*K100</f>
        <v>26</v>
      </c>
      <c r="R100" s="627">
        <f t="shared" si="9"/>
        <v>24</v>
      </c>
      <c r="S100" s="406" t="str">
        <f>IFERROR(VLOOKUP(H100,données!$AC$30:$AL$41,MATCH(F100,données!$AC$2:$AL$2,0),FALSE),"inexistant")</f>
        <v>CBA0000175</v>
      </c>
      <c r="T100" s="637" t="str">
        <f>NOMENCLATURE_GEN!AB100</f>
        <v>0-8</v>
      </c>
      <c r="U100" s="442">
        <v>1500</v>
      </c>
      <c r="V100" s="9">
        <f>ROUNDUP(I100/1000,0)</f>
        <v>7</v>
      </c>
      <c r="W100" s="10">
        <v>6</v>
      </c>
      <c r="X100" s="11"/>
    </row>
    <row r="101" spans="1:24" s="8" customFormat="1" ht="39.950000000000003" customHeight="1">
      <c r="A101" s="3"/>
      <c r="B101" s="25" t="str">
        <f>IF(NOMENCLATURE_GEN!B101="","",NOMENCLATURE_GEN!B101)</f>
        <v/>
      </c>
      <c r="C101" s="243" t="str">
        <f>IF(NOMENCLATURE_GEN!C101="","",NOMENCLATURE_GEN!C101)</f>
        <v/>
      </c>
      <c r="D101" s="4">
        <f>IF(NOMENCLATURE_GEN!D101="","",NOMENCLATURE_GEN!D101)</f>
        <v>181</v>
      </c>
      <c r="E101" s="4" t="str">
        <f ca="1">IF(NOMENCLATURE_GEN!E101="","",NOMENCLATURE_GEN!E101)</f>
        <v>A</v>
      </c>
      <c r="F101" s="4" t="str">
        <f>IF(NOMENCLATURE_GEN!F101="","",NOMENCLATURE_GEN!F101)</f>
        <v>CBA</v>
      </c>
      <c r="G101" s="154" t="str">
        <f>IF(NOMENCLATURE_GEN!G101="","",NOMENCLATURE_GEN!G101)</f>
        <v>Convoyeur de transfert des légers 0-8mm vers métha</v>
      </c>
      <c r="H101" s="26">
        <f>IF(NOMENCLATURE_GEN!H101="","",NOMENCLATURE_GEN!H101)</f>
        <v>1000</v>
      </c>
      <c r="I101" s="26">
        <f>IF(NOMENCLATURE_GEN!I101="","",NOMENCLATURE_GEN!I101)</f>
        <v>22250</v>
      </c>
      <c r="J101" s="56">
        <f>IF(NOMENCLATURE_GEN!J101="","",NOMENCLATURE_GEN!J101)</f>
        <v>19</v>
      </c>
      <c r="K101" s="12">
        <f>V101+W101-X101</f>
        <v>29</v>
      </c>
      <c r="L101" s="627">
        <v>35</v>
      </c>
      <c r="M101" s="109" t="str">
        <f>IFERROR(VLOOKUP(H101,données!$AC$4:$AL$15,MATCH(F101,données!$AC$2:$AL$2,0),FALSE),"inexistant")</f>
        <v>CBA1000020</v>
      </c>
      <c r="N101" s="12">
        <v>9</v>
      </c>
      <c r="O101" s="627">
        <v>9</v>
      </c>
      <c r="P101" s="84" t="str">
        <f>IFERROR(VLOOKUP(H101,données!$AC$17:$AL$28,MATCH(F101,données!$AC$2:$AL$2,0),FALSE),"inexistant")</f>
        <v>CBA1000008</v>
      </c>
      <c r="Q101" s="110">
        <f>2*K101</f>
        <v>58</v>
      </c>
      <c r="R101" s="627">
        <f t="shared" si="9"/>
        <v>70</v>
      </c>
      <c r="S101" s="406" t="str">
        <f>IFERROR(VLOOKUP(H101,données!$AC$30:$AL$41,MATCH(F101,données!$AC$2:$AL$2,0),FALSE),"inexistant")</f>
        <v>CBA0000175</v>
      </c>
      <c r="T101" s="637" t="str">
        <f>NOMENCLATURE_GEN!AB101</f>
        <v>0-8</v>
      </c>
      <c r="U101" s="442">
        <v>1500</v>
      </c>
      <c r="V101" s="9">
        <f>ROUNDUP(I101/1000,0)</f>
        <v>23</v>
      </c>
      <c r="W101" s="10">
        <v>6</v>
      </c>
      <c r="X101" s="11"/>
    </row>
    <row r="102" spans="1:24" s="8" customFormat="1" ht="39.950000000000003" hidden="1" customHeight="1">
      <c r="A102" s="3"/>
      <c r="B102" s="27" t="str">
        <f>IF(NOMENCLATURE_GEN!B102="","",NOMENCLATURE_GEN!B102)</f>
        <v/>
      </c>
      <c r="C102" s="243" t="str">
        <f>IF(NOMENCLATURE_GEN!C102="","",NOMENCLATURE_GEN!C102)</f>
        <v/>
      </c>
      <c r="D102" s="28">
        <f>IF(NOMENCLATURE_GEN!D102="","",NOMENCLATURE_GEN!D102)</f>
        <v>182</v>
      </c>
      <c r="E102" s="28" t="str">
        <f ca="1">IF(NOMENCLATURE_GEN!E102="","",NOMENCLATURE_GEN!E102)</f>
        <v>A</v>
      </c>
      <c r="F102" s="28" t="str">
        <f>IF(NOMENCLATURE_GEN!F102="","",NOMENCLATURE_GEN!F102)</f>
        <v>NAV</v>
      </c>
      <c r="G102" s="396" t="str">
        <f>IF(NOMENCLATURE_GEN!G102="","",NOMENCLATURE_GEN!G102)</f>
        <v>Système navette pour convoyeur mobile remplissage REPERE 165 benne métaux</v>
      </c>
      <c r="H102" s="29" t="str">
        <f>IF(NOMENCLATURE_GEN!H102="","",NOMENCLATURE_GEN!H102)</f>
        <v/>
      </c>
      <c r="I102" s="29" t="str">
        <f>IF(NOMENCLATURE_GEN!I102="","",NOMENCLATURE_GEN!I102)</f>
        <v/>
      </c>
      <c r="J102" s="57" t="str">
        <f>IF(NOMENCLATURE_GEN!J102="","",NOMENCLATURE_GEN!J102)</f>
        <v/>
      </c>
      <c r="K102" s="12"/>
      <c r="L102" s="627"/>
      <c r="M102" s="109" t="str">
        <f>IFERROR(VLOOKUP(H102,données!$AC$4:$AL$15,MATCH(F102,données!$AC$2:$AL$2,0),FALSE),"inexistant")</f>
        <v>inexistant</v>
      </c>
      <c r="N102" s="12"/>
      <c r="O102" s="629"/>
      <c r="P102" s="85" t="str">
        <f>IFERROR(VLOOKUP(H102,données!$AC$17:$AL$28,MATCH(F102,données!$AC$2:$AL$2,0),FALSE),"inexistant")</f>
        <v>inexistant</v>
      </c>
      <c r="Q102" s="112"/>
      <c r="R102" s="631"/>
      <c r="S102" s="407" t="str">
        <f>IFERROR(VLOOKUP(H102,données!$AC$30:$AL$41,MATCH(F102,données!$AC$2:$AL$2,0),FALSE),"inexistant")</f>
        <v>inexistant</v>
      </c>
      <c r="T102" s="637">
        <f>NOMENCLATURE_GEN!AB102</f>
        <v>0</v>
      </c>
      <c r="U102" s="442"/>
      <c r="V102" s="9"/>
      <c r="W102" s="10"/>
      <c r="X102" s="11"/>
    </row>
    <row r="103" spans="1:24" s="8" customFormat="1" ht="39.950000000000003" hidden="1" customHeight="1">
      <c r="A103" s="3"/>
      <c r="B103" s="27" t="str">
        <f>IF(NOMENCLATURE_GEN!B103="","",NOMENCLATURE_GEN!B103)</f>
        <v/>
      </c>
      <c r="C103" s="243" t="str">
        <f>IF(NOMENCLATURE_GEN!C103="","",NOMENCLATURE_GEN!C103)</f>
        <v/>
      </c>
      <c r="D103" s="28">
        <f>IF(NOMENCLATURE_GEN!D103="","",NOMENCLATURE_GEN!D103)</f>
        <v>184</v>
      </c>
      <c r="E103" s="28" t="str">
        <f ca="1">IF(NOMENCLATURE_GEN!E103="","",NOMENCLATURE_GEN!E103)</f>
        <v>A</v>
      </c>
      <c r="F103" s="28" t="str">
        <f>IF(NOMENCLATURE_GEN!F103="","",NOMENCLATURE_GEN!F103)</f>
        <v>CHA</v>
      </c>
      <c r="G103" s="396" t="str">
        <f>IF(NOMENCLATURE_GEN!G103="","",NOMENCLATURE_GEN!G103)</f>
        <v>Charpente support trommel primaire &amp; passerelle d'accès maintenance</v>
      </c>
      <c r="H103" s="29" t="str">
        <f>IF(NOMENCLATURE_GEN!H103="","",NOMENCLATURE_GEN!H103)</f>
        <v/>
      </c>
      <c r="I103" s="29" t="str">
        <f>IF(NOMENCLATURE_GEN!I103="","",NOMENCLATURE_GEN!I103)</f>
        <v/>
      </c>
      <c r="J103" s="57" t="str">
        <f>IF(NOMENCLATURE_GEN!J103="","",NOMENCLATURE_GEN!J103)</f>
        <v/>
      </c>
      <c r="K103" s="12"/>
      <c r="L103" s="627"/>
      <c r="M103" s="109" t="str">
        <f>IFERROR(VLOOKUP(H103,données!$AC$4:$AL$15,MATCH(F103,données!$AC$2:$AL$2,0),FALSE),"inexistant")</f>
        <v>inexistant</v>
      </c>
      <c r="N103" s="12"/>
      <c r="O103" s="629"/>
      <c r="P103" s="85" t="str">
        <f>IFERROR(VLOOKUP(H103,données!$AC$17:$AL$28,MATCH(F103,données!$AC$2:$AL$2,0),FALSE),"inexistant")</f>
        <v>inexistant</v>
      </c>
      <c r="Q103" s="112"/>
      <c r="R103" s="631"/>
      <c r="S103" s="407" t="str">
        <f>IFERROR(VLOOKUP(H103,données!$AC$30:$AL$41,MATCH(F103,données!$AC$2:$AL$2,0),FALSE),"inexistant")</f>
        <v>inexistant</v>
      </c>
      <c r="T103" s="637">
        <f>NOMENCLATURE_GEN!AB103</f>
        <v>0</v>
      </c>
      <c r="U103" s="442"/>
      <c r="V103" s="9"/>
      <c r="W103" s="10"/>
      <c r="X103" s="11"/>
    </row>
    <row r="104" spans="1:24" s="8" customFormat="1" ht="39.950000000000003" hidden="1" customHeight="1">
      <c r="A104" s="3"/>
      <c r="B104" s="27" t="str">
        <f>IF(NOMENCLATURE_GEN!B104="","",NOMENCLATURE_GEN!B104)</f>
        <v/>
      </c>
      <c r="C104" s="243" t="str">
        <f>IF(NOMENCLATURE_GEN!C104="","",NOMENCLATURE_GEN!C104)</f>
        <v/>
      </c>
      <c r="D104" s="28">
        <f>IF(NOMENCLATURE_GEN!D104="","",NOMENCLATURE_GEN!D104)</f>
        <v>185</v>
      </c>
      <c r="E104" s="28" t="str">
        <f ca="1">IF(NOMENCLATURE_GEN!E104="","",NOMENCLATURE_GEN!E104)</f>
        <v>A</v>
      </c>
      <c r="F104" s="28" t="str">
        <f>IF(NOMENCLATURE_GEN!F104="","",NOMENCLATURE_GEN!F104)</f>
        <v>CHA</v>
      </c>
      <c r="G104" s="396" t="str">
        <f>IF(NOMENCLATURE_GEN!G104="","",NOMENCLATURE_GEN!G104)</f>
        <v>Charpente support trommel secondaire &amp; passerelle d'accès maintenance</v>
      </c>
      <c r="H104" s="29" t="str">
        <f>IF(NOMENCLATURE_GEN!H104="","",NOMENCLATURE_GEN!H104)</f>
        <v/>
      </c>
      <c r="I104" s="29" t="str">
        <f>IF(NOMENCLATURE_GEN!I104="","",NOMENCLATURE_GEN!I104)</f>
        <v/>
      </c>
      <c r="J104" s="57" t="str">
        <f>IF(NOMENCLATURE_GEN!J104="","",NOMENCLATURE_GEN!J104)</f>
        <v/>
      </c>
      <c r="K104" s="12"/>
      <c r="L104" s="627"/>
      <c r="M104" s="109" t="str">
        <f>IFERROR(VLOOKUP(H104,données!$AC$4:$AL$15,MATCH(F104,données!$AC$2:$AL$2,0),FALSE),"inexistant")</f>
        <v>inexistant</v>
      </c>
      <c r="N104" s="12"/>
      <c r="O104" s="629"/>
      <c r="P104" s="85" t="str">
        <f>IFERROR(VLOOKUP(H104,données!$AC$17:$AL$28,MATCH(F104,données!$AC$2:$AL$2,0),FALSE),"inexistant")</f>
        <v>inexistant</v>
      </c>
      <c r="Q104" s="112"/>
      <c r="R104" s="631"/>
      <c r="S104" s="407" t="str">
        <f>IFERROR(VLOOKUP(H104,données!$AC$30:$AL$41,MATCH(F104,données!$AC$2:$AL$2,0),FALSE),"inexistant")</f>
        <v>inexistant</v>
      </c>
      <c r="T104" s="637">
        <f>NOMENCLATURE_GEN!AB104</f>
        <v>0</v>
      </c>
      <c r="U104" s="442"/>
      <c r="V104" s="9"/>
      <c r="W104" s="10"/>
      <c r="X104" s="11"/>
    </row>
    <row r="105" spans="1:24" s="8" customFormat="1" ht="39.950000000000003" hidden="1" customHeight="1">
      <c r="A105" s="3"/>
      <c r="B105" s="27" t="str">
        <f>IF(NOMENCLATURE_GEN!B105="","",NOMENCLATURE_GEN!B105)</f>
        <v/>
      </c>
      <c r="C105" s="243" t="str">
        <f>IF(NOMENCLATURE_GEN!C105="","",NOMENCLATURE_GEN!C105)</f>
        <v/>
      </c>
      <c r="D105" s="28">
        <f>IF(NOMENCLATURE_GEN!D105="","",NOMENCLATURE_GEN!D105)</f>
        <v>186</v>
      </c>
      <c r="E105" s="28" t="str">
        <f ca="1">IF(NOMENCLATURE_GEN!E105="","",NOMENCLATURE_GEN!E105)</f>
        <v>A</v>
      </c>
      <c r="F105" s="28" t="str">
        <f>IF(NOMENCLATURE_GEN!F105="","",NOMENCLATURE_GEN!F105)</f>
        <v>CHA</v>
      </c>
      <c r="G105" s="396" t="str">
        <f>IF(NOMENCLATURE_GEN!G105="","",NOMENCLATURE_GEN!G105)</f>
        <v>Plateforme accès maintenancepour les SNF</v>
      </c>
      <c r="H105" s="29">
        <f>IF(NOMENCLATURE_GEN!H105="","",NOMENCLATURE_GEN!H105)</f>
        <v>12000</v>
      </c>
      <c r="I105" s="29">
        <f>IF(NOMENCLATURE_GEN!I105="","",NOMENCLATURE_GEN!I105)</f>
        <v>10000</v>
      </c>
      <c r="J105" s="57" t="str">
        <f>IF(NOMENCLATURE_GEN!J105="","",NOMENCLATURE_GEN!J105)</f>
        <v/>
      </c>
      <c r="K105" s="12"/>
      <c r="L105" s="627"/>
      <c r="M105" s="109" t="str">
        <f>IFERROR(VLOOKUP(H105,données!$AC$4:$AL$15,MATCH(F105,données!$AC$2:$AL$2,0),FALSE),"inexistant")</f>
        <v>inexistant</v>
      </c>
      <c r="N105" s="12"/>
      <c r="O105" s="629"/>
      <c r="P105" s="85" t="str">
        <f>IFERROR(VLOOKUP(H105,données!$AC$17:$AL$28,MATCH(F105,données!$AC$2:$AL$2,0),FALSE),"inexistant")</f>
        <v>inexistant</v>
      </c>
      <c r="Q105" s="112"/>
      <c r="R105" s="631"/>
      <c r="S105" s="407" t="str">
        <f>IFERROR(VLOOKUP(H105,données!$AC$30:$AL$41,MATCH(F105,données!$AC$2:$AL$2,0),FALSE),"inexistant")</f>
        <v>inexistant</v>
      </c>
      <c r="T105" s="637">
        <f>NOMENCLATURE_GEN!AB105</f>
        <v>0</v>
      </c>
      <c r="U105" s="442"/>
      <c r="V105" s="9"/>
      <c r="W105" s="10"/>
      <c r="X105" s="11"/>
    </row>
    <row r="106" spans="1:24" s="8" customFormat="1" ht="39.950000000000003" hidden="1" customHeight="1">
      <c r="A106" s="3"/>
      <c r="B106" s="27" t="str">
        <f>IF(NOMENCLATURE_GEN!B106="","",NOMENCLATURE_GEN!B106)</f>
        <v/>
      </c>
      <c r="C106" s="243" t="str">
        <f>IF(NOMENCLATURE_GEN!C106="","",NOMENCLATURE_GEN!C106)</f>
        <v/>
      </c>
      <c r="D106" s="28">
        <f>IF(NOMENCLATURE_GEN!D106="","",NOMENCLATURE_GEN!D106)</f>
        <v>187</v>
      </c>
      <c r="E106" s="28" t="str">
        <f ca="1">IF(NOMENCLATURE_GEN!E106="","",NOMENCLATURE_GEN!E106)</f>
        <v>A</v>
      </c>
      <c r="F106" s="28" t="str">
        <f>IF(NOMENCLATURE_GEN!F106="","",NOMENCLATURE_GEN!F106)</f>
        <v>CHA</v>
      </c>
      <c r="G106" s="396" t="str">
        <f>IF(NOMENCLATURE_GEN!G106="","",NOMENCLATURE_GEN!G106)</f>
        <v>Charpente support pour OVB y compris goulotte inox et protection</v>
      </c>
      <c r="H106" s="29" t="str">
        <f>IF(NOMENCLATURE_GEN!H106="","",NOMENCLATURE_GEN!H106)</f>
        <v/>
      </c>
      <c r="I106" s="29" t="str">
        <f>IF(NOMENCLATURE_GEN!I106="","",NOMENCLATURE_GEN!I106)</f>
        <v/>
      </c>
      <c r="J106" s="57" t="str">
        <f>IF(NOMENCLATURE_GEN!J106="","",NOMENCLATURE_GEN!J106)</f>
        <v/>
      </c>
      <c r="K106" s="12"/>
      <c r="L106" s="627"/>
      <c r="M106" s="109" t="str">
        <f>IFERROR(VLOOKUP(H106,données!$AC$4:$AL$15,MATCH(F106,données!$AC$2:$AL$2,0),FALSE),"inexistant")</f>
        <v>inexistant</v>
      </c>
      <c r="N106" s="12"/>
      <c r="O106" s="629"/>
      <c r="P106" s="85" t="str">
        <f>IFERROR(VLOOKUP(H106,données!$AC$17:$AL$28,MATCH(F106,données!$AC$2:$AL$2,0),FALSE),"inexistant")</f>
        <v>inexistant</v>
      </c>
      <c r="Q106" s="112"/>
      <c r="R106" s="631"/>
      <c r="S106" s="407" t="str">
        <f>IFERROR(VLOOKUP(H106,données!$AC$30:$AL$41,MATCH(F106,données!$AC$2:$AL$2,0),FALSE),"inexistant")</f>
        <v>inexistant</v>
      </c>
      <c r="T106" s="637">
        <f>NOMENCLATURE_GEN!AB106</f>
        <v>0</v>
      </c>
      <c r="U106" s="442"/>
      <c r="V106" s="9"/>
      <c r="W106" s="10"/>
      <c r="X106" s="11"/>
    </row>
    <row r="107" spans="1:24" s="8" customFormat="1" ht="39.950000000000003" hidden="1" customHeight="1">
      <c r="A107" s="3"/>
      <c r="B107" s="27" t="str">
        <f>IF(NOMENCLATURE_GEN!B107="","",NOMENCLATURE_GEN!B107)</f>
        <v/>
      </c>
      <c r="C107" s="243" t="str">
        <f>IF(NOMENCLATURE_GEN!C107="","",NOMENCLATURE_GEN!C107)</f>
        <v/>
      </c>
      <c r="D107" s="28">
        <f>IF(NOMENCLATURE_GEN!D107="","",NOMENCLATURE_GEN!D107)</f>
        <v>188</v>
      </c>
      <c r="E107" s="28" t="str">
        <f ca="1">IF(NOMENCLATURE_GEN!E107="","",NOMENCLATURE_GEN!E107)</f>
        <v>A</v>
      </c>
      <c r="F107" s="28" t="str">
        <f>IF(NOMENCLATURE_GEN!F107="","",NOMENCLATURE_GEN!F107)</f>
        <v>CHA</v>
      </c>
      <c r="G107" s="396" t="str">
        <f>IF(NOMENCLATURE_GEN!G107="","",NOMENCLATURE_GEN!G107)</f>
        <v>Plateforme accès maintenance NIV1 pour balistiques &amp; crible trampoline</v>
      </c>
      <c r="H107" s="29">
        <f>IF(NOMENCLATURE_GEN!H107="","",NOMENCLATURE_GEN!H107)</f>
        <v>5200</v>
      </c>
      <c r="I107" s="29">
        <f>IF(NOMENCLATURE_GEN!I107="","",NOMENCLATURE_GEN!I107)</f>
        <v>26500</v>
      </c>
      <c r="J107" s="57" t="str">
        <f>IF(NOMENCLATURE_GEN!J107="","",NOMENCLATURE_GEN!J107)</f>
        <v/>
      </c>
      <c r="K107" s="12"/>
      <c r="L107" s="627"/>
      <c r="M107" s="109" t="str">
        <f>IFERROR(VLOOKUP(H107,données!$AC$4:$AL$15,MATCH(F107,données!$AC$2:$AL$2,0),FALSE),"inexistant")</f>
        <v>inexistant</v>
      </c>
      <c r="N107" s="12"/>
      <c r="O107" s="629"/>
      <c r="P107" s="85" t="str">
        <f>IFERROR(VLOOKUP(H107,données!$AC$17:$AL$28,MATCH(F107,données!$AC$2:$AL$2,0),FALSE),"inexistant")</f>
        <v>inexistant</v>
      </c>
      <c r="Q107" s="112"/>
      <c r="R107" s="631"/>
      <c r="S107" s="407" t="str">
        <f>IFERROR(VLOOKUP(H107,données!$AC$30:$AL$41,MATCH(F107,données!$AC$2:$AL$2,0),FALSE),"inexistant")</f>
        <v>inexistant</v>
      </c>
      <c r="T107" s="637">
        <f>NOMENCLATURE_GEN!AB107</f>
        <v>0</v>
      </c>
      <c r="U107" s="442"/>
      <c r="V107" s="9"/>
      <c r="W107" s="10"/>
      <c r="X107" s="11"/>
    </row>
    <row r="108" spans="1:24" s="8" customFormat="1" ht="39.950000000000003" hidden="1" customHeight="1">
      <c r="A108" s="3"/>
      <c r="B108" s="27" t="str">
        <f>IF(NOMENCLATURE_GEN!B108="","",NOMENCLATURE_GEN!B108)</f>
        <v/>
      </c>
      <c r="C108" s="243" t="str">
        <f>IF(NOMENCLATURE_GEN!C108="","",NOMENCLATURE_GEN!C108)</f>
        <v/>
      </c>
      <c r="D108" s="28">
        <f>IF(NOMENCLATURE_GEN!D108="","",NOMENCLATURE_GEN!D108)</f>
        <v>189</v>
      </c>
      <c r="E108" s="28" t="str">
        <f ca="1">IF(NOMENCLATURE_GEN!E108="","",NOMENCLATURE_GEN!E108)</f>
        <v>A</v>
      </c>
      <c r="F108" s="28" t="str">
        <f>IF(NOMENCLATURE_GEN!F108="","",NOMENCLATURE_GEN!F108)</f>
        <v>CHA</v>
      </c>
      <c r="G108" s="396" t="str">
        <f>IF(NOMENCLATURE_GEN!G108="","",NOMENCLATURE_GEN!G108)</f>
        <v>Plateforme accès maintenance NIV2 pour balistiques &amp; crible trampoline</v>
      </c>
      <c r="H108" s="29">
        <f>IF(NOMENCLATURE_GEN!H108="","",NOMENCLATURE_GEN!H108)</f>
        <v>5200</v>
      </c>
      <c r="I108" s="29">
        <f>IF(NOMENCLATURE_GEN!I108="","",NOMENCLATURE_GEN!I108)</f>
        <v>23000</v>
      </c>
      <c r="J108" s="57" t="str">
        <f>IF(NOMENCLATURE_GEN!J108="","",NOMENCLATURE_GEN!J108)</f>
        <v/>
      </c>
      <c r="K108" s="12"/>
      <c r="L108" s="627"/>
      <c r="M108" s="109" t="str">
        <f>IFERROR(VLOOKUP(H108,données!$AC$4:$AL$15,MATCH(F108,données!$AC$2:$AL$2,0),FALSE),"inexistant")</f>
        <v>inexistant</v>
      </c>
      <c r="N108" s="12"/>
      <c r="O108" s="629"/>
      <c r="P108" s="85" t="str">
        <f>IFERROR(VLOOKUP(H108,données!$AC$17:$AL$28,MATCH(F108,données!$AC$2:$AL$2,0),FALSE),"inexistant")</f>
        <v>inexistant</v>
      </c>
      <c r="Q108" s="112"/>
      <c r="R108" s="631"/>
      <c r="S108" s="407" t="str">
        <f>IFERROR(VLOOKUP(H108,données!$AC$30:$AL$41,MATCH(F108,données!$AC$2:$AL$2,0),FALSE),"inexistant")</f>
        <v>inexistant</v>
      </c>
      <c r="T108" s="637">
        <f>NOMENCLATURE_GEN!AB108</f>
        <v>0</v>
      </c>
      <c r="U108" s="442"/>
      <c r="V108" s="9"/>
      <c r="W108" s="10"/>
      <c r="X108" s="11"/>
    </row>
    <row r="109" spans="1:24" s="8" customFormat="1" ht="39.950000000000003" hidden="1" customHeight="1">
      <c r="A109" s="3"/>
      <c r="B109" s="27" t="str">
        <f>IF(NOMENCLATURE_GEN!B109="","",NOMENCLATURE_GEN!B109)</f>
        <v/>
      </c>
      <c r="C109" s="243" t="str">
        <f>IF(NOMENCLATURE_GEN!C109="","",NOMENCLATURE_GEN!C109)</f>
        <v/>
      </c>
      <c r="D109" s="28">
        <f>IF(NOMENCLATURE_GEN!D109="","",NOMENCLATURE_GEN!D109)</f>
        <v>190</v>
      </c>
      <c r="E109" s="28" t="str">
        <f ca="1">IF(NOMENCLATURE_GEN!E109="","",NOMENCLATURE_GEN!E109)</f>
        <v>A</v>
      </c>
      <c r="F109" s="28" t="str">
        <f>IF(NOMENCLATURE_GEN!F109="","",NOMENCLATURE_GEN!F109)</f>
        <v>CHA</v>
      </c>
      <c r="G109" s="396" t="str">
        <f>IF(NOMENCLATURE_GEN!G109="","",NOMENCLATURE_GEN!G109)</f>
        <v>Plateforme accès maintenance pour crible trampoline + charpente</v>
      </c>
      <c r="H109" s="29" t="str">
        <f>IF(NOMENCLATURE_GEN!H109="","",NOMENCLATURE_GEN!H109)</f>
        <v/>
      </c>
      <c r="I109" s="29" t="str">
        <f>IF(NOMENCLATURE_GEN!I109="","",NOMENCLATURE_GEN!I109)</f>
        <v/>
      </c>
      <c r="J109" s="57" t="str">
        <f>IF(NOMENCLATURE_GEN!J109="","",NOMENCLATURE_GEN!J109)</f>
        <v/>
      </c>
      <c r="K109" s="12"/>
      <c r="L109" s="627"/>
      <c r="M109" s="109" t="str">
        <f>IFERROR(VLOOKUP(H109,données!$AC$4:$AL$15,MATCH(F109,données!$AC$2:$AL$2,0),FALSE),"inexistant")</f>
        <v>inexistant</v>
      </c>
      <c r="N109" s="12"/>
      <c r="O109" s="629"/>
      <c r="P109" s="85" t="str">
        <f>IFERROR(VLOOKUP(H109,données!$AC$17:$AL$28,MATCH(F109,données!$AC$2:$AL$2,0),FALSE),"inexistant")</f>
        <v>inexistant</v>
      </c>
      <c r="Q109" s="112"/>
      <c r="R109" s="631"/>
      <c r="S109" s="407" t="str">
        <f>IFERROR(VLOOKUP(H109,données!$AC$30:$AL$41,MATCH(F109,données!$AC$2:$AL$2,0),FALSE),"inexistant")</f>
        <v>inexistant</v>
      </c>
      <c r="T109" s="637">
        <f>NOMENCLATURE_GEN!AB109</f>
        <v>0</v>
      </c>
      <c r="U109" s="442"/>
      <c r="V109" s="9"/>
      <c r="W109" s="10"/>
      <c r="X109" s="11"/>
    </row>
    <row r="110" spans="1:24" s="8" customFormat="1" ht="39.950000000000003" hidden="1" customHeight="1">
      <c r="A110" s="3"/>
      <c r="B110" s="27" t="str">
        <f>IF(NOMENCLATURE_GEN!B110="","",NOMENCLATURE_GEN!B110)</f>
        <v/>
      </c>
      <c r="C110" s="243" t="str">
        <f>IF(NOMENCLATURE_GEN!C110="","",NOMENCLATURE_GEN!C110)</f>
        <v/>
      </c>
      <c r="D110" s="28">
        <f>IF(NOMENCLATURE_GEN!D110="","",NOMENCLATURE_GEN!D110)</f>
        <v>191</v>
      </c>
      <c r="E110" s="28" t="str">
        <f ca="1">IF(NOMENCLATURE_GEN!E110="","",NOMENCLATURE_GEN!E110)</f>
        <v>A</v>
      </c>
      <c r="F110" s="28" t="str">
        <f>IF(NOMENCLATURE_GEN!F110="","",NOMENCLATURE_GEN!F110)</f>
        <v>CHA</v>
      </c>
      <c r="G110" s="396" t="str">
        <f>IF(NOMENCLATURE_GEN!G110="","",NOMENCLATURE_GEN!G110)</f>
        <v>Plateforme accès maintenance table TF &amp; cyclone</v>
      </c>
      <c r="H110" s="29">
        <f>IF(NOMENCLATURE_GEN!H110="","",NOMENCLATURE_GEN!H110)</f>
        <v>5500</v>
      </c>
      <c r="I110" s="29">
        <f>IF(NOMENCLATURE_GEN!I110="","",NOMENCLATURE_GEN!I110)</f>
        <v>9600</v>
      </c>
      <c r="J110" s="57" t="str">
        <f>IF(NOMENCLATURE_GEN!J110="","",NOMENCLATURE_GEN!J110)</f>
        <v/>
      </c>
      <c r="K110" s="12"/>
      <c r="L110" s="627"/>
      <c r="M110" s="109" t="str">
        <f>IFERROR(VLOOKUP(H110,données!$AC$4:$AL$15,MATCH(F110,données!$AC$2:$AL$2,0),FALSE),"inexistant")</f>
        <v>inexistant</v>
      </c>
      <c r="N110" s="12"/>
      <c r="O110" s="629"/>
      <c r="P110" s="85" t="str">
        <f>IFERROR(VLOOKUP(H110,données!$AC$17:$AL$28,MATCH(F110,données!$AC$2:$AL$2,0),FALSE),"inexistant")</f>
        <v>inexistant</v>
      </c>
      <c r="Q110" s="112"/>
      <c r="R110" s="631"/>
      <c r="S110" s="407" t="str">
        <f>IFERROR(VLOOKUP(H110,données!$AC$30:$AL$41,MATCH(F110,données!$AC$2:$AL$2,0),FALSE),"inexistant")</f>
        <v>inexistant</v>
      </c>
      <c r="T110" s="637">
        <f>NOMENCLATURE_GEN!AB110</f>
        <v>0</v>
      </c>
      <c r="U110" s="442"/>
      <c r="V110" s="9"/>
      <c r="W110" s="10"/>
      <c r="X110" s="11"/>
    </row>
    <row r="111" spans="1:24" s="8" customFormat="1" ht="39.950000000000003" hidden="1" customHeight="1">
      <c r="A111" s="3"/>
      <c r="B111" s="27" t="str">
        <f>IF(NOMENCLATURE_GEN!B111="","",NOMENCLATURE_GEN!B111)</f>
        <v/>
      </c>
      <c r="C111" s="243" t="str">
        <f>IF(NOMENCLATURE_GEN!C111="","",NOMENCLATURE_GEN!C111)</f>
        <v/>
      </c>
      <c r="D111" s="28">
        <f>IF(NOMENCLATURE_GEN!D111="","",NOMENCLATURE_GEN!D111)</f>
        <v>192</v>
      </c>
      <c r="E111" s="28" t="str">
        <f ca="1">IF(NOMENCLATURE_GEN!E111="","",NOMENCLATURE_GEN!E111)</f>
        <v>A</v>
      </c>
      <c r="F111" s="28" t="str">
        <f>IF(NOMENCLATURE_GEN!F111="","",NOMENCLATURE_GEN!F111)</f>
        <v>CHA</v>
      </c>
      <c r="G111" s="396" t="str">
        <f>IF(NOMENCLATURE_GEN!G111="","",NOMENCLATURE_GEN!G111)</f>
        <v>Ensemble des passerelles d'accès maintenance tête &amp; pied CVY</v>
      </c>
      <c r="H111" s="29">
        <f>IF(NOMENCLATURE_GEN!H111="","",NOMENCLATURE_GEN!H111)</f>
        <v>4500</v>
      </c>
      <c r="I111" s="29">
        <f>IF(NOMENCLATURE_GEN!I111="","",NOMENCLATURE_GEN!I111)</f>
        <v>4500</v>
      </c>
      <c r="J111" s="57" t="str">
        <f>IF(NOMENCLATURE_GEN!J111="","",NOMENCLATURE_GEN!J111)</f>
        <v/>
      </c>
      <c r="K111" s="12"/>
      <c r="L111" s="627"/>
      <c r="M111" s="109" t="str">
        <f>IFERROR(VLOOKUP(H111,données!$AC$4:$AL$15,MATCH(F111,données!$AC$2:$AL$2,0),FALSE),"inexistant")</f>
        <v>inexistant</v>
      </c>
      <c r="N111" s="12"/>
      <c r="O111" s="629"/>
      <c r="P111" s="85" t="str">
        <f>IFERROR(VLOOKUP(H111,données!$AC$17:$AL$28,MATCH(F111,données!$AC$2:$AL$2,0),FALSE),"inexistant")</f>
        <v>inexistant</v>
      </c>
      <c r="Q111" s="112"/>
      <c r="R111" s="631"/>
      <c r="S111" s="407" t="str">
        <f>IFERROR(VLOOKUP(H111,données!$AC$30:$AL$41,MATCH(F111,données!$AC$2:$AL$2,0),FALSE),"inexistant")</f>
        <v>inexistant</v>
      </c>
      <c r="T111" s="637">
        <f>NOMENCLATURE_GEN!AB111</f>
        <v>0</v>
      </c>
      <c r="U111" s="442"/>
      <c r="V111" s="9"/>
      <c r="W111" s="10"/>
      <c r="X111" s="11"/>
    </row>
    <row r="112" spans="1:24" s="8" customFormat="1" ht="39.950000000000003" hidden="1" customHeight="1">
      <c r="A112" s="3"/>
      <c r="B112" s="27" t="str">
        <f>IF(NOMENCLATURE_GEN!B112="","",NOMENCLATURE_GEN!B112)</f>
        <v/>
      </c>
      <c r="C112" s="243" t="str">
        <f>IF(NOMENCLATURE_GEN!C112="","",NOMENCLATURE_GEN!C112)</f>
        <v/>
      </c>
      <c r="D112" s="28">
        <f>IF(NOMENCLATURE_GEN!D112="","",NOMENCLATURE_GEN!D112)</f>
        <v>193</v>
      </c>
      <c r="E112" s="28" t="str">
        <f ca="1">IF(NOMENCLATURE_GEN!E112="","",NOMENCLATURE_GEN!E112)</f>
        <v>A</v>
      </c>
      <c r="F112" s="28" t="str">
        <f>IF(NOMENCLATURE_GEN!F112="","",NOMENCLATURE_GEN!F112)</f>
        <v>CHA</v>
      </c>
      <c r="G112" s="396" t="str">
        <f>IF(NOMENCLATURE_GEN!G112="","",NOMENCLATURE_GEN!G112)</f>
        <v>Ensemble des passerelles de liaison</v>
      </c>
      <c r="H112" s="29">
        <f>IF(NOMENCLATURE_GEN!H112="","",NOMENCLATURE_GEN!H112)</f>
        <v>900</v>
      </c>
      <c r="I112" s="29">
        <f>IF(NOMENCLATURE_GEN!I112="","",NOMENCLATURE_GEN!I112)</f>
        <v>50000</v>
      </c>
      <c r="J112" s="57" t="str">
        <f>IF(NOMENCLATURE_GEN!J112="","",NOMENCLATURE_GEN!J112)</f>
        <v/>
      </c>
      <c r="K112" s="12"/>
      <c r="L112" s="627"/>
      <c r="M112" s="109" t="str">
        <f>IFERROR(VLOOKUP(H112,données!$AC$4:$AL$15,MATCH(F112,données!$AC$2:$AL$2,0),FALSE),"inexistant")</f>
        <v>inexistant</v>
      </c>
      <c r="N112" s="12"/>
      <c r="O112" s="629"/>
      <c r="P112" s="85" t="str">
        <f>IFERROR(VLOOKUP(H112,données!$AC$17:$AL$28,MATCH(F112,données!$AC$2:$AL$2,0),FALSE),"inexistant")</f>
        <v>inexistant</v>
      </c>
      <c r="Q112" s="112"/>
      <c r="R112" s="631"/>
      <c r="S112" s="407" t="str">
        <f>IFERROR(VLOOKUP(H112,données!$AC$30:$AL$41,MATCH(F112,données!$AC$2:$AL$2,0),FALSE),"inexistant")</f>
        <v>inexistant</v>
      </c>
      <c r="T112" s="637">
        <f>NOMENCLATURE_GEN!AB112</f>
        <v>0</v>
      </c>
      <c r="U112" s="442"/>
      <c r="V112" s="9"/>
      <c r="W112" s="10"/>
      <c r="X112" s="11"/>
    </row>
    <row r="113" spans="1:24" s="8" customFormat="1" ht="39.950000000000003" hidden="1" customHeight="1">
      <c r="A113" s="3"/>
      <c r="B113" s="27" t="str">
        <f>IF(NOMENCLATURE_GEN!B113="","",NOMENCLATURE_GEN!B113)</f>
        <v/>
      </c>
      <c r="C113" s="243" t="str">
        <f>IF(NOMENCLATURE_GEN!C113="","",NOMENCLATURE_GEN!C113)</f>
        <v/>
      </c>
      <c r="D113" s="28">
        <f>IF(NOMENCLATURE_GEN!D113="","",NOMENCLATURE_GEN!D113)</f>
        <v>194</v>
      </c>
      <c r="E113" s="28" t="str">
        <f ca="1">IF(NOMENCLATURE_GEN!E113="","",NOMENCLATURE_GEN!E113)</f>
        <v>A</v>
      </c>
      <c r="F113" s="28" t="str">
        <f>IF(NOMENCLATURE_GEN!F113="","",NOMENCLATURE_GEN!F113)</f>
        <v>CHA</v>
      </c>
      <c r="G113" s="396" t="str">
        <f>IF(NOMENCLATURE_GEN!G113="","",NOMENCLATURE_GEN!G113)</f>
        <v>Ensemble des escaliers d'accès maintenance</v>
      </c>
      <c r="H113" s="29">
        <f>IF(NOMENCLATURE_GEN!H113="","",NOMENCLATURE_GEN!H113)</f>
        <v>900</v>
      </c>
      <c r="I113" s="29">
        <f>IF(NOMENCLATURE_GEN!I113="","",NOMENCLATURE_GEN!I113)</f>
        <v>4500</v>
      </c>
      <c r="J113" s="57" t="str">
        <f>IF(NOMENCLATURE_GEN!J113="","",NOMENCLATURE_GEN!J113)</f>
        <v/>
      </c>
      <c r="K113" s="12"/>
      <c r="L113" s="627"/>
      <c r="M113" s="109" t="str">
        <f>IFERROR(VLOOKUP(H113,données!$AC$4:$AL$15,MATCH(F113,données!$AC$2:$AL$2,0),FALSE),"inexistant")</f>
        <v>inexistant</v>
      </c>
      <c r="N113" s="12"/>
      <c r="O113" s="629"/>
      <c r="P113" s="85" t="str">
        <f>IFERROR(VLOOKUP(H113,données!$AC$17:$AL$28,MATCH(F113,données!$AC$2:$AL$2,0),FALSE),"inexistant")</f>
        <v>inexistant</v>
      </c>
      <c r="Q113" s="112"/>
      <c r="R113" s="631"/>
      <c r="S113" s="407" t="str">
        <f>IFERROR(VLOOKUP(H113,données!$AC$30:$AL$41,MATCH(F113,données!$AC$2:$AL$2,0),FALSE),"inexistant")</f>
        <v>inexistant</v>
      </c>
      <c r="T113" s="637">
        <f>NOMENCLATURE_GEN!AB113</f>
        <v>0</v>
      </c>
      <c r="U113" s="442"/>
      <c r="V113" s="9"/>
      <c r="W113" s="10"/>
      <c r="X113" s="11"/>
    </row>
    <row r="114" spans="1:24" s="8" customFormat="1" ht="39.950000000000003" hidden="1" customHeight="1">
      <c r="A114" s="3"/>
      <c r="B114" s="27" t="str">
        <f>IF(NOMENCLATURE_GEN!B114="","",NOMENCLATURE_GEN!B114)</f>
        <v/>
      </c>
      <c r="C114" s="243" t="str">
        <f>IF(NOMENCLATURE_GEN!C114="","",NOMENCLATURE_GEN!C114)</f>
        <v/>
      </c>
      <c r="D114" s="28">
        <f>IF(NOMENCLATURE_GEN!D114="","",NOMENCLATURE_GEN!D114)</f>
        <v>195</v>
      </c>
      <c r="E114" s="28" t="str">
        <f ca="1">IF(NOMENCLATURE_GEN!E114="","",NOMENCLATURE_GEN!E114)</f>
        <v>A</v>
      </c>
      <c r="F114" s="28" t="str">
        <f>IF(NOMENCLATURE_GEN!F114="","",NOMENCLATURE_GEN!F114)</f>
        <v>CHA</v>
      </c>
      <c r="G114" s="396" t="str">
        <f>IF(NOMENCLATURE_GEN!G114="","",NOMENCLATURE_GEN!G114)</f>
        <v>Ensemble des potences et rails de maintenance + 2 portiques</v>
      </c>
      <c r="H114" s="29" t="str">
        <f>IF(NOMENCLATURE_GEN!H114="","",NOMENCLATURE_GEN!H114)</f>
        <v/>
      </c>
      <c r="I114" s="29" t="str">
        <f>IF(NOMENCLATURE_GEN!I114="","",NOMENCLATURE_GEN!I114)</f>
        <v/>
      </c>
      <c r="J114" s="57" t="str">
        <f>IF(NOMENCLATURE_GEN!J114="","",NOMENCLATURE_GEN!J114)</f>
        <v/>
      </c>
      <c r="K114" s="12"/>
      <c r="L114" s="627"/>
      <c r="M114" s="109" t="str">
        <f>IFERROR(VLOOKUP(H114,données!$AC$4:$AL$15,MATCH(F114,données!$AC$2:$AL$2,0),FALSE),"inexistant")</f>
        <v>inexistant</v>
      </c>
      <c r="N114" s="12"/>
      <c r="O114" s="629"/>
      <c r="P114" s="85" t="str">
        <f>IFERROR(VLOOKUP(H114,données!$AC$17:$AL$28,MATCH(F114,données!$AC$2:$AL$2,0),FALSE),"inexistant")</f>
        <v>inexistant</v>
      </c>
      <c r="Q114" s="112"/>
      <c r="R114" s="631"/>
      <c r="S114" s="407" t="str">
        <f>IFERROR(VLOOKUP(H114,données!$AC$30:$AL$41,MATCH(F114,données!$AC$2:$AL$2,0),FALSE),"inexistant")</f>
        <v>inexistant</v>
      </c>
      <c r="T114" s="637">
        <f>NOMENCLATURE_GEN!AB114</f>
        <v>0</v>
      </c>
      <c r="U114" s="442"/>
      <c r="V114" s="9"/>
      <c r="W114" s="10"/>
      <c r="X114" s="11"/>
    </row>
    <row r="115" spans="1:24" s="8" customFormat="1" ht="39.950000000000003" hidden="1" customHeight="1">
      <c r="A115" s="3"/>
      <c r="B115" s="27" t="str">
        <f>IF(NOMENCLATURE_GEN!B115="","",NOMENCLATURE_GEN!B115)</f>
        <v/>
      </c>
      <c r="C115" s="243" t="str">
        <f>IF(NOMENCLATURE_GEN!C115="","",NOMENCLATURE_GEN!C115)</f>
        <v/>
      </c>
      <c r="D115" s="28">
        <f>IF(NOMENCLATURE_GEN!D115="","",NOMENCLATURE_GEN!D115)</f>
        <v>196</v>
      </c>
      <c r="E115" s="28" t="str">
        <f ca="1">IF(NOMENCLATURE_GEN!E115="","",NOMENCLATURE_GEN!E115)</f>
        <v>A</v>
      </c>
      <c r="F115" s="28" t="str">
        <f>IF(NOMENCLATURE_GEN!F115="","",NOMENCLATURE_GEN!F115)</f>
        <v>CHA</v>
      </c>
      <c r="G115" s="396" t="str">
        <f>IF(NOMENCLATURE_GEN!G115="","",NOMENCLATURE_GEN!G115)</f>
        <v>Ensemble passerelles et rails pour convoyeur navettes refus légers</v>
      </c>
      <c r="H115" s="29">
        <f>IF(NOMENCLATURE_GEN!H115="","",NOMENCLATURE_GEN!H115)</f>
        <v>8150</v>
      </c>
      <c r="I115" s="29">
        <f>IF(NOMENCLATURE_GEN!I115="","",NOMENCLATURE_GEN!I115)</f>
        <v>15600</v>
      </c>
      <c r="J115" s="57" t="str">
        <f>IF(NOMENCLATURE_GEN!J115="","",NOMENCLATURE_GEN!J115)</f>
        <v/>
      </c>
      <c r="K115" s="12"/>
      <c r="L115" s="627"/>
      <c r="M115" s="109" t="str">
        <f>IFERROR(VLOOKUP(H115,données!$AC$4:$AL$15,MATCH(F115,données!$AC$2:$AL$2,0),FALSE),"inexistant")</f>
        <v>inexistant</v>
      </c>
      <c r="N115" s="12"/>
      <c r="O115" s="629"/>
      <c r="P115" s="85" t="str">
        <f>IFERROR(VLOOKUP(H115,données!$AC$17:$AL$28,MATCH(F115,données!$AC$2:$AL$2,0),FALSE),"inexistant")</f>
        <v>inexistant</v>
      </c>
      <c r="Q115" s="112"/>
      <c r="R115" s="631"/>
      <c r="S115" s="407" t="str">
        <f>IFERROR(VLOOKUP(H115,données!$AC$30:$AL$41,MATCH(F115,données!$AC$2:$AL$2,0),FALSE),"inexistant")</f>
        <v>inexistant</v>
      </c>
      <c r="T115" s="637">
        <f>NOMENCLATURE_GEN!AB115</f>
        <v>0</v>
      </c>
      <c r="U115" s="442"/>
      <c r="V115" s="9"/>
      <c r="W115" s="10"/>
      <c r="X115" s="11"/>
    </row>
    <row r="116" spans="1:24" s="8" customFormat="1" ht="39.950000000000003" hidden="1" customHeight="1">
      <c r="A116" s="3"/>
      <c r="B116" s="27" t="str">
        <f>IF(NOMENCLATURE_GEN!B116="","",NOMENCLATURE_GEN!B116)</f>
        <v/>
      </c>
      <c r="C116" s="243" t="str">
        <f>IF(NOMENCLATURE_GEN!C116="","",NOMENCLATURE_GEN!C116)</f>
        <v/>
      </c>
      <c r="D116" s="28">
        <f>IF(NOMENCLATURE_GEN!D116="","",NOMENCLATURE_GEN!D116)</f>
        <v>197</v>
      </c>
      <c r="E116" s="28" t="str">
        <f ca="1">IF(NOMENCLATURE_GEN!E116="","",NOMENCLATURE_GEN!E116)</f>
        <v>A</v>
      </c>
      <c r="F116" s="28" t="str">
        <f>IF(NOMENCLATURE_GEN!F116="","",NOMENCLATURE_GEN!F116)</f>
        <v>CHA</v>
      </c>
      <c r="G116" s="396" t="str">
        <f>IF(NOMENCLATURE_GEN!G116="","",NOMENCLATURE_GEN!G116)</f>
        <v>Ensemble passerelles et rails pour convoyeurs navettes métaux</v>
      </c>
      <c r="H116" s="29">
        <f>IF(NOMENCLATURE_GEN!H116="","",NOMENCLATURE_GEN!H116)</f>
        <v>8150</v>
      </c>
      <c r="I116" s="29">
        <f>IF(NOMENCLATURE_GEN!I116="","",NOMENCLATURE_GEN!I116)</f>
        <v>7000</v>
      </c>
      <c r="J116" s="57" t="str">
        <f>IF(NOMENCLATURE_GEN!J116="","",NOMENCLATURE_GEN!J116)</f>
        <v/>
      </c>
      <c r="K116" s="12"/>
      <c r="L116" s="627"/>
      <c r="M116" s="109" t="str">
        <f>IFERROR(VLOOKUP(H116,données!$AC$4:$AL$15,MATCH(F116,données!$AC$2:$AL$2,0),FALSE),"inexistant")</f>
        <v>inexistant</v>
      </c>
      <c r="N116" s="12"/>
      <c r="O116" s="629"/>
      <c r="P116" s="85" t="str">
        <f>IFERROR(VLOOKUP(H116,données!$AC$17:$AL$28,MATCH(F116,données!$AC$2:$AL$2,0),FALSE),"inexistant")</f>
        <v>inexistant</v>
      </c>
      <c r="Q116" s="112"/>
      <c r="R116" s="631"/>
      <c r="S116" s="407" t="str">
        <f>IFERROR(VLOOKUP(H116,données!$AC$30:$AL$41,MATCH(F116,données!$AC$2:$AL$2,0),FALSE),"inexistant")</f>
        <v>inexistant</v>
      </c>
      <c r="T116" s="637">
        <f>NOMENCLATURE_GEN!AB116</f>
        <v>0</v>
      </c>
      <c r="U116" s="442"/>
      <c r="V116" s="9"/>
      <c r="W116" s="10"/>
      <c r="X116" s="11"/>
    </row>
    <row r="117" spans="1:24" s="8" customFormat="1" ht="39.950000000000003" hidden="1" customHeight="1">
      <c r="A117" s="3"/>
      <c r="B117" s="27" t="str">
        <f>IF(NOMENCLATURE_GEN!B117="","",NOMENCLATURE_GEN!B117)</f>
        <v/>
      </c>
      <c r="C117" s="243" t="str">
        <f>IF(NOMENCLATURE_GEN!C117="","",NOMENCLATURE_GEN!C117)</f>
        <v/>
      </c>
      <c r="D117" s="28">
        <f>IF(NOMENCLATURE_GEN!D117="","",NOMENCLATURE_GEN!D117)</f>
        <v>199</v>
      </c>
      <c r="E117" s="28" t="str">
        <f ca="1">IF(NOMENCLATURE_GEN!E117="","",NOMENCLATURE_GEN!E117)</f>
        <v>A</v>
      </c>
      <c r="F117" s="28" t="str">
        <f>IF(NOMENCLATURE_GEN!F117="","",NOMENCLATURE_GEN!F117)</f>
        <v>BRO</v>
      </c>
      <c r="G117" s="396" t="str">
        <f>IF(NOMENCLATURE_GEN!G117="","",NOMENCLATURE_GEN!G117)</f>
        <v>Broyeur pour métaux 30-180mm</v>
      </c>
      <c r="H117" s="29" t="str">
        <f>IF(NOMENCLATURE_GEN!H117="","",NOMENCLATURE_GEN!H117)</f>
        <v/>
      </c>
      <c r="I117" s="29" t="str">
        <f>IF(NOMENCLATURE_GEN!I117="","",NOMENCLATURE_GEN!I117)</f>
        <v/>
      </c>
      <c r="J117" s="57" t="str">
        <f>IF(NOMENCLATURE_GEN!J117="","",NOMENCLATURE_GEN!J117)</f>
        <v/>
      </c>
      <c r="K117" s="12"/>
      <c r="L117" s="627"/>
      <c r="M117" s="109" t="str">
        <f>IFERROR(VLOOKUP(H117,données!$AC$4:$AL$15,MATCH(F117,données!$AC$2:$AL$2,0),FALSE),"inexistant")</f>
        <v>inexistant</v>
      </c>
      <c r="N117" s="12"/>
      <c r="O117" s="629"/>
      <c r="P117" s="85" t="str">
        <f>IFERROR(VLOOKUP(H117,données!$AC$17:$AL$28,MATCH(F117,données!$AC$2:$AL$2,0),FALSE),"inexistant")</f>
        <v>inexistant</v>
      </c>
      <c r="Q117" s="112"/>
      <c r="R117" s="631"/>
      <c r="S117" s="407" t="str">
        <f>IFERROR(VLOOKUP(H117,données!$AC$30:$AL$41,MATCH(F117,données!$AC$2:$AL$2,0),FALSE),"inexistant")</f>
        <v>inexistant</v>
      </c>
      <c r="T117" s="637">
        <f>NOMENCLATURE_GEN!AB117</f>
        <v>0</v>
      </c>
      <c r="U117" s="442"/>
      <c r="V117" s="9"/>
      <c r="W117" s="10"/>
      <c r="X117" s="11"/>
    </row>
    <row r="118" spans="1:24" s="8" customFormat="1" ht="39.950000000000003" customHeight="1">
      <c r="A118" s="3"/>
      <c r="B118" s="27" t="str">
        <f>IF(NOMENCLATURE_GEN!B118="","",NOMENCLATURE_GEN!B118)</f>
        <v/>
      </c>
      <c r="C118" s="243" t="str">
        <f>IF(NOMENCLATURE_GEN!C118="","",NOMENCLATURE_GEN!C118)</f>
        <v/>
      </c>
      <c r="D118" s="28">
        <f>IF(NOMENCLATURE_GEN!D118="","",NOMENCLATURE_GEN!D118)</f>
        <v>200</v>
      </c>
      <c r="E118" s="28" t="str">
        <f ca="1">IF(NOMENCLATURE_GEN!E118="","",NOMENCLATURE_GEN!E118)</f>
        <v>A</v>
      </c>
      <c r="F118" s="28" t="str">
        <f>IF(NOMENCLATURE_GEN!F118="","",NOMENCLATURE_GEN!F118)</f>
        <v>TBE</v>
      </c>
      <c r="G118" s="396" t="str">
        <f>IF(NOMENCLATURE_GEN!G118="","",NOMENCLATURE_GEN!G118)</f>
        <v>Convoyeur de reprise sous broyeur des aciers 30-180mm</v>
      </c>
      <c r="H118" s="29">
        <f>IF(NOMENCLATURE_GEN!H118="","",NOMENCLATURE_GEN!H118)</f>
        <v>1000</v>
      </c>
      <c r="I118" s="29">
        <f>IF(NOMENCLATURE_GEN!I118="","",NOMENCLATURE_GEN!I118)</f>
        <v>6000</v>
      </c>
      <c r="J118" s="57">
        <f>IF(NOMENCLATURE_GEN!J118="","",NOMENCLATURE_GEN!J118)</f>
        <v>13</v>
      </c>
      <c r="K118" s="12">
        <f>V118+W118-X118</f>
        <v>11</v>
      </c>
      <c r="L118" s="627">
        <v>9</v>
      </c>
      <c r="M118" s="109" t="str">
        <f>IFERROR(VLOOKUP(H118,données!$AC$4:$AL$15,MATCH(F118,données!$AC$2:$AL$2,0),FALSE),"inexistant")</f>
        <v>TBE1000007</v>
      </c>
      <c r="N118" s="12">
        <v>3</v>
      </c>
      <c r="O118" s="627">
        <v>3</v>
      </c>
      <c r="P118" s="84" t="str">
        <f>IFERROR(VLOOKUP(H118,données!$AC$17:$AL$28,MATCH(F118,données!$AC$2:$AL$2,0),FALSE),"inexistant")</f>
        <v>TBE1000008</v>
      </c>
      <c r="Q118" s="112"/>
      <c r="R118" s="631"/>
      <c r="S118" s="407" t="str">
        <f>IFERROR(VLOOKUP(H118,données!$AC$30:$AL$41,MATCH(F118,données!$AC$2:$AL$2,0),FALSE),"inexistant")</f>
        <v>Inexistant</v>
      </c>
      <c r="T118" s="637" t="str">
        <f>NOMENCLATURE_GEN!AB118</f>
        <v>30-180</v>
      </c>
      <c r="U118" s="442">
        <v>1000</v>
      </c>
      <c r="V118" s="9">
        <f>ROUNDUP(I118/1000,0)</f>
        <v>6</v>
      </c>
      <c r="W118" s="10">
        <v>5</v>
      </c>
      <c r="X118" s="11"/>
    </row>
    <row r="119" spans="1:24" s="8" customFormat="1" ht="39.950000000000003" customHeight="1">
      <c r="A119" s="3"/>
      <c r="B119" s="27" t="str">
        <f>IF(NOMENCLATURE_GEN!B119="","",NOMENCLATURE_GEN!B119)</f>
        <v/>
      </c>
      <c r="C119" s="243" t="str">
        <f>IF(NOMENCLATURE_GEN!C119="","",NOMENCLATURE_GEN!C119)</f>
        <v/>
      </c>
      <c r="D119" s="28">
        <f>IF(NOMENCLATURE_GEN!D119="","",NOMENCLATURE_GEN!D119)</f>
        <v>201</v>
      </c>
      <c r="E119" s="28" t="str">
        <f ca="1">IF(NOMENCLATURE_GEN!E119="","",NOMENCLATURE_GEN!E119)</f>
        <v>A</v>
      </c>
      <c r="F119" s="28" t="str">
        <f>IF(NOMENCLATURE_GEN!F119="","",NOMENCLATURE_GEN!F119)</f>
        <v>TBE</v>
      </c>
      <c r="G119" s="396" t="str">
        <f>IF(NOMENCLATURE_GEN!G119="","",NOMENCLATURE_GEN!G119)</f>
        <v>Convoyeur de transfert des aciers 30-180mm vers OVB</v>
      </c>
      <c r="H119" s="29">
        <f>IF(NOMENCLATURE_GEN!H119="","",NOMENCLATURE_GEN!H119)</f>
        <v>1000</v>
      </c>
      <c r="I119" s="29">
        <f>IF(NOMENCLATURE_GEN!I119="","",NOMENCLATURE_GEN!I119)</f>
        <v>14750</v>
      </c>
      <c r="J119" s="57">
        <f>IF(NOMENCLATURE_GEN!J119="","",NOMENCLATURE_GEN!J119)</f>
        <v>19</v>
      </c>
      <c r="K119" s="12">
        <f>V119+W119-X119</f>
        <v>21</v>
      </c>
      <c r="L119" s="627">
        <v>20</v>
      </c>
      <c r="M119" s="109" t="str">
        <f>IFERROR(VLOOKUP(H119,données!$AC$4:$AL$15,MATCH(F119,données!$AC$2:$AL$2,0),FALSE),"inexistant")</f>
        <v>TBE1000007</v>
      </c>
      <c r="N119" s="12">
        <v>6</v>
      </c>
      <c r="O119" s="627">
        <v>6</v>
      </c>
      <c r="P119" s="551" t="s">
        <v>571</v>
      </c>
      <c r="Q119" s="112"/>
      <c r="R119" s="631"/>
      <c r="S119" s="407" t="str">
        <f>IFERROR(VLOOKUP(H119,données!$AC$30:$AL$41,MATCH(F119,données!$AC$2:$AL$2,0),FALSE),"inexistant")</f>
        <v>Inexistant</v>
      </c>
      <c r="T119" s="637" t="str">
        <f>NOMENCLATURE_GEN!AB119</f>
        <v>30-180</v>
      </c>
      <c r="U119" s="442">
        <v>1500</v>
      </c>
      <c r="V119" s="9">
        <f>ROUNDUP(I119/1000,0)</f>
        <v>15</v>
      </c>
      <c r="W119" s="10">
        <v>6</v>
      </c>
      <c r="X119" s="11"/>
    </row>
    <row r="120" spans="1:24" s="8" customFormat="1" ht="39.950000000000003" customHeight="1">
      <c r="A120" s="3"/>
      <c r="B120" s="27" t="str">
        <f>IF(NOMENCLATURE_GEN!B120="","",NOMENCLATURE_GEN!B120)</f>
        <v/>
      </c>
      <c r="C120" s="243" t="str">
        <f>IF(NOMENCLATURE_GEN!C120="","",NOMENCLATURE_GEN!C120)</f>
        <v/>
      </c>
      <c r="D120" s="28">
        <f>IF(NOMENCLATURE_GEN!D120="","",NOMENCLATURE_GEN!D120)</f>
        <v>202</v>
      </c>
      <c r="E120" s="28" t="str">
        <f ca="1">IF(NOMENCLATURE_GEN!E120="","",NOMENCLATURE_GEN!E120)</f>
        <v>A</v>
      </c>
      <c r="F120" s="28" t="str">
        <f>IF(NOMENCLATURE_GEN!F120="","",NOMENCLATURE_GEN!F120)</f>
        <v>TBE</v>
      </c>
      <c r="G120" s="396" t="str">
        <f>IF(NOMENCLATURE_GEN!G120="","",NOMENCLATURE_GEN!G120)</f>
        <v>Convoyeur d'alimentation du séparateur de ferreux</v>
      </c>
      <c r="H120" s="29">
        <f>IF(NOMENCLATURE_GEN!H120="","",NOMENCLATURE_GEN!H120)</f>
        <v>1000</v>
      </c>
      <c r="I120" s="29">
        <f>IF(NOMENCLATURE_GEN!I120="","",NOMENCLATURE_GEN!I120)</f>
        <v>7500</v>
      </c>
      <c r="J120" s="57">
        <f>IF(NOMENCLATURE_GEN!J120="","",NOMENCLATURE_GEN!J120)</f>
        <v>19</v>
      </c>
      <c r="K120" s="12">
        <f>V120+W120-X120</f>
        <v>14</v>
      </c>
      <c r="L120" s="627">
        <v>12</v>
      </c>
      <c r="M120" s="109" t="str">
        <f>IFERROR(VLOOKUP(H120,données!$AC$4:$AL$15,MATCH(F120,données!$AC$2:$AL$2,0),FALSE),"inexistant")</f>
        <v>TBE1000007</v>
      </c>
      <c r="N120" s="12">
        <v>4</v>
      </c>
      <c r="O120" s="627">
        <v>4</v>
      </c>
      <c r="P120" s="551" t="s">
        <v>571</v>
      </c>
      <c r="Q120" s="112"/>
      <c r="R120" s="631"/>
      <c r="S120" s="407" t="str">
        <f>IFERROR(VLOOKUP(H120,données!$AC$30:$AL$41,MATCH(F120,données!$AC$2:$AL$2,0),FALSE),"inexistant")</f>
        <v>Inexistant</v>
      </c>
      <c r="T120" s="637" t="str">
        <f>NOMENCLATURE_GEN!AB120</f>
        <v>30-180</v>
      </c>
      <c r="U120" s="442">
        <v>1500</v>
      </c>
      <c r="V120" s="9">
        <f>ROUNDUP(I120/1000,0)</f>
        <v>8</v>
      </c>
      <c r="W120" s="10">
        <v>6</v>
      </c>
      <c r="X120" s="11"/>
    </row>
    <row r="121" spans="1:24" s="8" customFormat="1" ht="39.950000000000003" hidden="1" customHeight="1">
      <c r="A121" s="3"/>
      <c r="B121" s="27" t="str">
        <f>IF(NOMENCLATURE_GEN!B121="","",NOMENCLATURE_GEN!B121)</f>
        <v/>
      </c>
      <c r="C121" s="243" t="str">
        <f>IF(NOMENCLATURE_GEN!C121="","",NOMENCLATURE_GEN!C121)</f>
        <v/>
      </c>
      <c r="D121" s="28">
        <f>IF(NOMENCLATURE_GEN!D121="","",NOMENCLATURE_GEN!D121)</f>
        <v>203</v>
      </c>
      <c r="E121" s="28" t="str">
        <f ca="1">IF(NOMENCLATURE_GEN!E121="","",NOMENCLATURE_GEN!E121)</f>
        <v>A</v>
      </c>
      <c r="F121" s="28" t="str">
        <f>IF(NOMENCLATURE_GEN!F121="","",NOMENCLATURE_GEN!F121)</f>
        <v>OVB</v>
      </c>
      <c r="G121" s="396" t="str">
        <f>IF(NOMENCLATURE_GEN!G121="","",NOMENCLATURE_GEN!G121)</f>
        <v>Séparateur magnétique à aimant permament</v>
      </c>
      <c r="H121" s="29">
        <f>IF(NOMENCLATURE_GEN!H121="","",NOMENCLATURE_GEN!H121)</f>
        <v>1000</v>
      </c>
      <c r="I121" s="29">
        <f>IF(NOMENCLATURE_GEN!I121="","",NOMENCLATURE_GEN!I121)</f>
        <v>2500</v>
      </c>
      <c r="J121" s="57" t="str">
        <f>IF(NOMENCLATURE_GEN!J121="","",NOMENCLATURE_GEN!J121)</f>
        <v/>
      </c>
      <c r="K121" s="12"/>
      <c r="L121" s="627"/>
      <c r="M121" s="109" t="str">
        <f>IFERROR(VLOOKUP(H121,données!$AC$4:$AL$15,MATCH(F121,données!$AC$2:$AL$2,0),FALSE),"inexistant")</f>
        <v>inexistant</v>
      </c>
      <c r="N121" s="12"/>
      <c r="O121" s="629"/>
      <c r="P121" s="85" t="str">
        <f>IFERROR(VLOOKUP(H121,données!$AC$17:$AL$28,MATCH(F121,données!$AC$2:$AL$2,0),FALSE),"inexistant")</f>
        <v>inexistant</v>
      </c>
      <c r="Q121" s="112"/>
      <c r="R121" s="631"/>
      <c r="S121" s="407" t="str">
        <f>IFERROR(VLOOKUP(H121,données!$AC$30:$AL$41,MATCH(F121,données!$AC$2:$AL$2,0),FALSE),"inexistant")</f>
        <v>inexistant</v>
      </c>
      <c r="T121" s="637" t="str">
        <f>NOMENCLATURE_GEN!AB121</f>
        <v>30-180</v>
      </c>
      <c r="U121" s="442"/>
      <c r="V121" s="9"/>
      <c r="W121" s="10"/>
      <c r="X121" s="11"/>
    </row>
    <row r="122" spans="1:24" s="8" customFormat="1" ht="39.950000000000003" hidden="1" customHeight="1">
      <c r="A122" s="3"/>
      <c r="B122" s="27" t="str">
        <f>IF(NOMENCLATURE_GEN!B122="","",NOMENCLATURE_GEN!B122)</f>
        <v/>
      </c>
      <c r="C122" s="243" t="str">
        <f>IF(NOMENCLATURE_GEN!C122="","",NOMENCLATURE_GEN!C122)</f>
        <v/>
      </c>
      <c r="D122" s="28">
        <f>IF(NOMENCLATURE_GEN!D122="","",NOMENCLATURE_GEN!D122)</f>
        <v>203</v>
      </c>
      <c r="E122" s="28" t="str">
        <f ca="1">IF(NOMENCLATURE_GEN!E122="","",NOMENCLATURE_GEN!E122)</f>
        <v>B</v>
      </c>
      <c r="F122" s="28" t="str">
        <f>IF(NOMENCLATURE_GEN!F122="","",NOMENCLATURE_GEN!F122)</f>
        <v>GLT</v>
      </c>
      <c r="G122" s="396" t="str">
        <f>IF(NOMENCLATURE_GEN!G122="","",NOMENCLATURE_GEN!G122)</f>
        <v>GOULOTTE AVEC VERIN</v>
      </c>
      <c r="H122" s="29" t="str">
        <f>IF(NOMENCLATURE_GEN!H122="","",NOMENCLATURE_GEN!H122)</f>
        <v/>
      </c>
      <c r="I122" s="29" t="str">
        <f>IF(NOMENCLATURE_GEN!I122="","",NOMENCLATURE_GEN!I122)</f>
        <v/>
      </c>
      <c r="J122" s="57" t="str">
        <f>IF(NOMENCLATURE_GEN!J122="","",NOMENCLATURE_GEN!J122)</f>
        <v/>
      </c>
      <c r="K122" s="12"/>
      <c r="L122" s="627"/>
      <c r="M122" s="109" t="str">
        <f>IFERROR(VLOOKUP(H122,données!$AC$4:$AL$15,MATCH(F122,données!$AC$2:$AL$2,0),FALSE),"inexistant")</f>
        <v>inexistant</v>
      </c>
      <c r="N122" s="12"/>
      <c r="O122" s="629"/>
      <c r="P122" s="85" t="str">
        <f>IFERROR(VLOOKUP(H122,données!$AC$17:$AL$28,MATCH(F122,données!$AC$2:$AL$2,0),FALSE),"inexistant")</f>
        <v>inexistant</v>
      </c>
      <c r="Q122" s="112"/>
      <c r="R122" s="631"/>
      <c r="S122" s="407" t="str">
        <f>IFERROR(VLOOKUP(H122,données!$AC$30:$AL$41,MATCH(F122,données!$AC$2:$AL$2,0),FALSE),"inexistant")</f>
        <v>inexistant</v>
      </c>
      <c r="T122" s="637">
        <f>NOMENCLATURE_GEN!AB122</f>
        <v>0</v>
      </c>
      <c r="U122" s="442"/>
      <c r="V122" s="9"/>
      <c r="W122" s="10"/>
      <c r="X122" s="11"/>
    </row>
    <row r="123" spans="1:24" s="8" customFormat="1" ht="39.950000000000003" hidden="1" customHeight="1">
      <c r="A123" s="3"/>
      <c r="B123" s="27" t="str">
        <f>IF(NOMENCLATURE_GEN!B123="","",NOMENCLATURE_GEN!B123)</f>
        <v>SUP</v>
      </c>
      <c r="C123" s="243" t="str">
        <f>IF(NOMENCLATURE_GEN!C123="","",NOMENCLATURE_GEN!C123)</f>
        <v/>
      </c>
      <c r="D123" s="28">
        <f>IF(NOMENCLATURE_GEN!D123="","",NOMENCLATURE_GEN!D123)</f>
        <v>204</v>
      </c>
      <c r="E123" s="28" t="str">
        <f ca="1">IF(NOMENCLATURE_GEN!E123="","",NOMENCLATURE_GEN!E123)</f>
        <v>A</v>
      </c>
      <c r="F123" s="28" t="str">
        <f>IF(NOMENCLATURE_GEN!F123="","",NOMENCLATURE_GEN!F123)</f>
        <v>CHA</v>
      </c>
      <c r="G123" s="396" t="str">
        <f>IF(NOMENCLATURE_GEN!G123="","",NOMENCLATURE_GEN!G123)</f>
        <v>Charpente support OVB + protection grillagée et goulotte inox</v>
      </c>
      <c r="H123" s="29" t="str">
        <f>IF(NOMENCLATURE_GEN!H123="","",NOMENCLATURE_GEN!H123)</f>
        <v/>
      </c>
      <c r="I123" s="29" t="str">
        <f>IF(NOMENCLATURE_GEN!I123="","",NOMENCLATURE_GEN!I123)</f>
        <v/>
      </c>
      <c r="J123" s="57" t="str">
        <f>IF(NOMENCLATURE_GEN!J123="","",NOMENCLATURE_GEN!J123)</f>
        <v/>
      </c>
      <c r="K123" s="12"/>
      <c r="L123" s="627"/>
      <c r="M123" s="109" t="str">
        <f>IFERROR(VLOOKUP(H123,données!$AC$4:$AL$15,MATCH(F123,données!$AC$2:$AL$2,0),FALSE),"inexistant")</f>
        <v>inexistant</v>
      </c>
      <c r="N123" s="12"/>
      <c r="O123" s="629"/>
      <c r="P123" s="85" t="str">
        <f>IFERROR(VLOOKUP(H123,données!$AC$17:$AL$28,MATCH(F123,données!$AC$2:$AL$2,0),FALSE),"inexistant")</f>
        <v>inexistant</v>
      </c>
      <c r="Q123" s="112"/>
      <c r="R123" s="631"/>
      <c r="S123" s="407" t="str">
        <f>IFERROR(VLOOKUP(H123,données!$AC$30:$AL$41,MATCH(F123,données!$AC$2:$AL$2,0),FALSE),"inexistant")</f>
        <v>inexistant</v>
      </c>
      <c r="T123" s="637">
        <f>NOMENCLATURE_GEN!AB123</f>
        <v>0</v>
      </c>
      <c r="U123" s="442"/>
      <c r="V123" s="9"/>
      <c r="W123" s="10"/>
      <c r="X123" s="11"/>
    </row>
    <row r="124" spans="1:24" s="8" customFormat="1" ht="39.950000000000003" hidden="1" customHeight="1">
      <c r="A124" s="3"/>
      <c r="B124" s="27" t="str">
        <f>IF(NOMENCLATURE_GEN!B124="","",NOMENCLATURE_GEN!B124)</f>
        <v>SUP</v>
      </c>
      <c r="C124" s="243" t="str">
        <f>IF(NOMENCLATURE_GEN!C124="","",NOMENCLATURE_GEN!C124)</f>
        <v/>
      </c>
      <c r="D124" s="28">
        <f>IF(NOMENCLATURE_GEN!D124="","",NOMENCLATURE_GEN!D124)</f>
        <v>205</v>
      </c>
      <c r="E124" s="28" t="str">
        <f ca="1">IF(NOMENCLATURE_GEN!E124="","",NOMENCLATURE_GEN!E124)</f>
        <v>A</v>
      </c>
      <c r="F124" s="28" t="str">
        <f>IF(NOMENCLATURE_GEN!F124="","",NOMENCLATURE_GEN!F124)</f>
        <v>CHA</v>
      </c>
      <c r="G124" s="396" t="str">
        <f>IF(NOMENCLATURE_GEN!G124="","",NOMENCLATURE_GEN!G124)</f>
        <v>Charpente support et accès maintenance broyeur</v>
      </c>
      <c r="H124" s="29">
        <f>IF(NOMENCLATURE_GEN!H124="","",NOMENCLATURE_GEN!H124)</f>
        <v>3500</v>
      </c>
      <c r="I124" s="29">
        <f>IF(NOMENCLATURE_GEN!I124="","",NOMENCLATURE_GEN!I124)</f>
        <v>4000</v>
      </c>
      <c r="J124" s="57" t="str">
        <f>IF(NOMENCLATURE_GEN!J124="","",NOMENCLATURE_GEN!J124)</f>
        <v/>
      </c>
      <c r="K124" s="12"/>
      <c r="L124" s="627"/>
      <c r="M124" s="109" t="str">
        <f>IFERROR(VLOOKUP(H124,données!$AC$4:$AL$15,MATCH(F124,données!$AC$2:$AL$2,0),FALSE),"inexistant")</f>
        <v>inexistant</v>
      </c>
      <c r="N124" s="12"/>
      <c r="O124" s="629"/>
      <c r="P124" s="85" t="str">
        <f>IFERROR(VLOOKUP(H124,données!$AC$17:$AL$28,MATCH(F124,données!$AC$2:$AL$2,0),FALSE),"inexistant")</f>
        <v>inexistant</v>
      </c>
      <c r="Q124" s="112"/>
      <c r="R124" s="631"/>
      <c r="S124" s="407" t="str">
        <f>IFERROR(VLOOKUP(H124,données!$AC$30:$AL$41,MATCH(F124,données!$AC$2:$AL$2,0),FALSE),"inexistant")</f>
        <v>inexistant</v>
      </c>
      <c r="T124" s="637">
        <f>NOMENCLATURE_GEN!AB124</f>
        <v>0</v>
      </c>
      <c r="U124" s="442"/>
      <c r="V124" s="9"/>
      <c r="W124" s="10"/>
      <c r="X124" s="11"/>
    </row>
    <row r="125" spans="1:24" s="8" customFormat="1" ht="39.950000000000003" customHeight="1">
      <c r="A125" s="3"/>
      <c r="B125" s="27" t="str">
        <f>IF(NOMENCLATURE_GEN!B125="","",NOMENCLATURE_GEN!B125)</f>
        <v/>
      </c>
      <c r="C125" s="243" t="str">
        <f>IF(NOMENCLATURE_GEN!C125="","",NOMENCLATURE_GEN!C125)</f>
        <v/>
      </c>
      <c r="D125" s="28">
        <f>IF(NOMENCLATURE_GEN!D125="","",NOMENCLATURE_GEN!D125)</f>
        <v>207</v>
      </c>
      <c r="E125" s="28" t="str">
        <f ca="1">IF(NOMENCLATURE_GEN!E125="","",NOMENCLATURE_GEN!E125)</f>
        <v>A</v>
      </c>
      <c r="F125" s="28" t="str">
        <f>IF(NOMENCLATURE_GEN!F125="","",NOMENCLATURE_GEN!F125)</f>
        <v>TBE</v>
      </c>
      <c r="G125" s="396" t="str">
        <f>IF(NOMENCLATURE_GEN!G125="","",NOMENCLATURE_GEN!G125)</f>
        <v>Convoyeur by-pass presse à paquets</v>
      </c>
      <c r="H125" s="29">
        <f>IF(NOMENCLATURE_GEN!H125="","",NOMENCLATURE_GEN!H125)</f>
        <v>800</v>
      </c>
      <c r="I125" s="29">
        <f>IF(NOMENCLATURE_GEN!I125="","",NOMENCLATURE_GEN!I125)</f>
        <v>3500</v>
      </c>
      <c r="J125" s="57">
        <f>IF(NOMENCLATURE_GEN!J125="","",NOMENCLATURE_GEN!J125)</f>
        <v>0</v>
      </c>
      <c r="K125" s="12">
        <f>V125+W125-X125</f>
        <v>10</v>
      </c>
      <c r="L125" s="627">
        <v>8</v>
      </c>
      <c r="M125" s="109" t="str">
        <f>IFERROR(VLOOKUP(H125,données!$AC$4:$AL$15,MATCH(F125,données!$AC$2:$AL$2,0),FALSE),"inexistant")</f>
        <v>TBE0800007</v>
      </c>
      <c r="N125" s="12">
        <v>3</v>
      </c>
      <c r="O125" s="627">
        <v>2</v>
      </c>
      <c r="P125" s="84" t="str">
        <f>IFERROR(VLOOKUP(H125,données!$AC$17:$AL$28,MATCH(F125,données!$AC$2:$AL$2,0),FALSE),"inexistant")</f>
        <v>TBE0800008</v>
      </c>
      <c r="Q125" s="112"/>
      <c r="R125" s="631"/>
      <c r="S125" s="407" t="str">
        <f>IFERROR(VLOOKUP(H125,données!$AC$30:$AL$41,MATCH(F125,données!$AC$2:$AL$2,0),FALSE),"inexistant")</f>
        <v>Inexistant</v>
      </c>
      <c r="T125" s="637" t="str">
        <f>NOMENCLATURE_GEN!AB125</f>
        <v>30-180</v>
      </c>
      <c r="U125" s="442">
        <v>1500</v>
      </c>
      <c r="V125" s="9">
        <f>ROUNDUP(I125/1000,0)</f>
        <v>4</v>
      </c>
      <c r="W125" s="10">
        <v>6</v>
      </c>
      <c r="X125" s="11"/>
    </row>
    <row r="126" spans="1:24" s="8" customFormat="1" ht="39.950000000000003" hidden="1" customHeight="1">
      <c r="A126" s="3"/>
      <c r="B126" s="27" t="str">
        <f>IF(NOMENCLATURE_GEN!B126="","",NOMENCLATURE_GEN!B126)</f>
        <v/>
      </c>
      <c r="C126" s="243" t="str">
        <f>IF(NOMENCLATURE_GEN!C126="","",NOMENCLATURE_GEN!C126)</f>
        <v/>
      </c>
      <c r="D126" s="28">
        <f>IF(NOMENCLATURE_GEN!D126="","",NOMENCLATURE_GEN!D126)</f>
        <v>208</v>
      </c>
      <c r="E126" s="28" t="str">
        <f ca="1">IF(NOMENCLATURE_GEN!E126="","",NOMENCLATURE_GEN!E126)</f>
        <v>A</v>
      </c>
      <c r="F126" s="28" t="str">
        <f>IF(NOMENCLATURE_GEN!F126="","",NOMENCLATURE_GEN!F126)</f>
        <v>SOL</v>
      </c>
      <c r="G126" s="396" t="str">
        <f>IF(NOMENCLATURE_GEN!G126="","",NOMENCLATURE_GEN!G126)</f>
        <v>RLX séparateur objets longs SUR CVY 162</v>
      </c>
      <c r="H126" s="29" t="str">
        <f>IF(NOMENCLATURE_GEN!H126="","",NOMENCLATURE_GEN!H126)</f>
        <v/>
      </c>
      <c r="I126" s="29" t="str">
        <f>IF(NOMENCLATURE_GEN!I126="","",NOMENCLATURE_GEN!I126)</f>
        <v/>
      </c>
      <c r="J126" s="57" t="str">
        <f>IF(NOMENCLATURE_GEN!J126="","",NOMENCLATURE_GEN!J126)</f>
        <v/>
      </c>
      <c r="K126" s="12"/>
      <c r="L126" s="627"/>
      <c r="M126" s="109" t="str">
        <f>IFERROR(VLOOKUP(H126,données!$AC$4:$AL$15,MATCH(F126,données!$AC$2:$AL$2,0),FALSE),"inexistant")</f>
        <v>inexistant</v>
      </c>
      <c r="N126" s="12"/>
      <c r="O126" s="629"/>
      <c r="P126" s="85" t="str">
        <f>IFERROR(VLOOKUP(H126,données!$AC$17:$AL$28,MATCH(F126,données!$AC$2:$AL$2,0),FALSE),"inexistant")</f>
        <v>inexistant</v>
      </c>
      <c r="Q126" s="112"/>
      <c r="R126" s="631"/>
      <c r="S126" s="407" t="str">
        <f>IFERROR(VLOOKUP(H126,données!$AC$30:$AL$41,MATCH(F126,données!$AC$2:$AL$2,0),FALSE),"inexistant")</f>
        <v>inexistant</v>
      </c>
      <c r="T126" s="637">
        <f>NOMENCLATURE_GEN!AB126</f>
        <v>0</v>
      </c>
      <c r="U126" s="442"/>
      <c r="V126" s="9"/>
      <c r="W126" s="10"/>
      <c r="X126" s="11"/>
    </row>
    <row r="127" spans="1:24" s="8" customFormat="1" ht="39.950000000000003" hidden="1" customHeight="1">
      <c r="A127" s="3"/>
      <c r="B127" s="27" t="str">
        <f>IF(NOMENCLATURE_GEN!B127="","",NOMENCLATURE_GEN!B127)</f>
        <v/>
      </c>
      <c r="C127" s="243" t="str">
        <f>IF(NOMENCLATURE_GEN!C127="","",NOMENCLATURE_GEN!C127)</f>
        <v/>
      </c>
      <c r="D127" s="28">
        <f>IF(NOMENCLATURE_GEN!D127="","",NOMENCLATURE_GEN!D127)</f>
        <v>209</v>
      </c>
      <c r="E127" s="28" t="str">
        <f ca="1">IF(NOMENCLATURE_GEN!E127="","",NOMENCLATURE_GEN!E127)</f>
        <v>A</v>
      </c>
      <c r="F127" s="28" t="str">
        <f>IF(NOMENCLATURE_GEN!F127="","",NOMENCLATURE_GEN!F127)</f>
        <v>PRP</v>
      </c>
      <c r="G127" s="396" t="str">
        <f>IF(NOMENCLATURE_GEN!G127="","",NOMENCLATURE_GEN!G127)</f>
        <v>Fourniture et pose d'une presse à paquets PP11</v>
      </c>
      <c r="H127" s="29" t="str">
        <f>IF(NOMENCLATURE_GEN!H127="","",NOMENCLATURE_GEN!H127)</f>
        <v/>
      </c>
      <c r="I127" s="29" t="str">
        <f>IF(NOMENCLATURE_GEN!I127="","",NOMENCLATURE_GEN!I127)</f>
        <v/>
      </c>
      <c r="J127" s="57" t="str">
        <f>IF(NOMENCLATURE_GEN!J127="","",NOMENCLATURE_GEN!J127)</f>
        <v/>
      </c>
      <c r="K127" s="12"/>
      <c r="L127" s="627"/>
      <c r="M127" s="109" t="str">
        <f>IFERROR(VLOOKUP(H127,données!$AC$4:$AL$15,MATCH(F127,données!$AC$2:$AL$2,0),FALSE),"inexistant")</f>
        <v>inexistant</v>
      </c>
      <c r="N127" s="12"/>
      <c r="O127" s="629"/>
      <c r="P127" s="85" t="str">
        <f>IFERROR(VLOOKUP(H127,données!$AC$17:$AL$28,MATCH(F127,données!$AC$2:$AL$2,0),FALSE),"inexistant")</f>
        <v>inexistant</v>
      </c>
      <c r="Q127" s="112"/>
      <c r="R127" s="631"/>
      <c r="S127" s="407" t="str">
        <f>IFERROR(VLOOKUP(H127,données!$AC$30:$AL$41,MATCH(F127,données!$AC$2:$AL$2,0),FALSE),"inexistant")</f>
        <v>inexistant</v>
      </c>
      <c r="T127" s="637">
        <f>NOMENCLATURE_GEN!AB127</f>
        <v>0</v>
      </c>
      <c r="U127" s="442"/>
      <c r="V127" s="9"/>
      <c r="W127" s="10"/>
      <c r="X127" s="11"/>
    </row>
    <row r="128" spans="1:24" s="8" customFormat="1" ht="39.950000000000003" hidden="1" customHeight="1">
      <c r="A128" s="3"/>
      <c r="B128" s="27" t="str">
        <f>IF(NOMENCLATURE_GEN!B128="","",NOMENCLATURE_GEN!B128)</f>
        <v>SUP</v>
      </c>
      <c r="C128" s="243" t="str">
        <f>IF(NOMENCLATURE_GEN!C128="","",NOMENCLATURE_GEN!C128)</f>
        <v/>
      </c>
      <c r="D128" s="28">
        <f>IF(NOMENCLATURE_GEN!D128="","",NOMENCLATURE_GEN!D128)</f>
        <v>210</v>
      </c>
      <c r="E128" s="28" t="str">
        <f ca="1">IF(NOMENCLATURE_GEN!E128="","",NOMENCLATURE_GEN!E128)</f>
        <v>A</v>
      </c>
      <c r="F128" s="28" t="str">
        <f>IF(NOMENCLATURE_GEN!F128="","",NOMENCLATURE_GEN!F128)</f>
        <v>COU</v>
      </c>
      <c r="G128" s="396" t="str">
        <f>IF(NOMENCLATURE_GEN!G128="","",NOMENCLATURE_GEN!G128)</f>
        <v>Moins value pour suppressions Couronne rotatif pour convoyeur de mise en tas FFOM</v>
      </c>
      <c r="H128" s="29" t="str">
        <f>IF(NOMENCLATURE_GEN!H128="","",NOMENCLATURE_GEN!H128)</f>
        <v/>
      </c>
      <c r="I128" s="29" t="str">
        <f>IF(NOMENCLATURE_GEN!I128="","",NOMENCLATURE_GEN!I128)</f>
        <v/>
      </c>
      <c r="J128" s="57" t="str">
        <f>IF(NOMENCLATURE_GEN!J128="","",NOMENCLATURE_GEN!J128)</f>
        <v/>
      </c>
      <c r="K128" s="12"/>
      <c r="L128" s="627"/>
      <c r="M128" s="109" t="str">
        <f>IFERROR(VLOOKUP(H128,données!$AC$4:$AL$15,MATCH(F128,données!$AC$2:$AL$2,0),FALSE),"inexistant")</f>
        <v>inexistant</v>
      </c>
      <c r="N128" s="12"/>
      <c r="O128" s="629"/>
      <c r="P128" s="85" t="str">
        <f>IFERROR(VLOOKUP(H128,données!$AC$17:$AL$28,MATCH(F128,données!$AC$2:$AL$2,0),FALSE),"inexistant")</f>
        <v>inexistant</v>
      </c>
      <c r="Q128" s="112"/>
      <c r="R128" s="631"/>
      <c r="S128" s="407" t="str">
        <f>IFERROR(VLOOKUP(H128,données!$AC$30:$AL$41,MATCH(F128,données!$AC$2:$AL$2,0),FALSE),"inexistant")</f>
        <v>inexistant</v>
      </c>
      <c r="T128" s="637">
        <f>NOMENCLATURE_GEN!AB128</f>
        <v>0</v>
      </c>
      <c r="U128" s="442"/>
      <c r="V128" s="9"/>
      <c r="W128" s="10"/>
      <c r="X128" s="11"/>
    </row>
    <row r="129" spans="1:31" s="8" customFormat="1" ht="39.950000000000003" hidden="1" customHeight="1">
      <c r="A129" s="3"/>
      <c r="B129" s="27" t="str">
        <f>IF(NOMENCLATURE_GEN!B129="","",NOMENCLATURE_GEN!B129)</f>
        <v/>
      </c>
      <c r="C129" s="243" t="str">
        <f>IF(NOMENCLATURE_GEN!C129="","",NOMENCLATURE_GEN!C129)</f>
        <v/>
      </c>
      <c r="D129" s="28">
        <f>IF(NOMENCLATURE_GEN!D129="","",NOMENCLATURE_GEN!D129)</f>
        <v>211</v>
      </c>
      <c r="E129" s="28" t="str">
        <f ca="1">IF(NOMENCLATURE_GEN!E129="","",NOMENCLATURE_GEN!E129)</f>
        <v>A</v>
      </c>
      <c r="F129" s="28" t="str">
        <f>IF(NOMENCLATURE_GEN!F129="","",NOMENCLATURE_GEN!F129)</f>
        <v>NAV</v>
      </c>
      <c r="G129" s="396" t="str">
        <f>IF(NOMENCLATURE_GEN!G129="","",NOMENCLATURE_GEN!G129)</f>
        <v>Navette pour convoyeur mobile remplissage benne FFOM TBE 160</v>
      </c>
      <c r="H129" s="29" t="str">
        <f>IF(NOMENCLATURE_GEN!H129="","",NOMENCLATURE_GEN!H129)</f>
        <v/>
      </c>
      <c r="I129" s="29" t="str">
        <f>IF(NOMENCLATURE_GEN!I129="","",NOMENCLATURE_GEN!I129)</f>
        <v/>
      </c>
      <c r="J129" s="57" t="str">
        <f>IF(NOMENCLATURE_GEN!J129="","",NOMENCLATURE_GEN!J129)</f>
        <v/>
      </c>
      <c r="K129" s="12"/>
      <c r="L129" s="627"/>
      <c r="M129" s="109" t="str">
        <f>IFERROR(VLOOKUP(H129,données!$AC$4:$AL$15,MATCH(F129,données!$AC$2:$AL$2,0),FALSE),"inexistant")</f>
        <v>inexistant</v>
      </c>
      <c r="N129" s="12"/>
      <c r="O129" s="629"/>
      <c r="P129" s="85" t="str">
        <f>IFERROR(VLOOKUP(H129,données!$AC$17:$AL$28,MATCH(F129,données!$AC$2:$AL$2,0),FALSE),"inexistant")</f>
        <v>inexistant</v>
      </c>
      <c r="Q129" s="112"/>
      <c r="R129" s="631"/>
      <c r="S129" s="407" t="str">
        <f>IFERROR(VLOOKUP(H129,données!$AC$30:$AL$41,MATCH(F129,données!$AC$2:$AL$2,0),FALSE),"inexistant")</f>
        <v>inexistant</v>
      </c>
      <c r="T129" s="637" t="str">
        <f>NOMENCLATURE_GEN!AB129</f>
        <v>0-30</v>
      </c>
      <c r="U129" s="442"/>
      <c r="V129" s="9"/>
      <c r="W129" s="10"/>
      <c r="X129" s="11"/>
    </row>
    <row r="130" spans="1:31" s="8" customFormat="1" ht="39.950000000000003" hidden="1" customHeight="1">
      <c r="A130" s="3"/>
      <c r="B130" s="27" t="str">
        <f>IF(NOMENCLATURE_GEN!B130="","",NOMENCLATURE_GEN!B130)</f>
        <v/>
      </c>
      <c r="C130" s="243" t="str">
        <f>IF(NOMENCLATURE_GEN!C130="","",NOMENCLATURE_GEN!C130)</f>
        <v/>
      </c>
      <c r="D130" s="28">
        <f>IF(NOMENCLATURE_GEN!D130="","",NOMENCLATURE_GEN!D130)</f>
        <v>212</v>
      </c>
      <c r="E130" s="28" t="str">
        <f ca="1">IF(NOMENCLATURE_GEN!E130="","",NOMENCLATURE_GEN!E130)</f>
        <v>A</v>
      </c>
      <c r="F130" s="28" t="str">
        <f>IF(NOMENCLATURE_GEN!F130="","",NOMENCLATURE_GEN!F130)</f>
        <v>CHA</v>
      </c>
      <c r="G130" s="396" t="str">
        <f>IF(NOMENCLATURE_GEN!G130="","",NOMENCLATURE_GEN!G130)</f>
        <v>Ensemble passerelle pour convoyeur navette FFOM</v>
      </c>
      <c r="H130" s="29" t="str">
        <f>IF(NOMENCLATURE_GEN!H130="","",NOMENCLATURE_GEN!H130)</f>
        <v/>
      </c>
      <c r="I130" s="29" t="str">
        <f>IF(NOMENCLATURE_GEN!I130="","",NOMENCLATURE_GEN!I130)</f>
        <v/>
      </c>
      <c r="J130" s="57" t="str">
        <f>IF(NOMENCLATURE_GEN!J130="","",NOMENCLATURE_GEN!J130)</f>
        <v/>
      </c>
      <c r="K130" s="12"/>
      <c r="L130" s="627"/>
      <c r="M130" s="109" t="str">
        <f>IFERROR(VLOOKUP(H130,données!$AC$4:$AL$15,MATCH(F130,données!$AC$2:$AL$2,0),FALSE),"inexistant")</f>
        <v>inexistant</v>
      </c>
      <c r="N130" s="12"/>
      <c r="O130" s="629"/>
      <c r="P130" s="85" t="str">
        <f>IFERROR(VLOOKUP(H130,données!$AC$17:$AL$28,MATCH(F130,données!$AC$2:$AL$2,0),FALSE),"inexistant")</f>
        <v>inexistant</v>
      </c>
      <c r="Q130" s="112"/>
      <c r="R130" s="631"/>
      <c r="S130" s="407" t="str">
        <f>IFERROR(VLOOKUP(H130,données!$AC$30:$AL$41,MATCH(F130,données!$AC$2:$AL$2,0),FALSE),"inexistant")</f>
        <v>inexistant</v>
      </c>
      <c r="T130" s="637">
        <f>NOMENCLATURE_GEN!AB130</f>
        <v>0</v>
      </c>
      <c r="U130" s="442"/>
      <c r="V130" s="9"/>
      <c r="W130" s="10"/>
      <c r="X130" s="11"/>
    </row>
    <row r="131" spans="1:31" s="8" customFormat="1" ht="39.950000000000003" hidden="1" customHeight="1">
      <c r="A131" s="3"/>
      <c r="B131" s="27" t="str">
        <f>IF(NOMENCLATURE_GEN!B131="","",NOMENCLATURE_GEN!B131)</f>
        <v/>
      </c>
      <c r="C131" s="243" t="str">
        <f>IF(NOMENCLATURE_GEN!C131="","",NOMENCLATURE_GEN!C131)</f>
        <v/>
      </c>
      <c r="D131" s="28">
        <f>IF(NOMENCLATURE_GEN!D131="","",NOMENCLATURE_GEN!D131)</f>
        <v>213</v>
      </c>
      <c r="E131" s="28" t="str">
        <f ca="1">IF(NOMENCLATURE_GEN!E131="","",NOMENCLATURE_GEN!E131)</f>
        <v>A</v>
      </c>
      <c r="F131" s="28" t="str">
        <f>IF(NOMENCLATURE_GEN!F131="","",NOMENCLATURE_GEN!F131)</f>
        <v>PES</v>
      </c>
      <c r="G131" s="396" t="str">
        <f>IF(NOMENCLATURE_GEN!G131="","",NOMENCLATURE_GEN!G131)</f>
        <v>Pesage des paquets d'aciers en sortie</v>
      </c>
      <c r="H131" s="29" t="str">
        <f>IF(NOMENCLATURE_GEN!H131="","",NOMENCLATURE_GEN!H131)</f>
        <v/>
      </c>
      <c r="I131" s="29" t="str">
        <f>IF(NOMENCLATURE_GEN!I131="","",NOMENCLATURE_GEN!I131)</f>
        <v/>
      </c>
      <c r="J131" s="57" t="str">
        <f>IF(NOMENCLATURE_GEN!J131="","",NOMENCLATURE_GEN!J131)</f>
        <v/>
      </c>
      <c r="K131" s="12"/>
      <c r="L131" s="627"/>
      <c r="M131" s="109" t="str">
        <f>IFERROR(VLOOKUP(H131,données!$AC$4:$AL$15,MATCH(F131,données!$AC$2:$AL$2,0),FALSE),"inexistant")</f>
        <v>inexistant</v>
      </c>
      <c r="N131" s="12"/>
      <c r="O131" s="629"/>
      <c r="P131" s="85" t="str">
        <f>IFERROR(VLOOKUP(H131,données!$AC$17:$AL$28,MATCH(F131,données!$AC$2:$AL$2,0),FALSE),"inexistant")</f>
        <v>inexistant</v>
      </c>
      <c r="Q131" s="112"/>
      <c r="R131" s="631"/>
      <c r="S131" s="407" t="str">
        <f>IFERROR(VLOOKUP(H131,données!$AC$30:$AL$41,MATCH(F131,données!$AC$2:$AL$2,0),FALSE),"inexistant")</f>
        <v>inexistant</v>
      </c>
      <c r="T131" s="637">
        <f>NOMENCLATURE_GEN!AB131</f>
        <v>0</v>
      </c>
      <c r="U131" s="442"/>
      <c r="V131" s="9"/>
      <c r="W131" s="10"/>
      <c r="X131" s="11"/>
    </row>
    <row r="132" spans="1:31" s="8" customFormat="1" ht="39.950000000000003" hidden="1" customHeight="1">
      <c r="A132" s="3"/>
      <c r="B132" s="27" t="str">
        <f>IF(NOMENCLATURE_GEN!B132="","",NOMENCLATURE_GEN!B132)</f>
        <v/>
      </c>
      <c r="C132" s="243" t="str">
        <f>IF(NOMENCLATURE_GEN!C132="","",NOMENCLATURE_GEN!C132)</f>
        <v/>
      </c>
      <c r="D132" s="28">
        <f>IF(NOMENCLATURE_GEN!D132="","",NOMENCLATURE_GEN!D132)</f>
        <v>215</v>
      </c>
      <c r="E132" s="28" t="str">
        <f ca="1">IF(NOMENCLATURE_GEN!E132="","",NOMENCLATURE_GEN!E132)</f>
        <v>A</v>
      </c>
      <c r="F132" s="28" t="str">
        <f>IF(NOMENCLATURE_GEN!F132="","",NOMENCLATURE_GEN!F132)</f>
        <v>ELEC</v>
      </c>
      <c r="G132" s="396" t="str">
        <f>IF(NOMENCLATURE_GEN!G132="","",NOMENCLATURE_GEN!G132)</f>
        <v>Cablage électrique + capteurs</v>
      </c>
      <c r="H132" s="29" t="str">
        <f>IF(NOMENCLATURE_GEN!H132="","",NOMENCLATURE_GEN!H132)</f>
        <v/>
      </c>
      <c r="I132" s="29" t="str">
        <f>IF(NOMENCLATURE_GEN!I132="","",NOMENCLATURE_GEN!I132)</f>
        <v/>
      </c>
      <c r="J132" s="57" t="str">
        <f>IF(NOMENCLATURE_GEN!J132="","",NOMENCLATURE_GEN!J132)</f>
        <v/>
      </c>
      <c r="K132" s="12"/>
      <c r="L132" s="627"/>
      <c r="M132" s="109" t="str">
        <f>IFERROR(VLOOKUP(H132,données!$AC$4:$AL$15,MATCH(F132,données!$AC$2:$AL$2,0),FALSE),"inexistant")</f>
        <v>inexistant</v>
      </c>
      <c r="N132" s="12"/>
      <c r="O132" s="629"/>
      <c r="P132" s="85" t="str">
        <f>IFERROR(VLOOKUP(H132,données!$AC$17:$AL$28,MATCH(F132,données!$AC$2:$AL$2,0),FALSE),"inexistant")</f>
        <v>inexistant</v>
      </c>
      <c r="Q132" s="112"/>
      <c r="R132" s="631"/>
      <c r="S132" s="407" t="str">
        <f>IFERROR(VLOOKUP(H132,données!$AC$30:$AL$41,MATCH(F132,données!$AC$2:$AL$2,0),FALSE),"inexistant")</f>
        <v>inexistant</v>
      </c>
      <c r="T132" s="637">
        <f>NOMENCLATURE_GEN!AB132</f>
        <v>0</v>
      </c>
      <c r="U132" s="442"/>
      <c r="V132" s="9"/>
      <c r="W132" s="10"/>
      <c r="X132" s="11"/>
    </row>
    <row r="133" spans="1:31" s="8" customFormat="1" ht="39.950000000000003" hidden="1" customHeight="1">
      <c r="A133" s="3"/>
      <c r="B133" s="27" t="str">
        <f>IF(NOMENCLATURE_GEN!B133="","",NOMENCLATURE_GEN!B133)</f>
        <v/>
      </c>
      <c r="C133" s="243" t="str">
        <f>IF(NOMENCLATURE_GEN!C133="","",NOMENCLATURE_GEN!C133)</f>
        <v/>
      </c>
      <c r="D133" s="28">
        <f>IF(NOMENCLATURE_GEN!D133="","",NOMENCLATURE_GEN!D133)</f>
        <v>219</v>
      </c>
      <c r="E133" s="28" t="str">
        <f ca="1">IF(NOMENCLATURE_GEN!E133="","",NOMENCLATURE_GEN!E133)</f>
        <v>A</v>
      </c>
      <c r="F133" s="28" t="str">
        <f>IF(NOMENCLATURE_GEN!F133="","",NOMENCLATURE_GEN!F133)</f>
        <v>PES</v>
      </c>
      <c r="G133" s="396" t="str">
        <f>IF(NOMENCLATURE_GEN!G133="","",NOMENCLATURE_GEN!G133)</f>
        <v>Station de pesage dynamique sur CBA 199 fraction FFOM vers métha</v>
      </c>
      <c r="H133" s="29" t="str">
        <f>IF(NOMENCLATURE_GEN!H133="","",NOMENCLATURE_GEN!H133)</f>
        <v/>
      </c>
      <c r="I133" s="29" t="str">
        <f>IF(NOMENCLATURE_GEN!I133="","",NOMENCLATURE_GEN!I133)</f>
        <v/>
      </c>
      <c r="J133" s="57" t="str">
        <f>IF(NOMENCLATURE_GEN!J133="","",NOMENCLATURE_GEN!J133)</f>
        <v/>
      </c>
      <c r="K133" s="12"/>
      <c r="L133" s="627"/>
      <c r="M133" s="109" t="str">
        <f>IFERROR(VLOOKUP(H133,données!$AC$4:$AL$15,MATCH(F133,données!$AC$2:$AL$2,0),FALSE),"inexistant")</f>
        <v>inexistant</v>
      </c>
      <c r="N133" s="12"/>
      <c r="O133" s="629"/>
      <c r="P133" s="85" t="str">
        <f>IFERROR(VLOOKUP(H133,données!$AC$17:$AL$28,MATCH(F133,données!$AC$2:$AL$2,0),FALSE),"inexistant")</f>
        <v>inexistant</v>
      </c>
      <c r="Q133" s="112"/>
      <c r="R133" s="631"/>
      <c r="S133" s="407" t="str">
        <f>IFERROR(VLOOKUP(H133,données!$AC$30:$AL$41,MATCH(F133,données!$AC$2:$AL$2,0),FALSE),"inexistant")</f>
        <v>inexistant</v>
      </c>
      <c r="T133" s="637">
        <f>NOMENCLATURE_GEN!AB133</f>
        <v>0</v>
      </c>
      <c r="U133" s="442"/>
      <c r="V133" s="9"/>
      <c r="W133" s="10"/>
      <c r="X133" s="11"/>
    </row>
    <row r="134" spans="1:31" s="8" customFormat="1" ht="39.950000000000003" hidden="1" customHeight="1">
      <c r="A134" s="3"/>
      <c r="B134" s="27" t="str">
        <f>IF(NOMENCLATURE_GEN!B134="","",NOMENCLATURE_GEN!B134)</f>
        <v>SUP</v>
      </c>
      <c r="C134" s="243" t="str">
        <f>IF(NOMENCLATURE_GEN!C134="","",NOMENCLATURE_GEN!C134)</f>
        <v/>
      </c>
      <c r="D134" s="28">
        <f>IF(NOMENCLATURE_GEN!D134="","",NOMENCLATURE_GEN!D134)</f>
        <v>221</v>
      </c>
      <c r="E134" s="28" t="str">
        <f ca="1">IF(NOMENCLATURE_GEN!E134="","",NOMENCLATURE_GEN!E134)</f>
        <v>A</v>
      </c>
      <c r="F134" s="28" t="str">
        <f>IF(NOMENCLATURE_GEN!F134="","",NOMENCLATURE_GEN!F134)</f>
        <v>TVB</v>
      </c>
      <c r="G134" s="396" t="str">
        <f>IF(NOMENCLATURE_GEN!G134="","",NOMENCLATURE_GEN!G134)</f>
        <v>Alimentateur vibrant pour tri optique verre</v>
      </c>
      <c r="H134" s="29" t="str">
        <f>IF(NOMENCLATURE_GEN!H134="","",NOMENCLATURE_GEN!H134)</f>
        <v/>
      </c>
      <c r="I134" s="29" t="str">
        <f>IF(NOMENCLATURE_GEN!I134="","",NOMENCLATURE_GEN!I134)</f>
        <v/>
      </c>
      <c r="J134" s="57" t="str">
        <f>IF(NOMENCLATURE_GEN!J134="","",NOMENCLATURE_GEN!J134)</f>
        <v/>
      </c>
      <c r="K134" s="12"/>
      <c r="L134" s="627"/>
      <c r="M134" s="109" t="str">
        <f>IFERROR(VLOOKUP(H134,données!$AC$4:$AL$15,MATCH(F134,données!$AC$2:$AL$2,0),FALSE),"inexistant")</f>
        <v>inexistant</v>
      </c>
      <c r="N134" s="12"/>
      <c r="O134" s="629"/>
      <c r="P134" s="85" t="str">
        <f>IFERROR(VLOOKUP(H134,données!$AC$17:$AL$28,MATCH(F134,données!$AC$2:$AL$2,0),FALSE),"inexistant")</f>
        <v>inexistant</v>
      </c>
      <c r="Q134" s="112"/>
      <c r="R134" s="631"/>
      <c r="S134" s="407" t="str">
        <f>IFERROR(VLOOKUP(H134,données!$AC$30:$AL$41,MATCH(F134,données!$AC$2:$AL$2,0),FALSE),"inexistant")</f>
        <v>inexistant</v>
      </c>
      <c r="T134" s="637">
        <f>NOMENCLATURE_GEN!AB134</f>
        <v>0</v>
      </c>
      <c r="U134" s="442"/>
      <c r="V134" s="9"/>
      <c r="W134" s="10"/>
      <c r="X134" s="11"/>
    </row>
    <row r="135" spans="1:31" s="8" customFormat="1" ht="39.950000000000003" hidden="1" customHeight="1">
      <c r="A135" s="3"/>
      <c r="B135" s="27" t="str">
        <f>IF(NOMENCLATURE_GEN!B135="","",NOMENCLATURE_GEN!B135)</f>
        <v>SUP</v>
      </c>
      <c r="C135" s="243" t="str">
        <f>IF(NOMENCLATURE_GEN!C135="","",NOMENCLATURE_GEN!C135)</f>
        <v/>
      </c>
      <c r="D135" s="28">
        <f>IF(NOMENCLATURE_GEN!D135="","",NOMENCLATURE_GEN!D135)</f>
        <v>222</v>
      </c>
      <c r="E135" s="28" t="str">
        <f ca="1">IF(NOMENCLATURE_GEN!E135="","",NOMENCLATURE_GEN!E135)</f>
        <v>A</v>
      </c>
      <c r="F135" s="28" t="str">
        <f>IF(NOMENCLATURE_GEN!F135="","",NOMENCLATURE_GEN!F135)</f>
        <v>SOP</v>
      </c>
      <c r="G135" s="396" t="str">
        <f>IF(NOMENCLATURE_GEN!G135="","",NOMENCLATURE_GEN!G135)</f>
        <v>Séparateur optique verre</v>
      </c>
      <c r="H135" s="29" t="str">
        <f>IF(NOMENCLATURE_GEN!H135="","",NOMENCLATURE_GEN!H135)</f>
        <v/>
      </c>
      <c r="I135" s="29" t="str">
        <f>IF(NOMENCLATURE_GEN!I135="","",NOMENCLATURE_GEN!I135)</f>
        <v/>
      </c>
      <c r="J135" s="57" t="str">
        <f>IF(NOMENCLATURE_GEN!J135="","",NOMENCLATURE_GEN!J135)</f>
        <v/>
      </c>
      <c r="K135" s="12"/>
      <c r="L135" s="627"/>
      <c r="M135" s="109" t="str">
        <f>IFERROR(VLOOKUP(H135,données!$AC$4:$AL$15,MATCH(F135,données!$AC$2:$AL$2,0),FALSE),"inexistant")</f>
        <v>inexistant</v>
      </c>
      <c r="N135" s="12"/>
      <c r="O135" s="629"/>
      <c r="P135" s="85" t="str">
        <f>IFERROR(VLOOKUP(H135,données!$AC$17:$AL$28,MATCH(F135,données!$AC$2:$AL$2,0),FALSE),"inexistant")</f>
        <v>inexistant</v>
      </c>
      <c r="Q135" s="112"/>
      <c r="R135" s="631"/>
      <c r="S135" s="407" t="str">
        <f>IFERROR(VLOOKUP(H135,données!$AC$30:$AL$41,MATCH(F135,données!$AC$2:$AL$2,0),FALSE),"inexistant")</f>
        <v>inexistant</v>
      </c>
      <c r="T135" s="637">
        <f>NOMENCLATURE_GEN!AB135</f>
        <v>0</v>
      </c>
      <c r="U135" s="442"/>
      <c r="V135" s="9"/>
      <c r="W135" s="10"/>
      <c r="X135" s="11"/>
    </row>
    <row r="136" spans="1:31" s="8" customFormat="1" ht="39.950000000000003" hidden="1" customHeight="1">
      <c r="A136" s="3"/>
      <c r="B136" s="27" t="str">
        <f>IF(NOMENCLATURE_GEN!B136="","",NOMENCLATURE_GEN!B136)</f>
        <v>SUP</v>
      </c>
      <c r="C136" s="243" t="str">
        <f>IF(NOMENCLATURE_GEN!C136="","",NOMENCLATURE_GEN!C136)</f>
        <v/>
      </c>
      <c r="D136" s="28">
        <f>IF(NOMENCLATURE_GEN!D136="","",NOMENCLATURE_GEN!D136)</f>
        <v>224</v>
      </c>
      <c r="E136" s="28" t="str">
        <f ca="1">IF(NOMENCLATURE_GEN!E136="","",NOMENCLATURE_GEN!E136)</f>
        <v>A</v>
      </c>
      <c r="F136" s="28" t="str">
        <f>IF(NOMENCLATURE_GEN!F136="","",NOMENCLATURE_GEN!F136)</f>
        <v>CHA</v>
      </c>
      <c r="G136" s="396" t="str">
        <f>IF(NOMENCLATURE_GEN!G136="","",NOMENCLATURE_GEN!G136)</f>
        <v>Plateforme d'accès maintenance pour tri optique et vibrant</v>
      </c>
      <c r="H136" s="29" t="str">
        <f>IF(NOMENCLATURE_GEN!H136="","",NOMENCLATURE_GEN!H136)</f>
        <v/>
      </c>
      <c r="I136" s="29" t="str">
        <f>IF(NOMENCLATURE_GEN!I136="","",NOMENCLATURE_GEN!I136)</f>
        <v/>
      </c>
      <c r="J136" s="57" t="str">
        <f>IF(NOMENCLATURE_GEN!J136="","",NOMENCLATURE_GEN!J136)</f>
        <v/>
      </c>
      <c r="K136" s="12"/>
      <c r="L136" s="627"/>
      <c r="M136" s="109" t="str">
        <f>IFERROR(VLOOKUP(H136,données!$AC$4:$AL$15,MATCH(F136,données!$AC$2:$AL$2,0),FALSE),"inexistant")</f>
        <v>inexistant</v>
      </c>
      <c r="N136" s="12"/>
      <c r="O136" s="629"/>
      <c r="P136" s="85" t="str">
        <f>IFERROR(VLOOKUP(H136,données!$AC$17:$AL$28,MATCH(F136,données!$AC$2:$AL$2,0),FALSE),"inexistant")</f>
        <v>inexistant</v>
      </c>
      <c r="Q136" s="112"/>
      <c r="R136" s="631"/>
      <c r="S136" s="407" t="str">
        <f>IFERROR(VLOOKUP(H136,données!$AC$30:$AL$41,MATCH(F136,données!$AC$2:$AL$2,0),FALSE),"inexistant")</f>
        <v>inexistant</v>
      </c>
      <c r="T136" s="637">
        <f>NOMENCLATURE_GEN!AB136</f>
        <v>0</v>
      </c>
      <c r="U136" s="442"/>
      <c r="V136" s="9"/>
      <c r="W136" s="10"/>
      <c r="X136" s="11"/>
    </row>
    <row r="137" spans="1:31" s="8" customFormat="1" ht="39.950000000000003" hidden="1" customHeight="1">
      <c r="A137" s="3"/>
      <c r="B137" s="27" t="str">
        <f>IF(NOMENCLATURE_GEN!B137="","",NOMENCLATURE_GEN!B137)</f>
        <v>SUP</v>
      </c>
      <c r="C137" s="243" t="str">
        <f>IF(NOMENCLATURE_GEN!C137="","",NOMENCLATURE_GEN!C137)</f>
        <v/>
      </c>
      <c r="D137" s="28">
        <f>IF(NOMENCLATURE_GEN!D137="","",NOMENCLATURE_GEN!D137)</f>
        <v>225</v>
      </c>
      <c r="E137" s="28" t="str">
        <f ca="1">IF(NOMENCLATURE_GEN!E137="","",NOMENCLATURE_GEN!E137)</f>
        <v>A</v>
      </c>
      <c r="F137" s="28" t="str">
        <f>IF(NOMENCLATURE_GEN!F137="","",NOMENCLATURE_GEN!F137)</f>
        <v>COM</v>
      </c>
      <c r="G137" s="396" t="str">
        <f>IF(NOMENCLATURE_GEN!G137="","",NOMENCLATURE_GEN!G137)</f>
        <v>Compresseur + sécheur + réseau pour tri optique verre</v>
      </c>
      <c r="H137" s="29" t="str">
        <f>IF(NOMENCLATURE_GEN!H137="","",NOMENCLATURE_GEN!H137)</f>
        <v/>
      </c>
      <c r="I137" s="29" t="str">
        <f>IF(NOMENCLATURE_GEN!I137="","",NOMENCLATURE_GEN!I137)</f>
        <v/>
      </c>
      <c r="J137" s="57" t="str">
        <f>IF(NOMENCLATURE_GEN!J137="","",NOMENCLATURE_GEN!J137)</f>
        <v/>
      </c>
      <c r="K137" s="12"/>
      <c r="L137" s="627"/>
      <c r="M137" s="109" t="str">
        <f>IFERROR(VLOOKUP(H137,données!$AC$4:$AL$15,MATCH(F137,données!$AC$2:$AL$2,0),FALSE),"inexistant")</f>
        <v>inexistant</v>
      </c>
      <c r="N137" s="12"/>
      <c r="O137" s="629"/>
      <c r="P137" s="85" t="str">
        <f>IFERROR(VLOOKUP(H137,données!$AC$17:$AL$28,MATCH(F137,données!$AC$2:$AL$2,0),FALSE),"inexistant")</f>
        <v>inexistant</v>
      </c>
      <c r="Q137" s="112"/>
      <c r="R137" s="631"/>
      <c r="S137" s="407" t="str">
        <f>IFERROR(VLOOKUP(H137,données!$AC$30:$AL$41,MATCH(F137,données!$AC$2:$AL$2,0),FALSE),"inexistant")</f>
        <v>inexistant</v>
      </c>
      <c r="T137" s="637">
        <f>NOMENCLATURE_GEN!AB137</f>
        <v>0</v>
      </c>
      <c r="U137" s="442"/>
      <c r="V137" s="9"/>
      <c r="W137" s="10"/>
      <c r="X137" s="11"/>
    </row>
    <row r="138" spans="1:31" s="8" customFormat="1" ht="39.950000000000003" hidden="1" customHeight="1">
      <c r="A138" s="3"/>
      <c r="B138" s="27" t="str">
        <f>IF(NOMENCLATURE_GEN!B138="","",NOMENCLATURE_GEN!B138)</f>
        <v>SUP</v>
      </c>
      <c r="C138" s="243" t="str">
        <f>IF(NOMENCLATURE_GEN!C138="","",NOMENCLATURE_GEN!C138)</f>
        <v/>
      </c>
      <c r="D138" s="28">
        <f>IF(NOMENCLATURE_GEN!D138="","",NOMENCLATURE_GEN!D138)</f>
        <v>227</v>
      </c>
      <c r="E138" s="28" t="str">
        <f ca="1">IF(NOMENCLATURE_GEN!E138="","",NOMENCLATURE_GEN!E138)</f>
        <v>A</v>
      </c>
      <c r="F138" s="28" t="str">
        <f>IF(NOMENCLATURE_GEN!F138="","",NOMENCLATURE_GEN!F138)</f>
        <v>ELEC</v>
      </c>
      <c r="G138" s="396" t="str">
        <f>IF(NOMENCLATURE_GEN!G138="","",NOMENCLATURE_GEN!G138)</f>
        <v>Cablage électrique + capteurs</v>
      </c>
      <c r="H138" s="29" t="str">
        <f>IF(NOMENCLATURE_GEN!H138="","",NOMENCLATURE_GEN!H138)</f>
        <v/>
      </c>
      <c r="I138" s="29" t="str">
        <f>IF(NOMENCLATURE_GEN!I138="","",NOMENCLATURE_GEN!I138)</f>
        <v/>
      </c>
      <c r="J138" s="57" t="str">
        <f>IF(NOMENCLATURE_GEN!J138="","",NOMENCLATURE_GEN!J138)</f>
        <v/>
      </c>
      <c r="K138" s="12"/>
      <c r="L138" s="627"/>
      <c r="M138" s="109" t="str">
        <f>IFERROR(VLOOKUP(H138,données!$AC$4:$AL$15,MATCH(F138,données!$AC$2:$AL$2,0),FALSE),"inexistant")</f>
        <v>inexistant</v>
      </c>
      <c r="N138" s="12"/>
      <c r="O138" s="629"/>
      <c r="P138" s="85" t="str">
        <f>IFERROR(VLOOKUP(H138,données!$AC$17:$AL$28,MATCH(F138,données!$AC$2:$AL$2,0),FALSE),"inexistant")</f>
        <v>inexistant</v>
      </c>
      <c r="Q138" s="112"/>
      <c r="R138" s="631"/>
      <c r="S138" s="407" t="str">
        <f>IFERROR(VLOOKUP(H138,données!$AC$30:$AL$41,MATCH(F138,données!$AC$2:$AL$2,0),FALSE),"inexistant")</f>
        <v>inexistant</v>
      </c>
      <c r="T138" s="637">
        <f>NOMENCLATURE_GEN!AB138</f>
        <v>0</v>
      </c>
      <c r="U138" s="442"/>
      <c r="V138" s="9"/>
      <c r="W138" s="10"/>
      <c r="X138" s="11"/>
    </row>
    <row r="139" spans="1:31" s="8" customFormat="1" ht="39.950000000000003" hidden="1" customHeight="1">
      <c r="A139" s="3"/>
      <c r="B139" s="27" t="str">
        <f>IF(NOMENCLATURE_GEN!B139="","",NOMENCLATURE_GEN!B139)</f>
        <v/>
      </c>
      <c r="C139" s="243" t="str">
        <f>IF(NOMENCLATURE_GEN!C139="","",NOMENCLATURE_GEN!C139)</f>
        <v/>
      </c>
      <c r="D139" s="28">
        <f>IF(NOMENCLATURE_GEN!D139="","",NOMENCLATURE_GEN!D139)</f>
        <v>231</v>
      </c>
      <c r="E139" s="28" t="str">
        <f ca="1">IF(NOMENCLATURE_GEN!E139="","",NOMENCLATURE_GEN!E139)</f>
        <v>A</v>
      </c>
      <c r="F139" s="28" t="str">
        <f>IF(NOMENCLATURE_GEN!F139="","",NOMENCLATURE_GEN!F139)</f>
        <v>DIV</v>
      </c>
      <c r="G139" s="396" t="str">
        <f>IF(NOMENCLATURE_GEN!G139="","",NOMENCLATURE_GEN!G139)</f>
        <v>lot de pièces de premières urgences</v>
      </c>
      <c r="H139" s="29" t="str">
        <f>IF(NOMENCLATURE_GEN!H139="","",NOMENCLATURE_GEN!H139)</f>
        <v/>
      </c>
      <c r="I139" s="29" t="str">
        <f>IF(NOMENCLATURE_GEN!I139="","",NOMENCLATURE_GEN!I139)</f>
        <v/>
      </c>
      <c r="J139" s="57" t="str">
        <f>IF(NOMENCLATURE_GEN!J139="","",NOMENCLATURE_GEN!J139)</f>
        <v/>
      </c>
      <c r="K139" s="12"/>
      <c r="L139" s="627"/>
      <c r="M139" s="109" t="str">
        <f>IFERROR(VLOOKUP(H139,données!$AC$4:$AL$15,MATCH(F139,données!$AC$2:$AL$2,0),FALSE),"inexistant")</f>
        <v>inexistant</v>
      </c>
      <c r="N139" s="12"/>
      <c r="O139" s="629"/>
      <c r="P139" s="85" t="str">
        <f>IFERROR(VLOOKUP(H139,données!$AC$17:$AL$28,MATCH(F139,données!$AC$2:$AL$2,0),FALSE),"inexistant")</f>
        <v>inexistant</v>
      </c>
      <c r="Q139" s="112"/>
      <c r="R139" s="631"/>
      <c r="S139" s="407" t="str">
        <f>IFERROR(VLOOKUP(H139,données!$AC$30:$AL$41,MATCH(F139,données!$AC$2:$AL$2,0),FALSE),"inexistant")</f>
        <v>inexistant</v>
      </c>
      <c r="T139" s="637">
        <f>NOMENCLATURE_GEN!AB139</f>
        <v>0</v>
      </c>
      <c r="U139" s="442"/>
      <c r="V139" s="9"/>
      <c r="W139" s="10"/>
      <c r="X139" s="11"/>
    </row>
    <row r="140" spans="1:31" s="8" customFormat="1" ht="39.950000000000003" hidden="1" customHeight="1" thickBot="1">
      <c r="A140" s="3"/>
      <c r="B140" s="292" t="str">
        <f>IF(NOMENCLATURE_GEN!B140="","",NOMENCLATURE_GEN!B140)</f>
        <v/>
      </c>
      <c r="C140" s="285" t="str">
        <f>IF(NOMENCLATURE_GEN!C140="","",NOMENCLATURE_GEN!C140)</f>
        <v/>
      </c>
      <c r="D140" s="293" t="str">
        <f>IF(NOMENCLATURE_GEN!D140="","",NOMENCLATURE_GEN!D140)</f>
        <v/>
      </c>
      <c r="E140" s="293" t="str">
        <f ca="1">IF(NOMENCLATURE_GEN!E140="","",NOMENCLATURE_GEN!E140)</f>
        <v>A</v>
      </c>
      <c r="F140" s="293" t="str">
        <f>IF(NOMENCLATURE_GEN!F140="","",NOMENCLATURE_GEN!F140)</f>
        <v/>
      </c>
      <c r="G140" s="397" t="str">
        <f>IF(NOMENCLATURE_GEN!G140="","",NOMENCLATURE_GEN!G140)</f>
        <v/>
      </c>
      <c r="H140" s="295" t="str">
        <f>IF(NOMENCLATURE_GEN!H140="","",NOMENCLATURE_GEN!H140)</f>
        <v/>
      </c>
      <c r="I140" s="295" t="str">
        <f>IF(NOMENCLATURE_GEN!I140="","",NOMENCLATURE_GEN!I140)</f>
        <v/>
      </c>
      <c r="J140" s="296" t="str">
        <f>IF(NOMENCLATURE_GEN!J140="","",NOMENCLATURE_GEN!J140)</f>
        <v/>
      </c>
      <c r="K140" s="297"/>
      <c r="L140" s="628"/>
      <c r="M140" s="298" t="str">
        <f>IFERROR(VLOOKUP(H140,données!$AC$4:$AL$15,MATCH(F140,données!$AC$2:$AL$2,0),FALSE),"inexistant")</f>
        <v>inexistant</v>
      </c>
      <c r="N140" s="297"/>
      <c r="O140" s="628"/>
      <c r="P140" s="299" t="str">
        <f>IFERROR(VLOOKUP(H140,données!$AC$17:$AL$28,MATCH(F140,données!$AC$2:$AL$2,0),FALSE),"inexistant")</f>
        <v>inexistant</v>
      </c>
      <c r="Q140" s="300"/>
      <c r="R140" s="632"/>
      <c r="S140" s="408" t="str">
        <f>IFERROR(VLOOKUP(H140,données!$AC$30:$AL$41,MATCH(F140,données!$AC$2:$AL$2,0),FALSE),"inexistant")</f>
        <v>inexistant</v>
      </c>
      <c r="T140" s="638">
        <f>NOMENCLATURE_GEN!AB140</f>
        <v>0</v>
      </c>
      <c r="U140" s="443"/>
      <c r="V140" s="270"/>
      <c r="W140" s="271"/>
      <c r="X140" s="431"/>
    </row>
    <row r="141" spans="1:31" s="49" customFormat="1" ht="15" customHeight="1" thickBot="1">
      <c r="B141" s="8"/>
      <c r="C141" s="8"/>
      <c r="D141" s="8"/>
      <c r="E141" s="8"/>
      <c r="F141" s="8"/>
      <c r="G141" s="8"/>
      <c r="H141" s="152"/>
      <c r="I141" s="152"/>
      <c r="J141" s="152"/>
      <c r="N141" s="51"/>
      <c r="O141" s="51"/>
      <c r="P141" s="51"/>
      <c r="Q141" s="51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</row>
    <row r="142" spans="1:31" ht="53.25" customHeight="1" thickBot="1">
      <c r="H142" s="59"/>
      <c r="I142" s="86" t="s">
        <v>31</v>
      </c>
      <c r="J142" s="87" t="s">
        <v>30</v>
      </c>
      <c r="K142" s="87" t="s">
        <v>29</v>
      </c>
      <c r="L142" s="88" t="s">
        <v>77</v>
      </c>
      <c r="M142"/>
      <c r="N142" s="59"/>
      <c r="O142" s="95" t="s">
        <v>178</v>
      </c>
      <c r="P142" s="96" t="s">
        <v>78</v>
      </c>
      <c r="Q142" s="59"/>
      <c r="R142" s="59"/>
      <c r="S142" s="107" t="s">
        <v>32</v>
      </c>
      <c r="T142" s="639"/>
      <c r="V142" s="172" t="s">
        <v>738</v>
      </c>
      <c r="W142" s="173" t="s">
        <v>739</v>
      </c>
      <c r="X142" s="174" t="s">
        <v>740</v>
      </c>
    </row>
    <row r="143" spans="1:31" s="8" customFormat="1" ht="39.950000000000003" customHeight="1">
      <c r="A143" s="3"/>
      <c r="B143" s="1"/>
      <c r="C143" s="1"/>
      <c r="D143" s="1"/>
      <c r="E143" s="1"/>
      <c r="F143" s="1"/>
      <c r="G143" s="5"/>
      <c r="H143" s="113" t="s">
        <v>201</v>
      </c>
      <c r="I143" s="30">
        <f t="shared" ref="I143:L154" si="10">SUMIFS($K$8:$K$140,$M$8:$M$140,$H143,$F$8:$F$140,I$142)+SUMIFS($N$8:$N$140,$P$8:$P$140,$H143,$F$8:$F$140,I$142)+SUMIFS($Q$8:$Q$140,$S$8:$S$140,$H143,$F$8:$F$140,I$142)</f>
        <v>0</v>
      </c>
      <c r="J143" s="31">
        <f t="shared" si="10"/>
        <v>0</v>
      </c>
      <c r="K143" s="562">
        <f t="shared" si="10"/>
        <v>29</v>
      </c>
      <c r="L143" s="82">
        <f t="shared" si="10"/>
        <v>0</v>
      </c>
      <c r="M143"/>
      <c r="N143" s="113" t="s">
        <v>220</v>
      </c>
      <c r="O143" s="30">
        <f t="shared" ref="O143:P163" si="11">SUMIFS($K$8:$K$140,$M$8:$M$140,$N143,$F$8:$F$140,O$142)+SUMIFS($N$8:$N$140,$P$8:$P$140,$N143,$F$8:$F$140,O$142)+SUMIFS($Q$8:$Q$140,$S$8:$S$140,$N143,$F$8:$F$140,O$142)</f>
        <v>0</v>
      </c>
      <c r="P143" s="82">
        <f t="shared" si="11"/>
        <v>0</v>
      </c>
      <c r="Q143" s="59"/>
      <c r="R143" s="124" t="s">
        <v>245</v>
      </c>
      <c r="S143" s="100">
        <f t="shared" ref="S143:S153" si="12">SUMIFS($K$8:$K$140,$M$8:$M$140,$R143,$F$8:$F$140,S$142)+SUMIFS($N$8:$N$140,$P$8:$P$140,$R143,$F$8:$F$140,S$142)+SUMIFS($Q$8:$Q$140,$S$8:$S$140,$R143,$F$8:$F$140,S$142)</f>
        <v>0</v>
      </c>
      <c r="T143" s="639"/>
      <c r="V143" s="641" t="s">
        <v>201</v>
      </c>
      <c r="W143" s="269">
        <v>40</v>
      </c>
      <c r="X143" s="275">
        <f>SUMIFS($L$8:$L$140,$M$8:$M$140,$V143)+SUMIFS($O$8:$O$140,$P$8:$P$140,$V143)+SUMIFS($R$8:$R$140,$S$8:$S$140,$V143)</f>
        <v>24</v>
      </c>
    </row>
    <row r="144" spans="1:31" s="8" customFormat="1" ht="39.950000000000003" customHeight="1">
      <c r="A144" s="3"/>
      <c r="B144" s="1"/>
      <c r="C144" s="1"/>
      <c r="D144" s="1"/>
      <c r="E144" s="1"/>
      <c r="F144" s="1"/>
      <c r="G144" s="5"/>
      <c r="H144" s="114" t="s">
        <v>202</v>
      </c>
      <c r="I144" s="32">
        <f t="shared" si="10"/>
        <v>0</v>
      </c>
      <c r="J144" s="33">
        <f t="shared" si="10"/>
        <v>0</v>
      </c>
      <c r="K144" s="563">
        <f t="shared" si="10"/>
        <v>150</v>
      </c>
      <c r="L144" s="34">
        <f t="shared" si="10"/>
        <v>0</v>
      </c>
      <c r="M144"/>
      <c r="N144" s="114" t="s">
        <v>221</v>
      </c>
      <c r="O144" s="32">
        <f t="shared" si="11"/>
        <v>0</v>
      </c>
      <c r="P144" s="34">
        <f t="shared" si="11"/>
        <v>0</v>
      </c>
      <c r="Q144" s="59"/>
      <c r="R144" s="120" t="s">
        <v>188</v>
      </c>
      <c r="S144" s="101">
        <f t="shared" si="12"/>
        <v>0</v>
      </c>
      <c r="T144" s="639"/>
      <c r="V144" s="642" t="s">
        <v>202</v>
      </c>
      <c r="W144" s="10">
        <v>180</v>
      </c>
      <c r="X144" s="11">
        <f>SUMIFS($L$8:$L$140,$M$8:$M$140,$V144)+SUMIFS($O$8:$O$140,$P$8:$P$140,$V144)+SUMIFS($R$8:$R$140,$S$8:$S$140,$V144)</f>
        <v>148</v>
      </c>
    </row>
    <row r="145" spans="1:24" s="8" customFormat="1" ht="39.950000000000003" customHeight="1">
      <c r="A145" s="3"/>
      <c r="B145" s="1"/>
      <c r="C145" s="1"/>
      <c r="D145" s="1"/>
      <c r="E145" s="1"/>
      <c r="F145" s="1"/>
      <c r="G145" s="5"/>
      <c r="H145" s="114" t="s">
        <v>203</v>
      </c>
      <c r="I145" s="32">
        <f t="shared" si="10"/>
        <v>0</v>
      </c>
      <c r="J145" s="33">
        <f t="shared" si="10"/>
        <v>0</v>
      </c>
      <c r="K145" s="563">
        <f t="shared" si="10"/>
        <v>176</v>
      </c>
      <c r="L145" s="34">
        <f t="shared" si="10"/>
        <v>0</v>
      </c>
      <c r="M145"/>
      <c r="N145" s="114" t="s">
        <v>222</v>
      </c>
      <c r="O145" s="32">
        <f t="shared" si="11"/>
        <v>0</v>
      </c>
      <c r="P145" s="34">
        <f t="shared" si="11"/>
        <v>0</v>
      </c>
      <c r="Q145" s="59"/>
      <c r="R145" s="120" t="s">
        <v>244</v>
      </c>
      <c r="S145" s="101">
        <f t="shared" si="12"/>
        <v>0</v>
      </c>
      <c r="T145" s="639"/>
      <c r="V145" s="642" t="s">
        <v>203</v>
      </c>
      <c r="W145" s="10">
        <v>200</v>
      </c>
      <c r="X145" s="11">
        <f t="shared" ref="X145:X164" si="13">SUMIFS($L$8:$L$140,$M$8:$M$140,$V145)+SUMIFS($O$8:$O$140,$P$8:$P$140,$V145)+SUMIFS($R$8:$R$140,$S$8:$S$140,$V145)</f>
        <v>173</v>
      </c>
    </row>
    <row r="146" spans="1:24" s="8" customFormat="1" ht="39.950000000000003" customHeight="1">
      <c r="A146" s="3"/>
      <c r="B146" s="1"/>
      <c r="C146" s="1"/>
      <c r="D146" s="1"/>
      <c r="E146" s="1"/>
      <c r="F146" s="1"/>
      <c r="G146" s="5"/>
      <c r="H146" s="114" t="s">
        <v>204</v>
      </c>
      <c r="I146" s="32">
        <f t="shared" si="10"/>
        <v>0</v>
      </c>
      <c r="J146" s="33">
        <f t="shared" si="10"/>
        <v>0</v>
      </c>
      <c r="K146" s="33">
        <f t="shared" si="10"/>
        <v>0</v>
      </c>
      <c r="L146" s="34">
        <f t="shared" si="10"/>
        <v>0</v>
      </c>
      <c r="M146"/>
      <c r="N146" s="114" t="s">
        <v>223</v>
      </c>
      <c r="O146" s="32">
        <f t="shared" si="11"/>
        <v>0</v>
      </c>
      <c r="P146" s="34">
        <f t="shared" si="11"/>
        <v>0</v>
      </c>
      <c r="Q146" s="59"/>
      <c r="R146" s="120" t="s">
        <v>243</v>
      </c>
      <c r="S146" s="101">
        <f t="shared" si="12"/>
        <v>0</v>
      </c>
      <c r="T146" s="639"/>
      <c r="V146" s="642" t="s">
        <v>207</v>
      </c>
      <c r="W146" s="10">
        <v>25</v>
      </c>
      <c r="X146" s="11">
        <f t="shared" si="13"/>
        <v>12</v>
      </c>
    </row>
    <row r="147" spans="1:24" s="8" customFormat="1" ht="39.950000000000003" customHeight="1">
      <c r="A147" s="3"/>
      <c r="B147" s="1"/>
      <c r="C147" s="1"/>
      <c r="D147" s="1"/>
      <c r="E147" s="1"/>
      <c r="F147" s="1"/>
      <c r="G147" s="5"/>
      <c r="H147" s="114" t="s">
        <v>205</v>
      </c>
      <c r="I147" s="32">
        <f t="shared" si="10"/>
        <v>0</v>
      </c>
      <c r="J147" s="33">
        <f t="shared" si="10"/>
        <v>0</v>
      </c>
      <c r="K147" s="33">
        <f t="shared" si="10"/>
        <v>0</v>
      </c>
      <c r="L147" s="34">
        <f t="shared" si="10"/>
        <v>0</v>
      </c>
      <c r="M147"/>
      <c r="N147" s="114" t="s">
        <v>224</v>
      </c>
      <c r="O147" s="32">
        <f t="shared" si="11"/>
        <v>0</v>
      </c>
      <c r="P147" s="34">
        <f t="shared" si="11"/>
        <v>0</v>
      </c>
      <c r="Q147" s="59"/>
      <c r="R147" s="120" t="s">
        <v>348</v>
      </c>
      <c r="S147" s="101">
        <f t="shared" si="12"/>
        <v>0</v>
      </c>
      <c r="T147" s="639"/>
      <c r="V147" s="642" t="s">
        <v>210</v>
      </c>
      <c r="W147" s="10">
        <v>15</v>
      </c>
      <c r="X147" s="11">
        <f t="shared" si="13"/>
        <v>6</v>
      </c>
    </row>
    <row r="148" spans="1:24" s="8" customFormat="1" ht="39.950000000000003" customHeight="1">
      <c r="A148" s="3"/>
      <c r="B148" s="1"/>
      <c r="C148" s="1"/>
      <c r="D148" s="1"/>
      <c r="E148" s="1"/>
      <c r="F148" s="1"/>
      <c r="G148" s="5"/>
      <c r="H148" s="114" t="s">
        <v>206</v>
      </c>
      <c r="I148" s="32">
        <f t="shared" si="10"/>
        <v>0</v>
      </c>
      <c r="J148" s="33">
        <f t="shared" si="10"/>
        <v>0</v>
      </c>
      <c r="K148" s="33">
        <f t="shared" si="10"/>
        <v>0</v>
      </c>
      <c r="L148" s="34">
        <f t="shared" si="10"/>
        <v>0</v>
      </c>
      <c r="M148"/>
      <c r="N148" s="114" t="s">
        <v>225</v>
      </c>
      <c r="O148" s="32">
        <f t="shared" si="11"/>
        <v>0</v>
      </c>
      <c r="P148" s="34">
        <f t="shared" si="11"/>
        <v>0</v>
      </c>
      <c r="Q148" s="59"/>
      <c r="R148" s="120" t="s">
        <v>192</v>
      </c>
      <c r="S148" s="101">
        <f t="shared" si="12"/>
        <v>0</v>
      </c>
      <c r="T148" s="639"/>
      <c r="V148" s="642" t="s">
        <v>211</v>
      </c>
      <c r="W148" s="10">
        <v>40</v>
      </c>
      <c r="X148" s="11">
        <f t="shared" si="13"/>
        <v>26</v>
      </c>
    </row>
    <row r="149" spans="1:24" s="8" customFormat="1" ht="39.950000000000003" customHeight="1">
      <c r="A149" s="3"/>
      <c r="B149" s="1"/>
      <c r="C149" s="1"/>
      <c r="D149" s="1"/>
      <c r="E149" s="1"/>
      <c r="F149" s="1"/>
      <c r="G149" s="5"/>
      <c r="H149" s="114" t="s">
        <v>207</v>
      </c>
      <c r="I149" s="32">
        <f t="shared" si="10"/>
        <v>0</v>
      </c>
      <c r="J149" s="33">
        <f t="shared" si="10"/>
        <v>0</v>
      </c>
      <c r="K149" s="563">
        <f t="shared" si="10"/>
        <v>16</v>
      </c>
      <c r="L149" s="34">
        <f t="shared" si="10"/>
        <v>0</v>
      </c>
      <c r="M149"/>
      <c r="N149" s="114" t="s">
        <v>226</v>
      </c>
      <c r="O149" s="32">
        <f t="shared" si="11"/>
        <v>0</v>
      </c>
      <c r="P149" s="34">
        <f t="shared" si="11"/>
        <v>0</v>
      </c>
      <c r="Q149" s="59"/>
      <c r="R149" s="120" t="s">
        <v>336</v>
      </c>
      <c r="S149" s="101">
        <f t="shared" si="12"/>
        <v>0</v>
      </c>
      <c r="T149" s="639"/>
      <c r="V149" s="642" t="s">
        <v>570</v>
      </c>
      <c r="W149" s="10">
        <v>15</v>
      </c>
      <c r="X149" s="11">
        <f t="shared" si="13"/>
        <v>11</v>
      </c>
    </row>
    <row r="150" spans="1:24" s="8" customFormat="1" ht="39.950000000000003" customHeight="1">
      <c r="A150" s="3"/>
      <c r="B150" s="1"/>
      <c r="C150" s="1"/>
      <c r="D150" s="1"/>
      <c r="E150" s="1"/>
      <c r="F150" s="1"/>
      <c r="G150" s="5"/>
      <c r="H150" s="114" t="s">
        <v>208</v>
      </c>
      <c r="I150" s="32">
        <f t="shared" si="10"/>
        <v>0</v>
      </c>
      <c r="J150" s="33">
        <f t="shared" si="10"/>
        <v>0</v>
      </c>
      <c r="K150" s="33">
        <f t="shared" si="10"/>
        <v>0</v>
      </c>
      <c r="L150" s="34">
        <f t="shared" si="10"/>
        <v>0</v>
      </c>
      <c r="M150"/>
      <c r="N150" s="114" t="s">
        <v>227</v>
      </c>
      <c r="O150" s="32">
        <f t="shared" si="11"/>
        <v>0</v>
      </c>
      <c r="P150" s="34">
        <f t="shared" si="11"/>
        <v>0</v>
      </c>
      <c r="Q150" s="59"/>
      <c r="R150" s="120" t="s">
        <v>242</v>
      </c>
      <c r="S150" s="101">
        <f t="shared" si="12"/>
        <v>0</v>
      </c>
      <c r="T150" s="639"/>
      <c r="V150" s="642" t="s">
        <v>212</v>
      </c>
      <c r="W150" s="10">
        <v>40</v>
      </c>
      <c r="X150" s="11">
        <f t="shared" si="13"/>
        <v>26</v>
      </c>
    </row>
    <row r="151" spans="1:24" s="8" customFormat="1" ht="39.950000000000003" customHeight="1" thickBot="1">
      <c r="A151" s="3"/>
      <c r="B151" s="1"/>
      <c r="C151" s="1"/>
      <c r="D151" s="1"/>
      <c r="E151" s="1"/>
      <c r="F151" s="1"/>
      <c r="G151" s="5"/>
      <c r="H151" s="114" t="s">
        <v>186</v>
      </c>
      <c r="I151" s="32">
        <f t="shared" si="10"/>
        <v>0</v>
      </c>
      <c r="J151" s="33">
        <f t="shared" si="10"/>
        <v>0</v>
      </c>
      <c r="K151" s="33">
        <f t="shared" si="10"/>
        <v>0</v>
      </c>
      <c r="L151" s="34">
        <f t="shared" si="10"/>
        <v>0</v>
      </c>
      <c r="M151"/>
      <c r="N151" s="115" t="s">
        <v>228</v>
      </c>
      <c r="O151" s="104">
        <f t="shared" si="11"/>
        <v>0</v>
      </c>
      <c r="P151" s="105">
        <f t="shared" si="11"/>
        <v>0</v>
      </c>
      <c r="Q151" s="59"/>
      <c r="R151" s="120" t="s">
        <v>337</v>
      </c>
      <c r="S151" s="101">
        <f t="shared" si="12"/>
        <v>0</v>
      </c>
      <c r="T151" s="639"/>
      <c r="V151" s="642" t="s">
        <v>571</v>
      </c>
      <c r="W151" s="10">
        <v>40</v>
      </c>
      <c r="X151" s="11">
        <f t="shared" si="13"/>
        <v>30</v>
      </c>
    </row>
    <row r="152" spans="1:24" s="8" customFormat="1" ht="39.950000000000003" customHeight="1" thickBot="1">
      <c r="A152" s="3"/>
      <c r="B152" s="1"/>
      <c r="C152" s="1"/>
      <c r="D152" s="1"/>
      <c r="E152" s="1"/>
      <c r="F152" s="1"/>
      <c r="G152" s="5"/>
      <c r="H152" s="115" t="s">
        <v>209</v>
      </c>
      <c r="I152" s="93">
        <f t="shared" si="10"/>
        <v>0</v>
      </c>
      <c r="J152" s="35">
        <f t="shared" si="10"/>
        <v>0</v>
      </c>
      <c r="K152" s="35">
        <f t="shared" si="10"/>
        <v>0</v>
      </c>
      <c r="L152" s="36">
        <f t="shared" si="10"/>
        <v>0</v>
      </c>
      <c r="M152"/>
      <c r="N152" s="113" t="s">
        <v>229</v>
      </c>
      <c r="O152" s="30">
        <f t="shared" si="11"/>
        <v>0</v>
      </c>
      <c r="P152" s="82">
        <f t="shared" si="11"/>
        <v>0</v>
      </c>
      <c r="Q152" s="59"/>
      <c r="R152" s="123" t="s">
        <v>241</v>
      </c>
      <c r="S152" s="103">
        <f t="shared" si="12"/>
        <v>0</v>
      </c>
      <c r="T152" s="639"/>
      <c r="V152" s="642" t="s">
        <v>216</v>
      </c>
      <c r="W152" s="10">
        <v>5</v>
      </c>
      <c r="X152" s="11">
        <f t="shared" si="13"/>
        <v>2</v>
      </c>
    </row>
    <row r="153" spans="1:24" s="8" customFormat="1" ht="39.950000000000003" customHeight="1" thickBot="1">
      <c r="A153" s="3"/>
      <c r="B153" s="1"/>
      <c r="C153" s="1"/>
      <c r="D153" s="1"/>
      <c r="E153" s="1"/>
      <c r="F153" s="1"/>
      <c r="G153" s="5"/>
      <c r="H153" s="116" t="s">
        <v>210</v>
      </c>
      <c r="I153" s="30">
        <f t="shared" si="10"/>
        <v>0</v>
      </c>
      <c r="J153" s="31">
        <f t="shared" si="10"/>
        <v>0</v>
      </c>
      <c r="K153" s="562">
        <f t="shared" si="10"/>
        <v>9</v>
      </c>
      <c r="L153" s="82">
        <f t="shared" si="10"/>
        <v>0</v>
      </c>
      <c r="M153"/>
      <c r="N153" s="114" t="s">
        <v>230</v>
      </c>
      <c r="O153" s="32">
        <f t="shared" si="11"/>
        <v>0</v>
      </c>
      <c r="P153" s="34">
        <f t="shared" si="11"/>
        <v>0</v>
      </c>
      <c r="Q153" s="59"/>
      <c r="R153" s="421" t="s">
        <v>347</v>
      </c>
      <c r="S153" s="38">
        <f t="shared" si="12"/>
        <v>0</v>
      </c>
      <c r="T153" s="639"/>
      <c r="V153" s="642" t="s">
        <v>181</v>
      </c>
      <c r="W153" s="10">
        <v>200</v>
      </c>
      <c r="X153" s="11">
        <f t="shared" si="13"/>
        <v>175</v>
      </c>
    </row>
    <row r="154" spans="1:24" s="8" customFormat="1" ht="39.950000000000003" customHeight="1" thickBot="1">
      <c r="A154" s="3"/>
      <c r="B154" s="1"/>
      <c r="C154" s="1"/>
      <c r="D154" s="1"/>
      <c r="E154" s="1"/>
      <c r="F154" s="1"/>
      <c r="G154" s="5"/>
      <c r="H154" s="114" t="s">
        <v>211</v>
      </c>
      <c r="I154" s="32">
        <f t="shared" si="10"/>
        <v>0</v>
      </c>
      <c r="J154" s="33">
        <f t="shared" si="10"/>
        <v>0</v>
      </c>
      <c r="K154" s="563">
        <f t="shared" si="10"/>
        <v>30</v>
      </c>
      <c r="L154" s="34">
        <f t="shared" si="10"/>
        <v>0</v>
      </c>
      <c r="M154"/>
      <c r="N154" s="114" t="s">
        <v>231</v>
      </c>
      <c r="O154" s="32">
        <f t="shared" si="11"/>
        <v>0</v>
      </c>
      <c r="P154" s="34">
        <f t="shared" si="11"/>
        <v>0</v>
      </c>
      <c r="Q154" s="59"/>
      <c r="T154" s="639"/>
      <c r="V154" s="642" t="s">
        <v>182</v>
      </c>
      <c r="W154" s="10">
        <v>50</v>
      </c>
      <c r="X154" s="11">
        <f t="shared" si="13"/>
        <v>25</v>
      </c>
    </row>
    <row r="155" spans="1:24" s="8" customFormat="1" ht="39.950000000000003" customHeight="1" thickBot="1">
      <c r="A155" s="3"/>
      <c r="B155" s="1"/>
      <c r="C155" s="1"/>
      <c r="D155" s="1"/>
      <c r="E155" s="1"/>
      <c r="F155" s="1"/>
      <c r="G155" s="5"/>
      <c r="H155" s="114" t="s">
        <v>570</v>
      </c>
      <c r="I155" s="32"/>
      <c r="J155" s="33"/>
      <c r="K155" s="563">
        <f t="shared" ref="K155:K172" si="14">SUMIFS($K$8:$K$140,$M$8:$M$140,$H155,$F$8:$F$140,K$142)+SUMIFS($N$8:$N$140,$P$8:$P$140,$H155,$F$8:$F$140,K$142)+SUMIFS($Q$8:$Q$140,$S$8:$S$140,$H155,$F$8:$F$140,K$142)</f>
        <v>10</v>
      </c>
      <c r="L155" s="34"/>
      <c r="M155"/>
      <c r="N155" s="114" t="s">
        <v>232</v>
      </c>
      <c r="O155" s="32">
        <f t="shared" si="11"/>
        <v>0</v>
      </c>
      <c r="P155" s="34">
        <f t="shared" si="11"/>
        <v>0</v>
      </c>
      <c r="Q155" s="59"/>
      <c r="R155" s="59"/>
      <c r="S155" s="107" t="s">
        <v>24</v>
      </c>
      <c r="T155" s="639"/>
      <c r="V155" s="642" t="s">
        <v>183</v>
      </c>
      <c r="W155" s="10">
        <v>130</v>
      </c>
      <c r="X155" s="11">
        <f t="shared" si="13"/>
        <v>95</v>
      </c>
    </row>
    <row r="156" spans="1:24" s="8" customFormat="1" ht="39.950000000000003" customHeight="1">
      <c r="A156" s="3"/>
      <c r="B156" s="1"/>
      <c r="C156" s="1"/>
      <c r="D156" s="1"/>
      <c r="E156" s="1"/>
      <c r="F156" s="1"/>
      <c r="G156" s="5"/>
      <c r="H156" s="114" t="s">
        <v>212</v>
      </c>
      <c r="I156" s="32">
        <f>SUMIFS($K$8:$K$140,$M$8:$M$140,$H156,$F$8:$F$140,I$142)+SUMIFS($N$8:$N$140,$P$8:$P$140,$H156,$F$8:$F$140,I$142)+SUMIFS($Q$8:$Q$140,$S$8:$S$140,$H156,$F$8:$F$140,I$142)</f>
        <v>0</v>
      </c>
      <c r="J156" s="33">
        <f>SUMIFS($K$8:$K$140,$M$8:$M$140,$H156,$F$8:$F$140,J$142)+SUMIFS($N$8:$N$140,$P$8:$P$140,$H156,$F$8:$F$140,J$142)+SUMIFS($Q$8:$Q$140,$S$8:$S$140,$H156,$F$8:$F$140,J$142)</f>
        <v>0</v>
      </c>
      <c r="K156" s="563">
        <f t="shared" si="14"/>
        <v>28</v>
      </c>
      <c r="L156" s="34">
        <f>SUMIFS($K$8:$K$140,$M$8:$M$140,$H156,$F$8:$F$140,L$142)+SUMIFS($N$8:$N$140,$P$8:$P$140,$H156,$F$8:$F$140,L$142)+SUMIFS($Q$8:$Q$140,$S$8:$S$140,$H156,$F$8:$F$140,L$142)</f>
        <v>0</v>
      </c>
      <c r="M156"/>
      <c r="N156" s="114" t="s">
        <v>233</v>
      </c>
      <c r="O156" s="32">
        <f t="shared" si="11"/>
        <v>0</v>
      </c>
      <c r="P156" s="34">
        <f t="shared" si="11"/>
        <v>0</v>
      </c>
      <c r="Q156" s="59"/>
      <c r="R156" s="119" t="s">
        <v>181</v>
      </c>
      <c r="S156" s="564">
        <f t="shared" ref="S156:S167" si="15">SUMIFS($K$8:$K$140,$M$8:$M$140,$R156,$F$8:$F$140,S$155)+SUMIFS($N$8:$N$140,$P$8:$P$140,$R156,$F$8:$F$140,S$155)+SUMIFS($Q$8:$Q$140,$S$8:$S$140,$R156,$F$8:$F$140,S$155)</f>
        <v>173</v>
      </c>
      <c r="T156" s="639"/>
      <c r="V156" s="642" t="s">
        <v>184</v>
      </c>
      <c r="W156" s="10">
        <v>60</v>
      </c>
      <c r="X156" s="11">
        <f t="shared" si="13"/>
        <v>45</v>
      </c>
    </row>
    <row r="157" spans="1:24" s="8" customFormat="1" ht="39.950000000000003" customHeight="1">
      <c r="A157" s="3"/>
      <c r="B157" s="1"/>
      <c r="C157" s="1"/>
      <c r="D157" s="1"/>
      <c r="E157" s="1"/>
      <c r="F157" s="1"/>
      <c r="G157" s="5"/>
      <c r="H157" s="114" t="s">
        <v>571</v>
      </c>
      <c r="I157" s="32"/>
      <c r="J157" s="33"/>
      <c r="K157" s="563">
        <f t="shared" si="14"/>
        <v>28</v>
      </c>
      <c r="L157" s="34"/>
      <c r="M157"/>
      <c r="N157" s="114" t="s">
        <v>234</v>
      </c>
      <c r="O157" s="32">
        <f t="shared" si="11"/>
        <v>0</v>
      </c>
      <c r="P157" s="34">
        <f t="shared" si="11"/>
        <v>0</v>
      </c>
      <c r="Q157" s="59"/>
      <c r="R157" s="120" t="s">
        <v>182</v>
      </c>
      <c r="S157" s="565">
        <f t="shared" si="15"/>
        <v>34</v>
      </c>
      <c r="T157" s="639"/>
      <c r="V157" s="642" t="s">
        <v>185</v>
      </c>
      <c r="W157" s="10">
        <v>60</v>
      </c>
      <c r="X157" s="11">
        <f t="shared" si="13"/>
        <v>39</v>
      </c>
    </row>
    <row r="158" spans="1:24" s="8" customFormat="1" ht="39.950000000000003" customHeight="1">
      <c r="A158" s="3"/>
      <c r="B158" s="1"/>
      <c r="C158" s="1"/>
      <c r="D158" s="1"/>
      <c r="E158" s="1"/>
      <c r="F158" s="1"/>
      <c r="G158" s="5"/>
      <c r="H158" s="114" t="s">
        <v>213</v>
      </c>
      <c r="I158" s="32">
        <f t="shared" ref="I158:J172" si="16">SUMIFS($K$8:$K$140,$M$8:$M$140,$H158,$F$8:$F$140,I$142)+SUMIFS($N$8:$N$140,$P$8:$P$140,$H158,$F$8:$F$140,I$142)+SUMIFS($Q$8:$Q$140,$S$8:$S$140,$H158,$F$8:$F$140,I$142)</f>
        <v>0</v>
      </c>
      <c r="J158" s="33">
        <f t="shared" si="16"/>
        <v>0</v>
      </c>
      <c r="K158" s="33">
        <f t="shared" si="14"/>
        <v>0</v>
      </c>
      <c r="L158" s="34">
        <f t="shared" ref="L158:L172" si="17">SUMIFS($K$8:$K$140,$M$8:$M$140,$H158,$F$8:$F$140,L$142)+SUMIFS($N$8:$N$140,$P$8:$P$140,$H158,$F$8:$F$140,L$142)+SUMIFS($Q$8:$Q$140,$S$8:$S$140,$H158,$F$8:$F$140,L$142)</f>
        <v>0</v>
      </c>
      <c r="M158"/>
      <c r="N158" s="114" t="s">
        <v>235</v>
      </c>
      <c r="O158" s="32">
        <f t="shared" si="11"/>
        <v>0</v>
      </c>
      <c r="P158" s="34">
        <f t="shared" si="11"/>
        <v>0</v>
      </c>
      <c r="Q158" s="59"/>
      <c r="R158" s="120" t="s">
        <v>183</v>
      </c>
      <c r="S158" s="565">
        <f t="shared" si="15"/>
        <v>107</v>
      </c>
      <c r="T158" s="639"/>
      <c r="V158" s="643" t="s">
        <v>346</v>
      </c>
      <c r="W158" s="10">
        <v>1000</v>
      </c>
      <c r="X158" s="11">
        <f t="shared" si="13"/>
        <v>758</v>
      </c>
    </row>
    <row r="159" spans="1:24" s="8" customFormat="1" ht="39.950000000000003" customHeight="1">
      <c r="A159" s="3"/>
      <c r="B159" s="1"/>
      <c r="C159" s="1"/>
      <c r="D159" s="1"/>
      <c r="E159" s="1"/>
      <c r="F159" s="1"/>
      <c r="G159" s="5"/>
      <c r="H159" s="114" t="s">
        <v>214</v>
      </c>
      <c r="I159" s="32">
        <f t="shared" si="16"/>
        <v>0</v>
      </c>
      <c r="J159" s="33">
        <f t="shared" si="16"/>
        <v>0</v>
      </c>
      <c r="K159" s="33">
        <f t="shared" si="14"/>
        <v>0</v>
      </c>
      <c r="L159" s="34">
        <f t="shared" si="17"/>
        <v>0</v>
      </c>
      <c r="M159"/>
      <c r="N159" s="114" t="s">
        <v>236</v>
      </c>
      <c r="O159" s="32">
        <f t="shared" si="11"/>
        <v>0</v>
      </c>
      <c r="P159" s="34">
        <f t="shared" si="11"/>
        <v>0</v>
      </c>
      <c r="Q159" s="59"/>
      <c r="R159" s="120" t="s">
        <v>184</v>
      </c>
      <c r="S159" s="565">
        <f t="shared" si="15"/>
        <v>45</v>
      </c>
      <c r="T159" s="639"/>
      <c r="V159" s="642" t="s">
        <v>239</v>
      </c>
      <c r="W159" s="10">
        <v>55</v>
      </c>
      <c r="X159" s="11">
        <f t="shared" si="13"/>
        <v>45</v>
      </c>
    </row>
    <row r="160" spans="1:24" s="8" customFormat="1" ht="39.950000000000003" customHeight="1" thickBot="1">
      <c r="A160" s="3"/>
      <c r="B160" s="1"/>
      <c r="C160" s="1"/>
      <c r="D160" s="1"/>
      <c r="E160" s="1"/>
      <c r="F160" s="1"/>
      <c r="G160" s="5"/>
      <c r="H160" s="114" t="s">
        <v>215</v>
      </c>
      <c r="I160" s="32">
        <f t="shared" si="16"/>
        <v>0</v>
      </c>
      <c r="J160" s="33">
        <f t="shared" si="16"/>
        <v>0</v>
      </c>
      <c r="K160" s="33">
        <f t="shared" si="14"/>
        <v>0</v>
      </c>
      <c r="L160" s="34">
        <f t="shared" si="17"/>
        <v>0</v>
      </c>
      <c r="M160"/>
      <c r="N160" s="114" t="s">
        <v>237</v>
      </c>
      <c r="O160" s="32">
        <f t="shared" si="11"/>
        <v>0</v>
      </c>
      <c r="P160" s="34">
        <f t="shared" si="11"/>
        <v>0</v>
      </c>
      <c r="Q160" s="59"/>
      <c r="R160" s="121" t="s">
        <v>185</v>
      </c>
      <c r="S160" s="566">
        <f t="shared" si="15"/>
        <v>45</v>
      </c>
      <c r="V160" s="642" t="s">
        <v>240</v>
      </c>
      <c r="W160" s="10">
        <v>15</v>
      </c>
      <c r="X160" s="11">
        <f t="shared" si="13"/>
        <v>8</v>
      </c>
    </row>
    <row r="161" spans="1:32" s="8" customFormat="1" ht="39.950000000000003" customHeight="1" thickBot="1">
      <c r="A161" s="3"/>
      <c r="B161" s="1"/>
      <c r="C161" s="1"/>
      <c r="D161" s="1"/>
      <c r="E161" s="1"/>
      <c r="F161" s="1"/>
      <c r="G161" s="5"/>
      <c r="H161" s="114" t="s">
        <v>216</v>
      </c>
      <c r="I161" s="32">
        <f t="shared" si="16"/>
        <v>0</v>
      </c>
      <c r="J161" s="33">
        <f t="shared" si="16"/>
        <v>0</v>
      </c>
      <c r="K161" s="563">
        <f t="shared" si="14"/>
        <v>3</v>
      </c>
      <c r="L161" s="34">
        <f t="shared" si="17"/>
        <v>0</v>
      </c>
      <c r="M161"/>
      <c r="N161" s="117" t="s">
        <v>238</v>
      </c>
      <c r="O161" s="104">
        <f t="shared" si="11"/>
        <v>0</v>
      </c>
      <c r="P161" s="105">
        <f t="shared" si="11"/>
        <v>0</v>
      </c>
      <c r="Q161" s="59"/>
      <c r="R161" s="122" t="s">
        <v>346</v>
      </c>
      <c r="S161" s="567">
        <f t="shared" si="15"/>
        <v>808</v>
      </c>
      <c r="V161" s="642" t="s">
        <v>189</v>
      </c>
      <c r="W161" s="10">
        <v>50</v>
      </c>
      <c r="X161" s="11">
        <f t="shared" si="13"/>
        <v>36</v>
      </c>
    </row>
    <row r="162" spans="1:32" s="8" customFormat="1" ht="39.950000000000003" customHeight="1">
      <c r="A162" s="3"/>
      <c r="B162" s="1"/>
      <c r="C162" s="1"/>
      <c r="D162" s="1"/>
      <c r="E162" s="1"/>
      <c r="F162" s="1"/>
      <c r="G162" s="5"/>
      <c r="H162" s="114" t="s">
        <v>217</v>
      </c>
      <c r="I162" s="32">
        <f t="shared" si="16"/>
        <v>0</v>
      </c>
      <c r="J162" s="33">
        <f t="shared" si="16"/>
        <v>0</v>
      </c>
      <c r="K162" s="33">
        <f t="shared" si="14"/>
        <v>0</v>
      </c>
      <c r="L162" s="34">
        <f t="shared" si="17"/>
        <v>0</v>
      </c>
      <c r="M162"/>
      <c r="N162" s="119" t="s">
        <v>345</v>
      </c>
      <c r="O162" s="30">
        <f t="shared" si="11"/>
        <v>0</v>
      </c>
      <c r="P162" s="82">
        <f t="shared" si="11"/>
        <v>0</v>
      </c>
      <c r="Q162" s="59"/>
      <c r="R162" s="119" t="s">
        <v>239</v>
      </c>
      <c r="S162" s="564">
        <f t="shared" si="15"/>
        <v>46</v>
      </c>
      <c r="T162" s="639"/>
      <c r="V162" s="642" t="s">
        <v>567</v>
      </c>
      <c r="W162" s="10">
        <v>15</v>
      </c>
      <c r="X162" s="11">
        <f t="shared" si="13"/>
        <v>7</v>
      </c>
    </row>
    <row r="163" spans="1:32" s="8" customFormat="1" ht="39.950000000000003" customHeight="1" thickBot="1">
      <c r="A163" s="3"/>
      <c r="B163" s="1"/>
      <c r="C163" s="1"/>
      <c r="D163" s="1"/>
      <c r="E163" s="1"/>
      <c r="F163" s="1"/>
      <c r="G163" s="5"/>
      <c r="H163" s="114" t="s">
        <v>193</v>
      </c>
      <c r="I163" s="32">
        <f t="shared" si="16"/>
        <v>0</v>
      </c>
      <c r="J163" s="33">
        <f t="shared" si="16"/>
        <v>0</v>
      </c>
      <c r="K163" s="33">
        <f t="shared" si="14"/>
        <v>0</v>
      </c>
      <c r="L163" s="34">
        <f t="shared" si="17"/>
        <v>0</v>
      </c>
      <c r="M163"/>
      <c r="N163" s="123" t="s">
        <v>347</v>
      </c>
      <c r="O163" s="93">
        <f t="shared" si="11"/>
        <v>0</v>
      </c>
      <c r="P163" s="36">
        <f t="shared" si="11"/>
        <v>0</v>
      </c>
      <c r="Q163" s="59"/>
      <c r="R163" s="120" t="s">
        <v>240</v>
      </c>
      <c r="S163" s="565">
        <f t="shared" si="15"/>
        <v>8</v>
      </c>
      <c r="T163" s="639"/>
      <c r="V163" s="642" t="s">
        <v>568</v>
      </c>
      <c r="W163" s="10">
        <v>20</v>
      </c>
      <c r="X163" s="11">
        <f t="shared" si="13"/>
        <v>13</v>
      </c>
    </row>
    <row r="164" spans="1:32" s="8" customFormat="1" ht="39.950000000000003" customHeight="1" thickBot="1">
      <c r="A164" s="3"/>
      <c r="B164" s="1"/>
      <c r="C164" s="1"/>
      <c r="D164" s="1"/>
      <c r="E164" s="1"/>
      <c r="F164" s="1"/>
      <c r="G164" s="5"/>
      <c r="H164" s="117" t="s">
        <v>218</v>
      </c>
      <c r="I164" s="93">
        <f t="shared" si="16"/>
        <v>0</v>
      </c>
      <c r="J164" s="35">
        <f t="shared" si="16"/>
        <v>0</v>
      </c>
      <c r="K164" s="35">
        <f t="shared" si="14"/>
        <v>0</v>
      </c>
      <c r="L164" s="36">
        <f t="shared" si="17"/>
        <v>0</v>
      </c>
      <c r="M164"/>
      <c r="N164"/>
      <c r="O164"/>
      <c r="P164"/>
      <c r="Q164" s="59"/>
      <c r="R164" s="120" t="s">
        <v>189</v>
      </c>
      <c r="S164" s="565">
        <f t="shared" si="15"/>
        <v>39</v>
      </c>
      <c r="T164" s="639"/>
      <c r="V164" s="644" t="s">
        <v>569</v>
      </c>
      <c r="W164" s="271">
        <v>10</v>
      </c>
      <c r="X164" s="431">
        <f t="shared" si="13"/>
        <v>5</v>
      </c>
    </row>
    <row r="165" spans="1:32" s="8" customFormat="1" ht="39.950000000000003" customHeight="1" thickBot="1">
      <c r="A165" s="3"/>
      <c r="B165" s="1"/>
      <c r="C165" s="1"/>
      <c r="D165" s="1"/>
      <c r="E165" s="1"/>
      <c r="F165" s="1"/>
      <c r="G165" s="5"/>
      <c r="H165" s="118" t="s">
        <v>345</v>
      </c>
      <c r="I165" s="414">
        <f t="shared" si="16"/>
        <v>0</v>
      </c>
      <c r="J165" s="415">
        <f t="shared" si="16"/>
        <v>0</v>
      </c>
      <c r="K165" s="415">
        <f t="shared" si="14"/>
        <v>0</v>
      </c>
      <c r="L165" s="416">
        <f t="shared" si="17"/>
        <v>0</v>
      </c>
      <c r="M165"/>
      <c r="N165"/>
      <c r="O165" s="107" t="s">
        <v>54</v>
      </c>
      <c r="P165"/>
      <c r="Q165" s="59"/>
      <c r="R165" s="120" t="s">
        <v>567</v>
      </c>
      <c r="S165" s="565">
        <f t="shared" si="15"/>
        <v>8</v>
      </c>
      <c r="T165" s="639"/>
      <c r="V165"/>
    </row>
    <row r="166" spans="1:32" s="8" customFormat="1" ht="39.950000000000003" customHeight="1" thickBot="1">
      <c r="A166" s="3"/>
      <c r="B166" s="1"/>
      <c r="C166" s="1"/>
      <c r="D166" s="1"/>
      <c r="E166" s="1"/>
      <c r="F166" s="1"/>
      <c r="G166" s="5"/>
      <c r="H166" s="113" t="s">
        <v>195</v>
      </c>
      <c r="I166" s="30">
        <f t="shared" si="16"/>
        <v>0</v>
      </c>
      <c r="J166" s="31">
        <f t="shared" si="16"/>
        <v>0</v>
      </c>
      <c r="K166" s="31">
        <f t="shared" si="14"/>
        <v>0</v>
      </c>
      <c r="L166" s="417">
        <f t="shared" si="17"/>
        <v>0</v>
      </c>
      <c r="M166"/>
      <c r="N166" s="421" t="s">
        <v>216</v>
      </c>
      <c r="O166" s="560">
        <f>SUMIFS($K$8:$K$140,$M$8:$M$140,$N166,$F$8:$F$140,O$165)+SUMIFS($N$8:$N$140,$P$8:$P$140,$N166,$F$8:$F$140,O$165)+SUMIFS($Q$8:$Q$140,$S$8:$S$140,$N166,$F$8:$F$140,O$165)</f>
        <v>3</v>
      </c>
      <c r="P166"/>
      <c r="Q166" s="59"/>
      <c r="R166" s="120" t="s">
        <v>190</v>
      </c>
      <c r="S166" s="101">
        <f t="shared" si="15"/>
        <v>0</v>
      </c>
      <c r="T166" s="639"/>
      <c r="V166"/>
    </row>
    <row r="167" spans="1:32" s="8" customFormat="1" ht="39.950000000000003" customHeight="1" thickBot="1">
      <c r="A167" s="3"/>
      <c r="B167" s="1"/>
      <c r="C167" s="1"/>
      <c r="D167" s="1"/>
      <c r="E167" s="1"/>
      <c r="F167" s="1"/>
      <c r="G167" s="5"/>
      <c r="H167" s="114" t="s">
        <v>196</v>
      </c>
      <c r="I167" s="32">
        <f t="shared" si="16"/>
        <v>0</v>
      </c>
      <c r="J167" s="33">
        <f t="shared" si="16"/>
        <v>0</v>
      </c>
      <c r="K167" s="33">
        <f t="shared" si="14"/>
        <v>0</v>
      </c>
      <c r="L167" s="418">
        <f t="shared" si="17"/>
        <v>0</v>
      </c>
      <c r="M167"/>
      <c r="N167" s="49"/>
      <c r="O167" s="51"/>
      <c r="P167"/>
      <c r="Q167" s="59"/>
      <c r="R167" s="121" t="s">
        <v>568</v>
      </c>
      <c r="S167" s="566">
        <f t="shared" si="15"/>
        <v>13</v>
      </c>
      <c r="T167" s="639"/>
      <c r="V167"/>
    </row>
    <row r="168" spans="1:32" s="8" customFormat="1" ht="39.950000000000003" customHeight="1" thickBot="1">
      <c r="A168" s="3"/>
      <c r="B168" s="1"/>
      <c r="C168" s="1"/>
      <c r="D168" s="1"/>
      <c r="E168" s="1"/>
      <c r="F168" s="1"/>
      <c r="G168" s="5"/>
      <c r="H168" s="114" t="s">
        <v>197</v>
      </c>
      <c r="I168" s="32">
        <f t="shared" si="16"/>
        <v>0</v>
      </c>
      <c r="J168" s="33">
        <f t="shared" si="16"/>
        <v>0</v>
      </c>
      <c r="K168" s="33">
        <f t="shared" si="14"/>
        <v>0</v>
      </c>
      <c r="L168" s="418">
        <f t="shared" si="17"/>
        <v>0</v>
      </c>
      <c r="M168"/>
      <c r="N168"/>
      <c r="O168" s="107" t="s">
        <v>339</v>
      </c>
      <c r="P168" s="59"/>
      <c r="Q168" s="59"/>
      <c r="R168" s="121" t="s">
        <v>191</v>
      </c>
      <c r="S168" s="102"/>
      <c r="T168" s="639"/>
      <c r="V168"/>
    </row>
    <row r="169" spans="1:32" s="8" customFormat="1" ht="39.950000000000003" customHeight="1" thickBot="1">
      <c r="A169" s="3"/>
      <c r="B169" s="1"/>
      <c r="C169" s="1"/>
      <c r="D169" s="1"/>
      <c r="E169" s="1"/>
      <c r="F169" s="1"/>
      <c r="G169" s="5"/>
      <c r="H169" s="114" t="s">
        <v>198</v>
      </c>
      <c r="I169" s="32">
        <f t="shared" si="16"/>
        <v>0</v>
      </c>
      <c r="J169" s="33">
        <f t="shared" si="16"/>
        <v>0</v>
      </c>
      <c r="K169" s="33">
        <f t="shared" si="14"/>
        <v>0</v>
      </c>
      <c r="L169" s="418">
        <f t="shared" si="17"/>
        <v>0</v>
      </c>
      <c r="M169"/>
      <c r="N169" s="119" t="s">
        <v>340</v>
      </c>
      <c r="O169" s="42">
        <f>SUMIFS($K$8:$K$140,$M$8:$M$140,$N169,$F$8:$F$140,O$168)+SUMIFS($N$8:$N$140,$P$8:$P$140,$N169,$F$8:$F$140,O$168)+SUMIFS($Q$8:$Q$140,$S$8:$S$140,$N169,$F$8:$F$140,O$168)</f>
        <v>0</v>
      </c>
      <c r="P169" s="59"/>
      <c r="Q169" s="59"/>
      <c r="R169" s="123" t="s">
        <v>569</v>
      </c>
      <c r="S169" s="568">
        <f>SUMIFS($K$8:$K$140,$M$8:$M$140,$R169,$F$8:$F$140,S$155)+SUMIFS($N$8:$N$140,$P$8:$P$140,$R169,$F$8:$F$140,S$155)+SUMIFS($Q$8:$Q$140,$S$8:$S$140,$R169,$F$8:$F$140,S$155)</f>
        <v>5</v>
      </c>
      <c r="T169" s="639"/>
      <c r="V169"/>
    </row>
    <row r="170" spans="1:32" s="8" customFormat="1" ht="39.950000000000003" customHeight="1" thickBot="1">
      <c r="A170" s="3"/>
      <c r="B170" s="1"/>
      <c r="C170" s="1"/>
      <c r="D170" s="1"/>
      <c r="E170" s="1"/>
      <c r="F170" s="1"/>
      <c r="G170" s="5"/>
      <c r="H170" s="114" t="s">
        <v>199</v>
      </c>
      <c r="I170" s="32">
        <f t="shared" si="16"/>
        <v>0</v>
      </c>
      <c r="J170" s="33">
        <f t="shared" si="16"/>
        <v>0</v>
      </c>
      <c r="K170" s="33">
        <f t="shared" si="14"/>
        <v>0</v>
      </c>
      <c r="L170" s="418">
        <f t="shared" si="17"/>
        <v>0</v>
      </c>
      <c r="M170"/>
      <c r="N170" s="123" t="s">
        <v>341</v>
      </c>
      <c r="O170" s="47">
        <f>SUMIFS($K$8:$K$140,$M$8:$M$140,$N170,$F$8:$F$140,O$168)+SUMIFS($N$8:$N$140,$P$8:$P$140,$N170,$F$8:$F$140,O$168)+SUMIFS($Q$8:$Q$140,$S$8:$S$140,$N170,$F$8:$F$140,O$168)</f>
        <v>0</v>
      </c>
      <c r="P170"/>
      <c r="Q170" s="59"/>
      <c r="R170"/>
      <c r="S170" s="59"/>
      <c r="T170" s="639"/>
    </row>
    <row r="171" spans="1:32" s="49" customFormat="1" ht="39.75" customHeight="1" thickBot="1">
      <c r="B171" s="1"/>
      <c r="C171" s="1"/>
      <c r="D171" s="1"/>
      <c r="E171" s="1"/>
      <c r="F171" s="1"/>
      <c r="G171" s="5"/>
      <c r="H171" s="117" t="s">
        <v>335</v>
      </c>
      <c r="I171" s="32">
        <f t="shared" si="16"/>
        <v>0</v>
      </c>
      <c r="J171" s="33">
        <f t="shared" si="16"/>
        <v>0</v>
      </c>
      <c r="K171" s="33">
        <f t="shared" si="14"/>
        <v>0</v>
      </c>
      <c r="L171" s="418">
        <f t="shared" si="17"/>
        <v>0</v>
      </c>
      <c r="P171" s="51"/>
      <c r="Q171" s="108" t="str">
        <f>IF(S171&gt;0,"⚠","")</f>
        <v/>
      </c>
      <c r="R171" s="125" t="s">
        <v>179</v>
      </c>
      <c r="S171" s="106">
        <f>SUMIFS($N$8:$N$140,$P$8:$P$140,$R171)+SUMIFS($Q$8:$Q$140,$S$8:$S$140,$R171)+SUMIFS($K$8:$K$140,$M$8:$M$140,$R171)</f>
        <v>0</v>
      </c>
      <c r="T171" s="640" t="str">
        <f>IF(S171&gt;0,"⚠","")</f>
        <v/>
      </c>
      <c r="U171" s="59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</row>
    <row r="172" spans="1:32" s="49" customFormat="1" ht="39.75" customHeight="1" thickBot="1">
      <c r="B172" s="1"/>
      <c r="C172" s="1"/>
      <c r="D172" s="1"/>
      <c r="E172" s="1"/>
      <c r="F172" s="1"/>
      <c r="G172" s="5"/>
      <c r="H172" s="115" t="s">
        <v>200</v>
      </c>
      <c r="I172" s="93">
        <f t="shared" si="16"/>
        <v>0</v>
      </c>
      <c r="J172" s="419">
        <f t="shared" si="16"/>
        <v>0</v>
      </c>
      <c r="K172" s="419">
        <f t="shared" si="14"/>
        <v>0</v>
      </c>
      <c r="L172" s="420">
        <f t="shared" si="17"/>
        <v>0</v>
      </c>
      <c r="P172" s="51"/>
      <c r="Q172" s="59"/>
      <c r="R172" s="59"/>
      <c r="S172" s="59"/>
      <c r="T172" s="639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</row>
    <row r="173" spans="1:32" s="49" customFormat="1" ht="39.75" customHeight="1" thickBot="1">
      <c r="B173" s="8"/>
      <c r="C173" s="8"/>
      <c r="D173" s="8"/>
      <c r="E173" s="8"/>
      <c r="F173" s="8"/>
      <c r="G173" s="8"/>
      <c r="H173" s="8"/>
      <c r="I173" s="152"/>
      <c r="J173" s="152"/>
      <c r="K173" s="152"/>
      <c r="P173" s="51"/>
      <c r="Q173" s="108" t="str">
        <f>IF(S173&gt;0,"⚠","")</f>
        <v/>
      </c>
      <c r="R173" s="125" t="s">
        <v>180</v>
      </c>
      <c r="S173" s="106">
        <f>SUMIFS($N$8:$N$140,$P$8:$P$140,$R173)+SUMIFS($Q$8:$Q$140,$S$8:$S$140,$R173)+SUMIFS($K$8:$K$140,$M$8:$M$140,$R173)</f>
        <v>0</v>
      </c>
      <c r="T173" s="640" t="str">
        <f>IF(S173&gt;0,"⚠","")</f>
        <v/>
      </c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</row>
    <row r="174" spans="1:32" s="49" customFormat="1" ht="30" customHeight="1" thickBot="1">
      <c r="B174" s="8"/>
      <c r="C174" s="8"/>
      <c r="D174" s="8"/>
      <c r="E174" s="8"/>
      <c r="F174" s="8"/>
      <c r="G174" s="8"/>
      <c r="H174" s="152"/>
      <c r="I174" s="152"/>
      <c r="J174" s="152"/>
      <c r="N174" s="51"/>
      <c r="O174" s="51"/>
      <c r="P174" s="51"/>
      <c r="Q174" s="51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</row>
    <row r="175" spans="1:32" s="49" customFormat="1" ht="30" customHeight="1" thickBot="1">
      <c r="B175" s="266" t="s">
        <v>311</v>
      </c>
      <c r="C175" s="267" t="s">
        <v>100</v>
      </c>
      <c r="D175" s="267" t="s">
        <v>312</v>
      </c>
      <c r="E175" s="741" t="s">
        <v>313</v>
      </c>
      <c r="F175" s="742"/>
      <c r="G175" s="742"/>
      <c r="H175" s="742"/>
      <c r="I175" s="742"/>
      <c r="J175" s="743"/>
      <c r="K175" s="430" t="s">
        <v>365</v>
      </c>
      <c r="N175" s="51"/>
      <c r="O175" s="51"/>
      <c r="P175" s="51"/>
      <c r="Q175" s="51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</row>
    <row r="176" spans="1:32" s="49" customFormat="1" ht="30" customHeight="1">
      <c r="B176" s="268" t="s">
        <v>537</v>
      </c>
      <c r="C176" s="269" t="s">
        <v>10</v>
      </c>
      <c r="D176" s="433">
        <v>45408</v>
      </c>
      <c r="E176" s="738" t="s">
        <v>314</v>
      </c>
      <c r="F176" s="739"/>
      <c r="G176" s="739"/>
      <c r="H176" s="739"/>
      <c r="I176" s="739"/>
      <c r="J176" s="740"/>
      <c r="K176" s="434">
        <v>45408</v>
      </c>
      <c r="N176" s="51"/>
      <c r="O176" s="51"/>
      <c r="P176" s="51"/>
      <c r="Q176" s="51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</row>
    <row r="177" spans="2:31" s="49" customFormat="1" ht="30" customHeight="1">
      <c r="B177" s="9" t="s">
        <v>537</v>
      </c>
      <c r="C177" s="10" t="s">
        <v>501</v>
      </c>
      <c r="D177" s="422">
        <v>45462</v>
      </c>
      <c r="E177" s="735" t="s">
        <v>774</v>
      </c>
      <c r="F177" s="736"/>
      <c r="G177" s="736"/>
      <c r="H177" s="736"/>
      <c r="I177" s="736"/>
      <c r="J177" s="737"/>
      <c r="K177" s="439">
        <v>45462</v>
      </c>
      <c r="N177" s="51"/>
      <c r="O177" s="51"/>
      <c r="P177" s="51"/>
      <c r="Q177" s="51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</row>
    <row r="178" spans="2:31" s="49" customFormat="1" ht="30" customHeight="1">
      <c r="B178" s="9"/>
      <c r="C178" s="10"/>
      <c r="D178" s="10"/>
      <c r="E178" s="735"/>
      <c r="F178" s="736"/>
      <c r="G178" s="736"/>
      <c r="H178" s="736"/>
      <c r="I178" s="736"/>
      <c r="J178" s="737"/>
      <c r="K178" s="11"/>
      <c r="N178" s="51"/>
      <c r="O178" s="51"/>
      <c r="P178" s="51"/>
      <c r="Q178" s="51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</row>
    <row r="179" spans="2:31" s="49" customFormat="1" ht="30" customHeight="1">
      <c r="B179" s="9"/>
      <c r="C179" s="10"/>
      <c r="D179" s="10"/>
      <c r="E179" s="735"/>
      <c r="F179" s="736"/>
      <c r="G179" s="736"/>
      <c r="H179" s="736"/>
      <c r="I179" s="736"/>
      <c r="J179" s="737"/>
      <c r="K179" s="11"/>
      <c r="N179" s="51"/>
      <c r="O179" s="51"/>
      <c r="P179" s="51"/>
      <c r="Q179" s="51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</row>
    <row r="180" spans="2:31" s="49" customFormat="1" ht="30" customHeight="1">
      <c r="B180" s="9"/>
      <c r="C180" s="10"/>
      <c r="D180" s="10"/>
      <c r="E180" s="735"/>
      <c r="F180" s="736"/>
      <c r="G180" s="736"/>
      <c r="H180" s="736"/>
      <c r="I180" s="736"/>
      <c r="J180" s="737"/>
      <c r="K180" s="11"/>
      <c r="N180" s="51"/>
      <c r="O180" s="51"/>
      <c r="P180" s="51"/>
      <c r="Q180" s="51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</row>
    <row r="181" spans="2:31" s="49" customFormat="1" ht="30" customHeight="1">
      <c r="B181" s="9"/>
      <c r="C181" s="10"/>
      <c r="D181" s="10"/>
      <c r="E181" s="735"/>
      <c r="F181" s="736"/>
      <c r="G181" s="736"/>
      <c r="H181" s="736"/>
      <c r="I181" s="736"/>
      <c r="J181" s="737"/>
      <c r="K181" s="11"/>
      <c r="N181" s="51"/>
      <c r="O181" s="51"/>
      <c r="P181" s="51"/>
      <c r="Q181" s="51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</row>
    <row r="182" spans="2:31" s="49" customFormat="1" ht="30" customHeight="1">
      <c r="B182" s="9"/>
      <c r="C182" s="10"/>
      <c r="D182" s="10"/>
      <c r="E182" s="735"/>
      <c r="F182" s="736"/>
      <c r="G182" s="736"/>
      <c r="H182" s="736"/>
      <c r="I182" s="736"/>
      <c r="J182" s="737"/>
      <c r="K182" s="11"/>
      <c r="N182" s="51"/>
      <c r="O182" s="51"/>
      <c r="P182" s="51"/>
      <c r="Q182" s="51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</row>
    <row r="183" spans="2:31" s="49" customFormat="1" ht="30" customHeight="1">
      <c r="B183" s="9"/>
      <c r="C183" s="10"/>
      <c r="D183" s="10"/>
      <c r="E183" s="735"/>
      <c r="F183" s="736"/>
      <c r="G183" s="736"/>
      <c r="H183" s="736"/>
      <c r="I183" s="736"/>
      <c r="J183" s="737"/>
      <c r="K183" s="11"/>
      <c r="N183" s="51"/>
      <c r="O183" s="51"/>
      <c r="P183" s="51"/>
      <c r="Q183" s="51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</row>
    <row r="184" spans="2:31" ht="30" customHeight="1">
      <c r="B184" s="9"/>
      <c r="C184" s="10"/>
      <c r="D184" s="10"/>
      <c r="E184" s="735"/>
      <c r="F184" s="736"/>
      <c r="G184" s="736"/>
      <c r="H184" s="736"/>
      <c r="I184" s="736"/>
      <c r="J184" s="737"/>
      <c r="K184" s="11"/>
      <c r="L184" s="49"/>
      <c r="Q184" s="51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</row>
    <row r="185" spans="2:31" ht="30" customHeight="1" thickBot="1">
      <c r="B185" s="270"/>
      <c r="C185" s="271"/>
      <c r="D185" s="271"/>
      <c r="E185" s="747"/>
      <c r="F185" s="748"/>
      <c r="G185" s="748"/>
      <c r="H185" s="748"/>
      <c r="I185" s="748"/>
      <c r="J185" s="749"/>
      <c r="K185" s="431"/>
      <c r="L185" s="49"/>
      <c r="Q185" s="51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</row>
    <row r="186" spans="2:31" ht="15">
      <c r="Q186" s="51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</row>
    <row r="187" spans="2:31" ht="15"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</row>
    <row r="188" spans="2:31" ht="15"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</row>
    <row r="189" spans="2:31" ht="15"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</row>
    <row r="190" spans="2:31" ht="15"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</row>
    <row r="191" spans="2:31" ht="15"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</row>
    <row r="192" spans="2:31" ht="15"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</row>
    <row r="193" spans="18:31" ht="15"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</row>
    <row r="194" spans="18:31" ht="15">
      <c r="R194" s="49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</row>
    <row r="195" spans="18:31" ht="15">
      <c r="R195" s="49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</row>
    <row r="196" spans="18:31" ht="15">
      <c r="R196" s="49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</row>
    <row r="197" spans="18:31" ht="15">
      <c r="R197" s="49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</row>
    <row r="198" spans="18:31" ht="15">
      <c r="R198" s="49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</row>
    <row r="199" spans="18:31" ht="15">
      <c r="R199" s="49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</row>
    <row r="200" spans="18:31" ht="15">
      <c r="R200" s="49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</row>
    <row r="201" spans="18:31" ht="15">
      <c r="R201" s="49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</row>
    <row r="202" spans="18:31" ht="15">
      <c r="R202" s="49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</row>
    <row r="203" spans="18:31" ht="15">
      <c r="R203" s="49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</row>
    <row r="204" spans="18:31" ht="15">
      <c r="R204" s="49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</row>
    <row r="205" spans="18:31" ht="15">
      <c r="R205" s="49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</row>
    <row r="206" spans="18:31" ht="15"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</row>
    <row r="207" spans="18:31" ht="15"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</row>
    <row r="208" spans="18:31" ht="15"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</row>
    <row r="209" spans="19:31" ht="15"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</row>
    <row r="210" spans="19:31" ht="15"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</row>
    <row r="211" spans="19:31" ht="15"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</row>
    <row r="212" spans="19:31" ht="15"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</row>
    <row r="213" spans="19:31" ht="15"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</row>
    <row r="214" spans="19:31" ht="15"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</row>
    <row r="215" spans="19:31" ht="15"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</row>
    <row r="216" spans="19:31" ht="15"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</row>
    <row r="217" spans="19:31" ht="15"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</row>
    <row r="218" spans="19:31" ht="15"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</row>
    <row r="219" spans="19:31" ht="15"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</row>
    <row r="220" spans="19:31" ht="15"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</row>
    <row r="221" spans="19:31" ht="15"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</row>
    <row r="222" spans="19:31" ht="15"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</row>
    <row r="223" spans="19:31" ht="15"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</row>
    <row r="224" spans="19:31" ht="15"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</row>
    <row r="225" spans="19:31" ht="15"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</row>
    <row r="226" spans="19:31" ht="15"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</row>
    <row r="227" spans="19:31" ht="15"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</row>
    <row r="228" spans="19:31" ht="15"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</row>
    <row r="229" spans="19:31" ht="15"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</row>
    <row r="230" spans="19:31" ht="15"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</row>
    <row r="231" spans="19:31" ht="15"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</row>
    <row r="232" spans="19:31" ht="15"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</row>
    <row r="233" spans="19:31" ht="15"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</row>
    <row r="234" spans="19:31" ht="15"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</row>
    <row r="235" spans="19:31" ht="15"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</row>
    <row r="236" spans="19:31" ht="15"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</row>
    <row r="237" spans="19:31" ht="15"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</row>
    <row r="238" spans="19:31" ht="15"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</row>
    <row r="239" spans="19:31" ht="15"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</row>
    <row r="240" spans="19:31" ht="15"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</row>
    <row r="241" spans="19:31" ht="15"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</row>
    <row r="242" spans="19:31" ht="15"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</row>
    <row r="243" spans="19:31" ht="15"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</row>
    <row r="244" spans="19:31" ht="15"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</row>
    <row r="245" spans="19:31" ht="15"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</row>
    <row r="246" spans="19:31" ht="15"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</row>
    <row r="247" spans="19:31" ht="15"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</row>
    <row r="248" spans="19:31" ht="15"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</row>
    <row r="249" spans="19:31" ht="15"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</row>
    <row r="250" spans="19:31" ht="15"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</row>
    <row r="251" spans="19:31" ht="15"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</row>
    <row r="252" spans="19:31" ht="15"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</row>
    <row r="253" spans="19:31" ht="15"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</row>
    <row r="254" spans="19:31" ht="15"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</row>
    <row r="255" spans="19:31" ht="15"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</row>
    <row r="256" spans="19:31" ht="15"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</row>
    <row r="257" spans="19:31" ht="15"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</row>
    <row r="258" spans="19:31" ht="15"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</row>
    <row r="259" spans="19:31" ht="15"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</row>
    <row r="260" spans="19:31" ht="15"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</row>
    <row r="261" spans="19:31" ht="15"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</row>
    <row r="262" spans="19:31" ht="15"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</row>
    <row r="263" spans="19:31" ht="15"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</row>
    <row r="264" spans="19:31" ht="15"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</row>
    <row r="265" spans="19:31" ht="15"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</row>
    <row r="266" spans="19:31" ht="15"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</row>
    <row r="267" spans="19:31" ht="15"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</row>
    <row r="268" spans="19:31" ht="15"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</row>
    <row r="269" spans="19:31" ht="15"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</row>
    <row r="270" spans="19:31" ht="15"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</row>
    <row r="271" spans="19:31" ht="15"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</row>
    <row r="272" spans="19:31" ht="15"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</row>
    <row r="273" spans="19:31" ht="15"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</row>
    <row r="274" spans="19:31" ht="15"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</row>
    <row r="275" spans="19:31" ht="15"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</row>
    <row r="276" spans="19:31" ht="15"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</row>
    <row r="277" spans="19:31" ht="15"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</row>
    <row r="278" spans="19:31" ht="15"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</row>
    <row r="279" spans="19:31" ht="15"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</row>
    <row r="280" spans="19:31" ht="15"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</row>
    <row r="281" spans="19:31" ht="15"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</row>
    <row r="282" spans="19:31" ht="15"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</row>
    <row r="283" spans="19:31" ht="15"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</row>
    <row r="284" spans="19:31" ht="15"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</row>
    <row r="285" spans="19:31" ht="15"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</row>
    <row r="286" spans="19:31" ht="15"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</row>
    <row r="287" spans="19:31" ht="15"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</row>
    <row r="288" spans="19:31" ht="15"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</row>
    <row r="289" spans="19:31" ht="15"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</row>
    <row r="290" spans="19:31" ht="15"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</row>
    <row r="291" spans="19:31" ht="15"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</row>
    <row r="292" spans="19:31" ht="15"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</row>
    <row r="293" spans="19:31" ht="15"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</row>
    <row r="294" spans="19:31" ht="15"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</row>
    <row r="295" spans="19:31" ht="15"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</row>
    <row r="296" spans="19:31" ht="15"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</row>
    <row r="297" spans="19:31" ht="15"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</row>
    <row r="298" spans="19:31" ht="15"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</row>
    <row r="299" spans="19:31" ht="15"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</row>
    <row r="300" spans="19:31" ht="15"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</row>
    <row r="301" spans="19:31" ht="15"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</row>
    <row r="302" spans="19:31" ht="15"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</row>
    <row r="303" spans="19:31" ht="15"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</row>
    <row r="304" spans="19:31" ht="15"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</row>
    <row r="305" spans="19:31" ht="15"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</row>
    <row r="306" spans="19:31" ht="15"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</row>
    <row r="307" spans="19:31" ht="15"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</row>
    <row r="308" spans="19:31" ht="15"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</row>
    <row r="309" spans="19:31" ht="15"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</row>
    <row r="310" spans="19:31" ht="15"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</row>
    <row r="311" spans="19:31" ht="15"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</row>
    <row r="312" spans="19:31" ht="15"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</row>
    <row r="313" spans="19:31" ht="15"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</row>
    <row r="314" spans="19:31" ht="15"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</row>
    <row r="315" spans="19:31" ht="15"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</row>
    <row r="316" spans="19:31" ht="15"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</row>
    <row r="317" spans="19:31" ht="15"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</row>
    <row r="318" spans="19:31" ht="15"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</row>
    <row r="319" spans="19:31" ht="15"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</row>
    <row r="320" spans="19:31" ht="15"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</row>
    <row r="321" spans="19:31" ht="15"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</row>
    <row r="322" spans="19:31" ht="15"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</row>
    <row r="323" spans="19:31" ht="15"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</row>
    <row r="324" spans="19:31" ht="15"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</row>
    <row r="325" spans="19:31" ht="15"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</row>
    <row r="326" spans="19:31" ht="15"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</row>
    <row r="327" spans="19:31" ht="15"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</row>
    <row r="328" spans="19:31" ht="15"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</row>
    <row r="329" spans="19:31" ht="15"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</row>
    <row r="330" spans="19:31" ht="15"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</row>
    <row r="331" spans="19:31" ht="15"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</row>
    <row r="332" spans="19:31" ht="15"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</row>
    <row r="333" spans="19:31" ht="15"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</row>
    <row r="334" spans="19:31" ht="15"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</row>
    <row r="335" spans="19:31" ht="15"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</row>
    <row r="336" spans="19:31" ht="15"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</row>
    <row r="337" spans="19:31" ht="15"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</row>
    <row r="338" spans="19:31" ht="15"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</row>
    <row r="339" spans="19:31" ht="15"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</row>
    <row r="340" spans="19:31" ht="15"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</row>
    <row r="341" spans="19:31" ht="15"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</row>
    <row r="342" spans="19:31" ht="15"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</row>
    <row r="343" spans="19:31" ht="15"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</row>
    <row r="344" spans="19:31" ht="15"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</row>
    <row r="345" spans="19:31" ht="15"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</row>
    <row r="346" spans="19:31" ht="15"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</row>
    <row r="347" spans="19:31" ht="15"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</row>
    <row r="348" spans="19:31" ht="15"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</row>
    <row r="349" spans="19:31" ht="15"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</row>
    <row r="350" spans="19:31" ht="15"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</row>
    <row r="351" spans="19:31" ht="15"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</row>
    <row r="352" spans="19:31" ht="15"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</row>
    <row r="353" spans="19:31" ht="15"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</row>
    <row r="354" spans="19:31" ht="15"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</row>
    <row r="355" spans="19:31" ht="15"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</row>
    <row r="356" spans="19:31" ht="15"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</row>
    <row r="357" spans="19:31" ht="15">
      <c r="S357" s="8"/>
      <c r="T357" s="8"/>
      <c r="U357" s="8"/>
      <c r="V357" s="49"/>
      <c r="W357" s="49"/>
      <c r="X357" s="49"/>
      <c r="Y357" s="8"/>
      <c r="Z357" s="8"/>
      <c r="AA357" s="8"/>
      <c r="AB357" s="8"/>
      <c r="AC357" s="8"/>
      <c r="AD357" s="8"/>
      <c r="AE357" s="8"/>
    </row>
    <row r="358" spans="19:31" ht="15">
      <c r="S358" s="8"/>
      <c r="T358" s="8"/>
      <c r="U358" s="8"/>
      <c r="V358" s="49"/>
      <c r="W358" s="49"/>
      <c r="X358" s="49"/>
      <c r="Y358" s="49"/>
      <c r="Z358" s="49"/>
      <c r="AA358" s="49"/>
      <c r="AB358" s="49"/>
      <c r="AC358" s="49"/>
      <c r="AD358" s="49"/>
      <c r="AE358" s="49"/>
    </row>
    <row r="359" spans="19:31" ht="15">
      <c r="S359" s="8"/>
      <c r="T359" s="8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</row>
    <row r="360" spans="19:31" ht="15">
      <c r="S360" s="8"/>
      <c r="T360" s="8"/>
      <c r="U360" s="49"/>
      <c r="V360" s="49"/>
      <c r="W360" s="49"/>
      <c r="X360" s="49"/>
      <c r="Y360" s="49"/>
      <c r="Z360" s="49"/>
      <c r="AA360" s="49"/>
      <c r="AB360" s="49"/>
      <c r="AC360" s="49"/>
      <c r="AD360" s="49"/>
      <c r="AE360" s="49"/>
    </row>
    <row r="361" spans="19:31" ht="15">
      <c r="S361" s="8"/>
      <c r="T361" s="8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</row>
    <row r="362" spans="19:31"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</row>
    <row r="363" spans="19:31"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</row>
    <row r="364" spans="19:31"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49"/>
      <c r="AE364" s="49"/>
    </row>
    <row r="365" spans="19:31"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</row>
    <row r="366" spans="19:31"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49"/>
      <c r="AE366" s="49"/>
    </row>
    <row r="367" spans="19:31"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</row>
    <row r="368" spans="19:31"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</row>
    <row r="369" spans="19:31">
      <c r="S369" s="49"/>
      <c r="T369" s="49"/>
      <c r="U369" s="49"/>
      <c r="Y369" s="49"/>
      <c r="Z369" s="49"/>
      <c r="AA369" s="49"/>
      <c r="AB369" s="49"/>
      <c r="AC369" s="49"/>
      <c r="AD369" s="49"/>
      <c r="AE369" s="49"/>
    </row>
    <row r="370" spans="19:31">
      <c r="S370" s="49"/>
      <c r="T370" s="49"/>
      <c r="U370" s="49"/>
    </row>
    <row r="371" spans="19:31">
      <c r="S371" s="49"/>
      <c r="T371" s="49"/>
    </row>
    <row r="372" spans="19:31">
      <c r="S372" s="49"/>
      <c r="T372" s="49"/>
    </row>
    <row r="373" spans="19:31">
      <c r="S373" s="49"/>
      <c r="T373" s="49"/>
    </row>
  </sheetData>
  <sheetProtection algorithmName="SHA-512" hashValue="tSFfFKseR5/pi8xlFEJ/P0iTPiNSDlZj1Lwscp8hZryQ5muL+DJwLQiQnK4OTZTceG62O3t00EDgxF0FMkisDA==" saltValue="nV6FX9IuVR3bwWo4+pFbxA==" spinCount="100000" sheet="1" objects="1" scenarios="1" formatCells="0" formatColumns="0" formatRows="0" insertHyperlinks="0" autoFilter="0" pivotTables="0"/>
  <autoFilter ref="B7:X140" xr:uid="{00000000-0001-0000-0400-000000000000}">
    <filterColumn colId="12">
      <customFilters>
        <customFilter operator="notEqual" val=" "/>
      </customFilters>
    </filterColumn>
  </autoFilter>
  <mergeCells count="22">
    <mergeCell ref="E179:J179"/>
    <mergeCell ref="O2:P2"/>
    <mergeCell ref="B3:C3"/>
    <mergeCell ref="K3:P3"/>
    <mergeCell ref="E185:J185"/>
    <mergeCell ref="E180:J180"/>
    <mergeCell ref="E181:J181"/>
    <mergeCell ref="E182:J182"/>
    <mergeCell ref="E183:J183"/>
    <mergeCell ref="E184:J184"/>
    <mergeCell ref="J4:J5"/>
    <mergeCell ref="D2:E2"/>
    <mergeCell ref="D3:E3"/>
    <mergeCell ref="B4:E4"/>
    <mergeCell ref="B5:E5"/>
    <mergeCell ref="B2:C2"/>
    <mergeCell ref="V6:X6"/>
    <mergeCell ref="E178:J178"/>
    <mergeCell ref="E177:J177"/>
    <mergeCell ref="E176:J176"/>
    <mergeCell ref="E175:J175"/>
    <mergeCell ref="K6:U6"/>
  </mergeCells>
  <phoneticPr fontId="23" type="noConversion"/>
  <conditionalFormatting sqref="K2:L4">
    <cfRule type="cellIs" dxfId="20" priority="47" operator="notEqual">
      <formula>""</formula>
    </cfRule>
  </conditionalFormatting>
  <conditionalFormatting sqref="Q173:T173">
    <cfRule type="expression" dxfId="19" priority="7">
      <formula>$S$173&gt;0</formula>
    </cfRule>
  </conditionalFormatting>
  <conditionalFormatting sqref="N165:O166 I143:S154 M155:S164 M165:M167 P165:P167 M168:P170 Q165:S173 I155:L172">
    <cfRule type="cellIs" dxfId="18" priority="9" operator="equal">
      <formula>0</formula>
    </cfRule>
  </conditionalFormatting>
  <conditionalFormatting sqref="Q171:T171">
    <cfRule type="expression" dxfId="17" priority="8">
      <formula>$S$171&gt;0</formula>
    </cfRule>
  </conditionalFormatting>
  <conditionalFormatting sqref="K8:M140">
    <cfRule type="expression" dxfId="16" priority="2198">
      <formula>$M8=$R$171</formula>
    </cfRule>
    <cfRule type="expression" dxfId="15" priority="2199">
      <formula>$M8=$R$173</formula>
    </cfRule>
  </conditionalFormatting>
  <conditionalFormatting sqref="N8:P140">
    <cfRule type="expression" dxfId="14" priority="2208">
      <formula>$P8=$R$171</formula>
    </cfRule>
    <cfRule type="expression" dxfId="13" priority="2209">
      <formula>$P8=$R$173</formula>
    </cfRule>
  </conditionalFormatting>
  <conditionalFormatting sqref="Q8:S140">
    <cfRule type="expression" dxfId="12" priority="2218">
      <formula>$S8=$R$171</formula>
    </cfRule>
    <cfRule type="expression" dxfId="11" priority="2219">
      <formula>$S8=$R$173</formula>
    </cfRule>
  </conditionalFormatting>
  <conditionalFormatting sqref="V153:V162">
    <cfRule type="cellIs" dxfId="10" priority="5" operator="equal">
      <formula>0</formula>
    </cfRule>
  </conditionalFormatting>
  <conditionalFormatting sqref="V163">
    <cfRule type="cellIs" dxfId="9" priority="4" operator="equal">
      <formula>0</formula>
    </cfRule>
  </conditionalFormatting>
  <conditionalFormatting sqref="V164">
    <cfRule type="cellIs" dxfId="8" priority="3" operator="equal">
      <formula>0</formula>
    </cfRule>
  </conditionalFormatting>
  <conditionalFormatting sqref="V143:V164">
    <cfRule type="expression" dxfId="7" priority="1">
      <formula>$W143&lt;$X143</formula>
    </cfRule>
    <cfRule type="expression" dxfId="6" priority="2">
      <formula>$W143&gt;$X143</formula>
    </cfRule>
  </conditionalFormatting>
  <dataValidations disablePrompts="1" count="1">
    <dataValidation allowBlank="1" showInputMessage="1" sqref="J1:J4 J186:J1048576 J6:J7 J141 K142 K173 J174" xr:uid="{00000000-0002-0000-0400-000000000000}"/>
  </dataValidations>
  <printOptions horizontalCentered="1"/>
  <pageMargins left="0.25" right="0.25" top="0.75" bottom="0.75" header="0.3" footer="0.3"/>
  <pageSetup paperSize="8" scale="41" fitToHeight="0" orientation="landscape" r:id="rId1"/>
  <rowBreaks count="2" manualBreakCount="2">
    <brk id="140" max="24" man="1"/>
    <brk id="173" max="24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 filterMode="1">
    <tabColor rgb="FF92D050"/>
    <pageSetUpPr fitToPage="1"/>
  </sheetPr>
  <dimension ref="B1:AA67"/>
  <sheetViews>
    <sheetView showGridLines="0" view="pageBreakPreview" topLeftCell="A7" zoomScale="85" zoomScaleNormal="85" zoomScaleSheetLayoutView="85" workbookViewId="0">
      <selection activeCell="D54" sqref="D54"/>
    </sheetView>
  </sheetViews>
  <sheetFormatPr baseColWidth="10" defaultColWidth="11.42578125" defaultRowHeight="15"/>
  <cols>
    <col min="1" max="1" width="3.5703125" style="59" customWidth="1"/>
    <col min="2" max="2" width="12.7109375" style="59" customWidth="1"/>
    <col min="3" max="4" width="14.28515625" style="59" customWidth="1"/>
    <col min="5" max="5" width="7.140625" style="59" customWidth="1"/>
    <col min="6" max="6" width="75.140625" style="59" customWidth="1"/>
    <col min="7" max="7" width="6.28515625" style="59" customWidth="1"/>
    <col min="8" max="8" width="15.28515625" style="59" customWidth="1"/>
    <col min="9" max="9" width="26" style="59" bestFit="1" customWidth="1"/>
    <col min="10" max="10" width="15" style="59" customWidth="1"/>
    <col min="11" max="11" width="14.28515625" style="59" customWidth="1"/>
    <col min="12" max="12" width="26" style="59" bestFit="1" customWidth="1"/>
    <col min="13" max="13" width="15.5703125" style="59" bestFit="1" customWidth="1"/>
    <col min="14" max="14" width="11" style="59" customWidth="1"/>
    <col min="15" max="15" width="19.28515625" style="59" bestFit="1" customWidth="1"/>
    <col min="16" max="16" width="3.5703125" style="59" customWidth="1"/>
    <col min="17" max="16384" width="11.42578125" style="59"/>
  </cols>
  <sheetData>
    <row r="1" spans="2:27" s="49" customFormat="1" ht="18.75" customHeight="1" thickBot="1">
      <c r="G1" s="51"/>
      <c r="H1" s="51"/>
      <c r="I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</row>
    <row r="2" spans="2:27" s="49" customFormat="1" ht="19.5" customHeight="1" thickBot="1">
      <c r="B2" s="696" t="s">
        <v>0</v>
      </c>
      <c r="C2" s="697"/>
      <c r="D2" s="696" t="s">
        <v>100</v>
      </c>
      <c r="E2" s="697"/>
      <c r="G2" s="51"/>
      <c r="H2" s="51"/>
      <c r="I2" s="813" t="s">
        <v>98</v>
      </c>
      <c r="J2" s="814"/>
      <c r="L2" s="51"/>
      <c r="M2" s="51"/>
      <c r="N2" s="711"/>
      <c r="O2" s="711"/>
      <c r="P2" s="711"/>
      <c r="Q2" s="711"/>
      <c r="R2" s="711"/>
      <c r="S2" s="711"/>
      <c r="T2" s="711"/>
      <c r="U2" s="711"/>
      <c r="V2" s="711"/>
      <c r="W2" s="711"/>
      <c r="X2" s="711"/>
      <c r="Y2" s="711"/>
      <c r="Z2" s="711"/>
      <c r="AA2" s="711"/>
    </row>
    <row r="3" spans="2:27" s="49" customFormat="1" ht="30" customHeight="1" thickBot="1">
      <c r="B3" s="766">
        <f>NOMENCLATURE_GEN!B3</f>
        <v>224102</v>
      </c>
      <c r="C3" s="767"/>
      <c r="D3" s="706" t="str">
        <f>LOOKUP(2,1/(C:C&lt;&gt;""),C:C)</f>
        <v>D</v>
      </c>
      <c r="E3" s="664"/>
      <c r="G3" s="51"/>
      <c r="H3" s="51"/>
      <c r="I3" s="815"/>
      <c r="J3" s="816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</row>
    <row r="4" spans="2:27" s="49" customFormat="1" ht="19.5" customHeight="1" thickBot="1">
      <c r="B4" s="696" t="s">
        <v>159</v>
      </c>
      <c r="C4" s="705"/>
      <c r="D4" s="768"/>
      <c r="E4" s="769"/>
      <c r="G4" s="51"/>
      <c r="H4" s="51"/>
      <c r="I4" s="817"/>
      <c r="J4" s="818"/>
    </row>
    <row r="5" spans="2:27" s="49" customFormat="1" ht="25.15" customHeight="1" thickBot="1">
      <c r="B5" s="706" t="str">
        <f>NOMENCLATURE_GEN!B5</f>
        <v>PAPREC - CHAGNY</v>
      </c>
      <c r="C5" s="663"/>
      <c r="D5" s="663"/>
      <c r="E5" s="664"/>
      <c r="G5" s="51"/>
      <c r="H5" s="51"/>
      <c r="I5" s="59"/>
      <c r="J5" s="60" t="s">
        <v>99</v>
      </c>
    </row>
    <row r="6" spans="2:27" ht="18.75">
      <c r="H6" s="423" t="s">
        <v>100</v>
      </c>
      <c r="I6" s="792" t="s">
        <v>101</v>
      </c>
      <c r="J6" s="819"/>
      <c r="K6" s="792" t="s">
        <v>102</v>
      </c>
      <c r="L6" s="793"/>
      <c r="M6" s="794"/>
      <c r="N6" s="808" t="s">
        <v>103</v>
      </c>
      <c r="O6" s="794"/>
    </row>
    <row r="7" spans="2:27" ht="19.5" thickBot="1">
      <c r="H7" s="61"/>
      <c r="I7" s="62" t="s">
        <v>104</v>
      </c>
      <c r="J7" s="63" t="s">
        <v>105</v>
      </c>
      <c r="K7" s="62" t="s">
        <v>105</v>
      </c>
      <c r="L7" s="179" t="s">
        <v>106</v>
      </c>
      <c r="M7" s="65" t="s">
        <v>160</v>
      </c>
      <c r="N7" s="64" t="s">
        <v>105</v>
      </c>
      <c r="O7" s="65" t="s">
        <v>106</v>
      </c>
    </row>
    <row r="8" spans="2:27" ht="15.75" hidden="1" thickBot="1">
      <c r="H8" s="78" t="s">
        <v>10</v>
      </c>
      <c r="I8" s="66" t="s">
        <v>30</v>
      </c>
      <c r="J8" s="77">
        <f>COUNTIFS(NOMENCLATURE_GEN!F8:F140,"TBM",NOMENCLATURE_GEN!B8:B140,"&lt;&gt;SUP")</f>
        <v>0</v>
      </c>
      <c r="K8" s="66">
        <f>4*J8</f>
        <v>0</v>
      </c>
      <c r="L8" s="470" t="s">
        <v>107</v>
      </c>
      <c r="M8" s="67" t="s">
        <v>161</v>
      </c>
      <c r="N8" s="772">
        <f>K8+K9</f>
        <v>0</v>
      </c>
      <c r="O8" s="776" t="s">
        <v>321</v>
      </c>
    </row>
    <row r="9" spans="2:27" ht="15.75" hidden="1" thickBot="1">
      <c r="H9" s="180" t="s">
        <v>10</v>
      </c>
      <c r="I9" s="181" t="s">
        <v>108</v>
      </c>
      <c r="J9" s="182"/>
      <c r="K9" s="181">
        <f>2*J9</f>
        <v>0</v>
      </c>
      <c r="L9" s="471" t="s">
        <v>109</v>
      </c>
      <c r="M9" s="183" t="s">
        <v>161</v>
      </c>
      <c r="N9" s="773"/>
      <c r="O9" s="777"/>
    </row>
    <row r="10" spans="2:27">
      <c r="H10" s="184" t="s">
        <v>10</v>
      </c>
      <c r="I10" s="185" t="s">
        <v>110</v>
      </c>
      <c r="J10" s="809">
        <f>COUNTIFS(NOMENCLATURE_GEN!F8:F140,"TBE",NOMENCLATURE_GEN!B8:B140,"&lt;&gt;SUP")</f>
        <v>26</v>
      </c>
      <c r="K10" s="185">
        <f>2*J10</f>
        <v>52</v>
      </c>
      <c r="L10" s="533" t="s">
        <v>109</v>
      </c>
      <c r="M10" s="339" t="s">
        <v>161</v>
      </c>
      <c r="N10" s="342" t="s">
        <v>26</v>
      </c>
      <c r="O10" s="343" t="s">
        <v>319</v>
      </c>
    </row>
    <row r="11" spans="2:27">
      <c r="H11" s="79" t="s">
        <v>10</v>
      </c>
      <c r="I11" s="68" t="s">
        <v>111</v>
      </c>
      <c r="J11" s="810"/>
      <c r="K11" s="68">
        <f>2*J10</f>
        <v>52</v>
      </c>
      <c r="L11" s="534" t="s">
        <v>107</v>
      </c>
      <c r="M11" s="340" t="s">
        <v>161</v>
      </c>
      <c r="N11" s="780">
        <f>K11+K12</f>
        <v>56</v>
      </c>
      <c r="O11" s="778" t="s">
        <v>321</v>
      </c>
    </row>
    <row r="12" spans="2:27" ht="15.75" thickBot="1">
      <c r="H12" s="186" t="s">
        <v>501</v>
      </c>
      <c r="I12" s="187" t="s">
        <v>112</v>
      </c>
      <c r="J12" s="188">
        <v>2</v>
      </c>
      <c r="K12" s="187">
        <f>2*J12</f>
        <v>4</v>
      </c>
      <c r="L12" s="536" t="s">
        <v>109</v>
      </c>
      <c r="M12" s="341" t="s">
        <v>161</v>
      </c>
      <c r="N12" s="781"/>
      <c r="O12" s="779"/>
    </row>
    <row r="13" spans="2:27" ht="15.75" thickBot="1">
      <c r="F13" s="38" t="s">
        <v>113</v>
      </c>
      <c r="G13" s="60" t="s">
        <v>114</v>
      </c>
      <c r="H13" s="344" t="s">
        <v>10</v>
      </c>
      <c r="I13" s="345" t="s">
        <v>96</v>
      </c>
      <c r="J13" s="346">
        <f>COUNTIFS(NOMENCLATURE_GEN!F8:F140,"NAV",NOMENCLATURE_GEN!B8:B140,"&lt;&gt;SUP")*2</f>
        <v>10</v>
      </c>
      <c r="K13" s="345">
        <f>2*J13</f>
        <v>20</v>
      </c>
      <c r="L13" s="532" t="s">
        <v>115</v>
      </c>
      <c r="M13" s="347" t="s">
        <v>162</v>
      </c>
      <c r="N13" s="348"/>
      <c r="O13" s="349"/>
    </row>
    <row r="14" spans="2:27" hidden="1">
      <c r="H14" s="189" t="s">
        <v>10</v>
      </c>
      <c r="I14" s="190" t="s">
        <v>116</v>
      </c>
      <c r="J14" s="811">
        <f>COUNTIFS(NOMENCLATURE_GEN!F8:F140,"TRI",NOMENCLATURE_GEN!B8:B140,"&lt;&gt;SUP")</f>
        <v>0</v>
      </c>
      <c r="K14" s="190">
        <f>2*J14</f>
        <v>0</v>
      </c>
      <c r="L14" s="472" t="s">
        <v>109</v>
      </c>
      <c r="M14" s="191" t="s">
        <v>161</v>
      </c>
      <c r="N14" s="360" t="s">
        <v>26</v>
      </c>
      <c r="O14" s="361" t="s">
        <v>319</v>
      </c>
    </row>
    <row r="15" spans="2:27" hidden="1">
      <c r="H15" s="356" t="s">
        <v>10</v>
      </c>
      <c r="I15" s="357" t="s">
        <v>117</v>
      </c>
      <c r="J15" s="812"/>
      <c r="K15" s="357">
        <f>2*J14</f>
        <v>0</v>
      </c>
      <c r="L15" s="473" t="s">
        <v>107</v>
      </c>
      <c r="M15" s="359" t="s">
        <v>161</v>
      </c>
      <c r="N15" s="782">
        <f>K15+K16</f>
        <v>0</v>
      </c>
      <c r="O15" s="784" t="s">
        <v>321</v>
      </c>
    </row>
    <row r="16" spans="2:27" ht="15.75" hidden="1" thickBot="1">
      <c r="H16" s="192" t="s">
        <v>10</v>
      </c>
      <c r="I16" s="193" t="s">
        <v>320</v>
      </c>
      <c r="J16" s="358"/>
      <c r="K16" s="193">
        <f>2*J16</f>
        <v>0</v>
      </c>
      <c r="L16" s="474" t="s">
        <v>109</v>
      </c>
      <c r="M16" s="194" t="s">
        <v>161</v>
      </c>
      <c r="N16" s="783"/>
      <c r="O16" s="785"/>
    </row>
    <row r="17" spans="6:15" ht="15.75" thickBot="1">
      <c r="H17" s="350" t="s">
        <v>10</v>
      </c>
      <c r="I17" s="351" t="s">
        <v>24</v>
      </c>
      <c r="J17" s="352">
        <f>COUNTIFS(NOMENCLATURE_GEN!F8:F140,"CBA",NOMENCLATURE_GEN!B8:B140,"&lt;&gt;SUP")</f>
        <v>23</v>
      </c>
      <c r="K17" s="351">
        <f>4*J17</f>
        <v>92</v>
      </c>
      <c r="L17" s="531" t="s">
        <v>118</v>
      </c>
      <c r="M17" s="353" t="s">
        <v>163</v>
      </c>
      <c r="N17" s="354"/>
      <c r="O17" s="355"/>
    </row>
    <row r="18" spans="6:15" ht="15.75" hidden="1" thickBot="1">
      <c r="H18" s="195" t="s">
        <v>10</v>
      </c>
      <c r="I18" s="800" t="s">
        <v>32</v>
      </c>
      <c r="J18" s="795">
        <f>COUNTIFS(NOMENCLATURE_GEN!F8:F140,"ACO",NOMENCLATURE_GEN!B8:B140,"&lt;&gt;SUP")</f>
        <v>0</v>
      </c>
      <c r="K18" s="196">
        <f>2*J18</f>
        <v>0</v>
      </c>
      <c r="L18" s="475" t="s">
        <v>119</v>
      </c>
      <c r="M18" s="197" t="s">
        <v>164</v>
      </c>
      <c r="N18" s="255" t="s">
        <v>26</v>
      </c>
      <c r="O18" s="198" t="s">
        <v>120</v>
      </c>
    </row>
    <row r="19" spans="6:15" ht="15.75" hidden="1" thickBot="1">
      <c r="H19" s="199" t="s">
        <v>10</v>
      </c>
      <c r="I19" s="801"/>
      <c r="J19" s="796"/>
      <c r="K19" s="200">
        <f>2*J18</f>
        <v>0</v>
      </c>
      <c r="L19" s="476" t="s">
        <v>121</v>
      </c>
      <c r="M19" s="201" t="s">
        <v>164</v>
      </c>
      <c r="N19" s="256" t="s">
        <v>26</v>
      </c>
      <c r="O19" s="202" t="s">
        <v>120</v>
      </c>
    </row>
    <row r="20" spans="6:15" ht="15.75" hidden="1" thickBot="1">
      <c r="H20" s="203" t="s">
        <v>10</v>
      </c>
      <c r="I20" s="204" t="s">
        <v>122</v>
      </c>
      <c r="J20" s="205"/>
      <c r="K20" s="204">
        <f>2*J20</f>
        <v>0</v>
      </c>
      <c r="L20" s="477" t="s">
        <v>123</v>
      </c>
      <c r="M20" s="206" t="s">
        <v>165</v>
      </c>
      <c r="N20" s="770">
        <f>K20+K21</f>
        <v>0</v>
      </c>
      <c r="O20" s="774" t="s">
        <v>322</v>
      </c>
    </row>
    <row r="21" spans="6:15" ht="15.75" hidden="1" thickBot="1">
      <c r="H21" s="207" t="s">
        <v>10</v>
      </c>
      <c r="I21" s="208" t="s">
        <v>124</v>
      </c>
      <c r="J21" s="209"/>
      <c r="K21" s="208">
        <f>4*J21</f>
        <v>0</v>
      </c>
      <c r="L21" s="478" t="s">
        <v>123</v>
      </c>
      <c r="M21" s="210" t="s">
        <v>165</v>
      </c>
      <c r="N21" s="771"/>
      <c r="O21" s="775"/>
    </row>
    <row r="22" spans="6:15">
      <c r="F22" s="786" t="s">
        <v>351</v>
      </c>
      <c r="G22" s="60" t="s">
        <v>114</v>
      </c>
      <c r="H22" s="211" t="s">
        <v>10</v>
      </c>
      <c r="I22" s="802" t="s">
        <v>166</v>
      </c>
      <c r="J22" s="803">
        <v>1</v>
      </c>
      <c r="K22" s="212">
        <f>J22</f>
        <v>1</v>
      </c>
      <c r="L22" s="527" t="s">
        <v>318</v>
      </c>
      <c r="M22" s="213" t="s">
        <v>163</v>
      </c>
      <c r="N22" s="257" t="s">
        <v>26</v>
      </c>
      <c r="O22" s="214" t="s">
        <v>120</v>
      </c>
    </row>
    <row r="23" spans="6:15">
      <c r="F23" s="787"/>
      <c r="G23" s="60" t="s">
        <v>114</v>
      </c>
      <c r="H23" s="331" t="s">
        <v>10</v>
      </c>
      <c r="I23" s="798"/>
      <c r="J23" s="804"/>
      <c r="K23" s="330">
        <f>J22</f>
        <v>1</v>
      </c>
      <c r="L23" s="528" t="s">
        <v>317</v>
      </c>
      <c r="M23" s="332" t="s">
        <v>163</v>
      </c>
      <c r="N23" s="333" t="s">
        <v>26</v>
      </c>
      <c r="O23" s="334" t="s">
        <v>120</v>
      </c>
    </row>
    <row r="24" spans="6:15">
      <c r="F24" s="787"/>
      <c r="G24" s="60" t="s">
        <v>114</v>
      </c>
      <c r="H24" s="80" t="s">
        <v>10</v>
      </c>
      <c r="I24" s="797" t="s">
        <v>167</v>
      </c>
      <c r="J24" s="799">
        <v>2</v>
      </c>
      <c r="K24" s="69">
        <f>J24</f>
        <v>2</v>
      </c>
      <c r="L24" s="529" t="s">
        <v>125</v>
      </c>
      <c r="M24" s="70" t="s">
        <v>168</v>
      </c>
      <c r="N24" s="258" t="s">
        <v>26</v>
      </c>
      <c r="O24" s="71" t="s">
        <v>120</v>
      </c>
    </row>
    <row r="25" spans="6:15" ht="15.75" thickBot="1">
      <c r="F25" s="788"/>
      <c r="G25" s="60" t="s">
        <v>114</v>
      </c>
      <c r="H25" s="80" t="s">
        <v>10</v>
      </c>
      <c r="I25" s="798"/>
      <c r="J25" s="799"/>
      <c r="K25" s="69">
        <f>J24</f>
        <v>2</v>
      </c>
      <c r="L25" s="529" t="s">
        <v>126</v>
      </c>
      <c r="M25" s="70" t="s">
        <v>168</v>
      </c>
      <c r="N25" s="258" t="s">
        <v>26</v>
      </c>
      <c r="O25" s="71" t="s">
        <v>120</v>
      </c>
    </row>
    <row r="26" spans="6:15" ht="15.75" thickBot="1">
      <c r="H26" s="215" t="s">
        <v>10</v>
      </c>
      <c r="I26" s="216" t="s">
        <v>127</v>
      </c>
      <c r="J26" s="217">
        <f>COUNTIFS(NOMENCLATURE_GEN!F8:F140,"EAB",NOMENCLATURE_GEN!B8:B140,"&lt;&gt;SUP")</f>
        <v>3</v>
      </c>
      <c r="K26" s="216">
        <f>2*J26</f>
        <v>6</v>
      </c>
      <c r="L26" s="530" t="s">
        <v>128</v>
      </c>
      <c r="M26" s="218" t="s">
        <v>163</v>
      </c>
      <c r="N26" s="259"/>
      <c r="O26" s="219"/>
    </row>
    <row r="27" spans="6:15" ht="15" hidden="1" customHeight="1">
      <c r="F27" s="786" t="s">
        <v>351</v>
      </c>
      <c r="G27" s="60" t="s">
        <v>114</v>
      </c>
      <c r="H27" s="220" t="s">
        <v>10</v>
      </c>
      <c r="I27" s="807" t="s">
        <v>169</v>
      </c>
      <c r="J27" s="805"/>
      <c r="K27" s="221">
        <f>J27</f>
        <v>0</v>
      </c>
      <c r="L27" s="479" t="s">
        <v>318</v>
      </c>
      <c r="M27" s="222" t="s">
        <v>163</v>
      </c>
      <c r="N27" s="260" t="s">
        <v>26</v>
      </c>
      <c r="O27" s="223" t="s">
        <v>120</v>
      </c>
    </row>
    <row r="28" spans="6:15" ht="15.75" hidden="1" thickBot="1">
      <c r="F28" s="787"/>
      <c r="G28" s="60" t="s">
        <v>114</v>
      </c>
      <c r="H28" s="335" t="s">
        <v>10</v>
      </c>
      <c r="I28" s="790"/>
      <c r="J28" s="806"/>
      <c r="K28" s="329">
        <f>J27</f>
        <v>0</v>
      </c>
      <c r="L28" s="480" t="s">
        <v>317</v>
      </c>
      <c r="M28" s="336" t="s">
        <v>163</v>
      </c>
      <c r="N28" s="337" t="s">
        <v>26</v>
      </c>
      <c r="O28" s="338" t="s">
        <v>120</v>
      </c>
    </row>
    <row r="29" spans="6:15" ht="15.75" hidden="1" thickBot="1">
      <c r="F29" s="787"/>
      <c r="G29" s="60" t="s">
        <v>114</v>
      </c>
      <c r="H29" s="81" t="s">
        <v>10</v>
      </c>
      <c r="I29" s="789" t="s">
        <v>170</v>
      </c>
      <c r="J29" s="791"/>
      <c r="K29" s="72">
        <f>J29</f>
        <v>0</v>
      </c>
      <c r="L29" s="481" t="s">
        <v>125</v>
      </c>
      <c r="M29" s="73" t="s">
        <v>168</v>
      </c>
      <c r="N29" s="261" t="s">
        <v>26</v>
      </c>
      <c r="O29" s="74" t="s">
        <v>120</v>
      </c>
    </row>
    <row r="30" spans="6:15" ht="15" hidden="1" customHeight="1" thickBot="1">
      <c r="F30" s="788"/>
      <c r="G30" s="60" t="s">
        <v>114</v>
      </c>
      <c r="H30" s="81" t="s">
        <v>10</v>
      </c>
      <c r="I30" s="790"/>
      <c r="J30" s="791"/>
      <c r="K30" s="72">
        <f>J29</f>
        <v>0</v>
      </c>
      <c r="L30" s="481" t="s">
        <v>126</v>
      </c>
      <c r="M30" s="73" t="s">
        <v>168</v>
      </c>
      <c r="N30" s="261" t="s">
        <v>26</v>
      </c>
      <c r="O30" s="74" t="s">
        <v>120</v>
      </c>
    </row>
    <row r="31" spans="6:15" ht="15" hidden="1" customHeight="1" thickBot="1">
      <c r="H31" s="224" t="s">
        <v>10</v>
      </c>
      <c r="I31" s="225" t="s">
        <v>129</v>
      </c>
      <c r="J31" s="226">
        <f>COUNTIFS(NOMENCLATURE_GEN!F8:F140,"SILO EAB",NOMENCLATURE_GEN!B8:B140,"&lt;&gt;SUP")</f>
        <v>0</v>
      </c>
      <c r="K31" s="225">
        <f>J31*2</f>
        <v>0</v>
      </c>
      <c r="L31" s="482" t="s">
        <v>128</v>
      </c>
      <c r="M31" s="227" t="s">
        <v>163</v>
      </c>
      <c r="N31" s="262"/>
      <c r="O31" s="228"/>
    </row>
    <row r="32" spans="6:15" ht="15" hidden="1" customHeight="1" thickBot="1">
      <c r="H32" s="362" t="s">
        <v>10</v>
      </c>
      <c r="I32" s="363" t="s">
        <v>130</v>
      </c>
      <c r="J32" s="364"/>
      <c r="K32" s="363">
        <f>J32*2</f>
        <v>0</v>
      </c>
      <c r="L32" s="526" t="s">
        <v>131</v>
      </c>
      <c r="M32" s="365" t="s">
        <v>162</v>
      </c>
      <c r="N32" s="366"/>
      <c r="O32" s="367"/>
    </row>
    <row r="33" spans="8:15" ht="15.75" hidden="1" thickBot="1">
      <c r="H33" s="368" t="s">
        <v>10</v>
      </c>
      <c r="I33" s="369" t="s">
        <v>68</v>
      </c>
      <c r="J33" s="370">
        <f>COUNTIFS(NOMENCLATURE_GEN!F8:F140,"SILO TBU",NOMENCLATURE_GEN!B8:B140,"&lt;&gt;SUP")</f>
        <v>0</v>
      </c>
      <c r="K33" s="369">
        <f>4*J33</f>
        <v>0</v>
      </c>
      <c r="L33" s="483" t="s">
        <v>118</v>
      </c>
      <c r="M33" s="371" t="s">
        <v>163</v>
      </c>
      <c r="N33" s="372"/>
      <c r="O33" s="373"/>
    </row>
    <row r="34" spans="8:15" ht="15.75" hidden="1" thickBot="1">
      <c r="H34" s="385" t="s">
        <v>10</v>
      </c>
      <c r="I34" s="754" t="s">
        <v>324</v>
      </c>
      <c r="J34" s="752">
        <f>COUNTIFS(NOMENCLATURE_GEN!F8:F140,"SILO TBU",NOMENCLATURE_GEN!B8:B140,"&lt;&gt;SUP",NOMENCLATURE_GEN!V8:V140,"1")</f>
        <v>0</v>
      </c>
      <c r="K34" s="386">
        <f>2*J34</f>
        <v>0</v>
      </c>
      <c r="L34" s="484" t="s">
        <v>528</v>
      </c>
      <c r="M34" s="389" t="s">
        <v>161</v>
      </c>
      <c r="N34" s="391"/>
      <c r="O34" s="392"/>
    </row>
    <row r="35" spans="8:15" ht="15.75" hidden="1" thickBot="1">
      <c r="H35" s="398" t="s">
        <v>10</v>
      </c>
      <c r="I35" s="755"/>
      <c r="J35" s="753"/>
      <c r="K35" s="395">
        <f>2*J34</f>
        <v>0</v>
      </c>
      <c r="L35" s="485" t="s">
        <v>327</v>
      </c>
      <c r="M35" s="399" t="s">
        <v>161</v>
      </c>
      <c r="N35" s="400"/>
      <c r="O35" s="401"/>
    </row>
    <row r="36" spans="8:15" ht="15.75" hidden="1" thickBot="1">
      <c r="H36" s="374" t="s">
        <v>10</v>
      </c>
      <c r="I36" s="376" t="s">
        <v>78</v>
      </c>
      <c r="J36" s="377">
        <f>COUNTIFS(NOMENCLATURE_GEN!F8:F140,"TBU",NOMENCLATURE_GEN!B8:B140,"&lt;&gt;SUP")</f>
        <v>0</v>
      </c>
      <c r="K36" s="376">
        <f>4*J36</f>
        <v>0</v>
      </c>
      <c r="L36" s="486" t="s">
        <v>118</v>
      </c>
      <c r="M36" s="379" t="s">
        <v>163</v>
      </c>
      <c r="N36" s="381"/>
      <c r="O36" s="382"/>
    </row>
    <row r="37" spans="8:15" ht="15.75" hidden="1" thickBot="1">
      <c r="H37" s="387" t="s">
        <v>10</v>
      </c>
      <c r="I37" s="751" t="s">
        <v>325</v>
      </c>
      <c r="J37" s="750">
        <f>COUNTIFS(NOMENCLATURE_GEN!F8:F140,"TBU",NOMENCLATURE_GEN!B8:B140,"&lt;&gt;SUP",NOMENCLATURE_GEN!V8:V140,"1")</f>
        <v>0</v>
      </c>
      <c r="K37" s="388">
        <f>2*J37</f>
        <v>0</v>
      </c>
      <c r="L37" s="487" t="s">
        <v>326</v>
      </c>
      <c r="M37" s="390" t="s">
        <v>161</v>
      </c>
      <c r="N37" s="393"/>
      <c r="O37" s="394"/>
    </row>
    <row r="38" spans="8:15" ht="15.75" hidden="1" thickBot="1">
      <c r="H38" s="387" t="s">
        <v>10</v>
      </c>
      <c r="I38" s="751"/>
      <c r="J38" s="750"/>
      <c r="K38" s="388">
        <f>2*J37</f>
        <v>0</v>
      </c>
      <c r="L38" s="487" t="s">
        <v>327</v>
      </c>
      <c r="M38" s="390" t="s">
        <v>161</v>
      </c>
      <c r="N38" s="393"/>
      <c r="O38" s="394"/>
    </row>
    <row r="39" spans="8:15" ht="15.75" hidden="1" thickBot="1">
      <c r="H39" s="375" t="s">
        <v>10</v>
      </c>
      <c r="I39" s="378" t="s">
        <v>338</v>
      </c>
      <c r="J39" s="402"/>
      <c r="K39" s="378">
        <f>2*J39</f>
        <v>0</v>
      </c>
      <c r="L39" s="488" t="s">
        <v>109</v>
      </c>
      <c r="M39" s="380" t="s">
        <v>161</v>
      </c>
      <c r="N39" s="383">
        <f>K39</f>
        <v>0</v>
      </c>
      <c r="O39" s="384" t="s">
        <v>321</v>
      </c>
    </row>
    <row r="40" spans="8:15" ht="15.75" hidden="1" thickBot="1">
      <c r="H40" s="444" t="s">
        <v>10</v>
      </c>
      <c r="I40" s="445" t="s">
        <v>339</v>
      </c>
      <c r="J40" s="446">
        <f>COUNTIFS(NOMENCLATURE_GEN!F8:F140,"TBC",NOMENCLATURE_GEN!B8:B140,"&lt;&gt;SUP",NOMENCLATURE_GEN!V8:V140,"1")</f>
        <v>0</v>
      </c>
      <c r="K40" s="445">
        <f>2*J40</f>
        <v>0</v>
      </c>
      <c r="L40" s="489" t="s">
        <v>107</v>
      </c>
      <c r="M40" s="447" t="s">
        <v>161</v>
      </c>
      <c r="N40" s="448"/>
      <c r="O40" s="449"/>
    </row>
    <row r="41" spans="8:15">
      <c r="H41" s="450" t="s">
        <v>684</v>
      </c>
      <c r="I41" s="756" t="s">
        <v>54</v>
      </c>
      <c r="J41" s="759">
        <v>3</v>
      </c>
      <c r="K41" s="451">
        <f>2*J41</f>
        <v>6</v>
      </c>
      <c r="L41" s="519" t="s">
        <v>752</v>
      </c>
      <c r="M41" s="452" t="s">
        <v>161</v>
      </c>
      <c r="N41" s="453"/>
      <c r="O41" s="454"/>
    </row>
    <row r="42" spans="8:15">
      <c r="H42" s="455" t="s">
        <v>684</v>
      </c>
      <c r="I42" s="757"/>
      <c r="J42" s="760"/>
      <c r="K42" s="456">
        <f>J41*6</f>
        <v>18</v>
      </c>
      <c r="L42" s="520" t="s">
        <v>115</v>
      </c>
      <c r="M42" s="457" t="s">
        <v>162</v>
      </c>
      <c r="N42" s="458"/>
      <c r="O42" s="459"/>
    </row>
    <row r="43" spans="8:15">
      <c r="H43" s="465" t="s">
        <v>684</v>
      </c>
      <c r="I43" s="757"/>
      <c r="J43" s="760"/>
      <c r="K43" s="466">
        <f>6*J41</f>
        <v>18</v>
      </c>
      <c r="L43" s="521" t="s">
        <v>529</v>
      </c>
      <c r="M43" s="467" t="s">
        <v>530</v>
      </c>
      <c r="N43" s="468"/>
      <c r="O43" s="469"/>
    </row>
    <row r="44" spans="8:15" ht="15.75" thickBot="1">
      <c r="H44" s="460" t="s">
        <v>10</v>
      </c>
      <c r="I44" s="758"/>
      <c r="J44" s="761"/>
      <c r="K44" s="461">
        <f>J41*2</f>
        <v>6</v>
      </c>
      <c r="L44" s="522" t="s">
        <v>538</v>
      </c>
      <c r="M44" s="462" t="s">
        <v>161</v>
      </c>
      <c r="N44" s="463"/>
      <c r="O44" s="464"/>
    </row>
    <row r="45" spans="8:15" ht="15" customHeight="1" thickBot="1">
      <c r="H45" s="490" t="s">
        <v>10</v>
      </c>
      <c r="I45" s="491" t="s">
        <v>132</v>
      </c>
      <c r="J45" s="492">
        <f>COUNTIFS(NOMENCLATURE_GEN!F8:F140,"TRO",NOMENCLATURE_GEN!B8:B140,"&lt;&gt;SUP")</f>
        <v>2</v>
      </c>
      <c r="K45" s="491">
        <f>8*J45</f>
        <v>16</v>
      </c>
      <c r="L45" s="523" t="s">
        <v>539</v>
      </c>
      <c r="M45" s="493" t="s">
        <v>171</v>
      </c>
      <c r="N45" s="494" t="s">
        <v>26</v>
      </c>
      <c r="O45" s="495" t="s">
        <v>26</v>
      </c>
    </row>
    <row r="46" spans="8:15" ht="15" customHeight="1">
      <c r="H46" s="503" t="s">
        <v>10</v>
      </c>
      <c r="I46" s="762" t="s">
        <v>422</v>
      </c>
      <c r="J46" s="764">
        <v>1</v>
      </c>
      <c r="K46" s="504">
        <f>2*J46</f>
        <v>2</v>
      </c>
      <c r="L46" s="524" t="s">
        <v>540</v>
      </c>
      <c r="M46" s="505" t="s">
        <v>165</v>
      </c>
      <c r="N46" s="506"/>
      <c r="O46" s="507"/>
    </row>
    <row r="47" spans="8:15" ht="15" customHeight="1" thickBot="1">
      <c r="H47" s="508" t="s">
        <v>10</v>
      </c>
      <c r="I47" s="763"/>
      <c r="J47" s="765"/>
      <c r="K47" s="509">
        <f>2*J46</f>
        <v>2</v>
      </c>
      <c r="L47" s="525" t="s">
        <v>531</v>
      </c>
      <c r="M47" s="510" t="s">
        <v>161</v>
      </c>
      <c r="N47" s="511"/>
      <c r="O47" s="512"/>
    </row>
    <row r="48" spans="8:15" ht="15.75" thickBot="1">
      <c r="H48" s="496" t="s">
        <v>10</v>
      </c>
      <c r="I48" s="497" t="s">
        <v>39</v>
      </c>
      <c r="J48" s="498">
        <v>4</v>
      </c>
      <c r="K48" s="497">
        <f>2*J48</f>
        <v>8</v>
      </c>
      <c r="L48" s="499" t="s">
        <v>123</v>
      </c>
      <c r="M48" s="500" t="s">
        <v>165</v>
      </c>
      <c r="N48" s="501">
        <f>K48</f>
        <v>8</v>
      </c>
      <c r="O48" s="502" t="s">
        <v>322</v>
      </c>
    </row>
    <row r="49" spans="2:21" ht="15.75" thickBot="1">
      <c r="H49" s="229" t="s">
        <v>10</v>
      </c>
      <c r="I49" s="230" t="s">
        <v>133</v>
      </c>
      <c r="J49" s="231">
        <f>COUNTIFS(NOMENCLATURE_GEN!F8:F140,"REG",NOMENCLATURE_GEN!B8:B140,"&lt;&gt;SUP")</f>
        <v>2</v>
      </c>
      <c r="K49" s="230">
        <f>2*J49</f>
        <v>4</v>
      </c>
      <c r="L49" s="535" t="s">
        <v>131</v>
      </c>
      <c r="M49" s="232" t="s">
        <v>162</v>
      </c>
      <c r="N49" s="263" t="s">
        <v>26</v>
      </c>
      <c r="O49" s="232" t="s">
        <v>26</v>
      </c>
    </row>
    <row r="50" spans="2:21" ht="15.75" thickBot="1">
      <c r="H50" s="572" t="s">
        <v>556</v>
      </c>
      <c r="I50" s="573" t="s">
        <v>476</v>
      </c>
      <c r="J50" s="574">
        <f>COUNTIFS(NOMENCLATURE_GEN!F9:F141,"SOL",NOMENCLATURE_GEN!B9:B141,"&lt;&gt;SUP")</f>
        <v>1</v>
      </c>
      <c r="K50" s="573">
        <f>J50*2</f>
        <v>2</v>
      </c>
      <c r="L50" s="575" t="s">
        <v>538</v>
      </c>
      <c r="M50" s="576" t="s">
        <v>161</v>
      </c>
      <c r="N50" s="577"/>
      <c r="O50" s="576"/>
    </row>
    <row r="51" spans="2:21" ht="15.75" hidden="1" thickBot="1">
      <c r="H51" s="233" t="s">
        <v>10</v>
      </c>
      <c r="I51" s="234" t="s">
        <v>134</v>
      </c>
      <c r="J51" s="235">
        <f>COUNTIFS(NOMENCLATURE_GEN!F8:F140,"RAM ETQ",NOMENCLATURE_GEN!B8:B140,"&lt;&gt;SUP")</f>
        <v>0</v>
      </c>
      <c r="K51" s="234">
        <f>4*J51</f>
        <v>0</v>
      </c>
      <c r="L51" s="517" t="s">
        <v>135</v>
      </c>
      <c r="M51" s="236" t="s">
        <v>172</v>
      </c>
      <c r="N51" s="264">
        <f>K51</f>
        <v>0</v>
      </c>
      <c r="O51" s="237" t="s">
        <v>323</v>
      </c>
    </row>
    <row r="52" spans="2:21" ht="15.75" hidden="1" thickBot="1">
      <c r="H52" s="238" t="s">
        <v>10</v>
      </c>
      <c r="I52" s="239" t="s">
        <v>136</v>
      </c>
      <c r="J52" s="240">
        <f>COUNTIFS(NOMENCLATURE_GEN!F8:F140,"RED",NOMENCLATURE_GEN!B8:B140,"&lt;&gt;SUP")</f>
        <v>0</v>
      </c>
      <c r="K52" s="239">
        <f>4*J52</f>
        <v>0</v>
      </c>
      <c r="L52" s="518" t="s">
        <v>107</v>
      </c>
      <c r="M52" s="241" t="s">
        <v>161</v>
      </c>
      <c r="N52" s="265">
        <f>K52</f>
        <v>0</v>
      </c>
      <c r="O52" s="241" t="s">
        <v>321</v>
      </c>
    </row>
    <row r="56" spans="2:21" s="49" customFormat="1" ht="15" customHeight="1" thickBot="1">
      <c r="B56" s="8"/>
      <c r="C56" s="8"/>
      <c r="D56" s="8"/>
      <c r="E56" s="8"/>
      <c r="F56" s="8"/>
      <c r="G56" s="152"/>
      <c r="H56" s="152"/>
      <c r="I56" s="152"/>
      <c r="M56" s="51"/>
      <c r="N56" s="51"/>
      <c r="O56" s="51"/>
      <c r="P56" s="51"/>
      <c r="Q56" s="51"/>
      <c r="R56" s="51"/>
      <c r="S56" s="51"/>
      <c r="T56" s="51"/>
      <c r="U56" s="51"/>
    </row>
    <row r="57" spans="2:21" s="49" customFormat="1" ht="30" customHeight="1" thickBot="1">
      <c r="B57" s="266" t="s">
        <v>311</v>
      </c>
      <c r="C57" s="267" t="s">
        <v>100</v>
      </c>
      <c r="D57" s="267" t="s">
        <v>312</v>
      </c>
      <c r="E57" s="695" t="s">
        <v>313</v>
      </c>
      <c r="F57" s="695"/>
      <c r="G57" s="695"/>
      <c r="H57" s="695"/>
      <c r="I57" s="695"/>
      <c r="J57" s="695"/>
      <c r="K57" s="430" t="s">
        <v>365</v>
      </c>
      <c r="M57" s="51"/>
      <c r="P57" s="51"/>
      <c r="Q57" s="51"/>
      <c r="R57" s="51"/>
      <c r="S57" s="51"/>
      <c r="T57" s="51"/>
      <c r="U57" s="51"/>
    </row>
    <row r="58" spans="2:21" s="49" customFormat="1" ht="30" customHeight="1">
      <c r="B58" s="268" t="s">
        <v>537</v>
      </c>
      <c r="C58" s="269" t="s">
        <v>10</v>
      </c>
      <c r="D58" s="433">
        <v>45392</v>
      </c>
      <c r="E58" s="694" t="s">
        <v>314</v>
      </c>
      <c r="F58" s="694"/>
      <c r="G58" s="694"/>
      <c r="H58" s="694"/>
      <c r="I58" s="694"/>
      <c r="J58" s="694"/>
      <c r="K58" s="434">
        <v>45392</v>
      </c>
      <c r="M58" s="51"/>
      <c r="P58" s="51"/>
      <c r="Q58" s="51"/>
      <c r="R58" s="51"/>
      <c r="S58" s="51"/>
      <c r="T58" s="51"/>
      <c r="U58" s="51"/>
    </row>
    <row r="59" spans="2:21" s="49" customFormat="1" ht="30" customHeight="1">
      <c r="B59" s="9" t="s">
        <v>537</v>
      </c>
      <c r="C59" s="10" t="s">
        <v>501</v>
      </c>
      <c r="D59" s="422">
        <v>45399</v>
      </c>
      <c r="E59" s="692" t="s">
        <v>557</v>
      </c>
      <c r="F59" s="692"/>
      <c r="G59" s="692"/>
      <c r="H59" s="692"/>
      <c r="I59" s="692"/>
      <c r="J59" s="692"/>
      <c r="K59" s="439">
        <v>45405</v>
      </c>
      <c r="M59" s="51"/>
      <c r="P59" s="51"/>
      <c r="Q59" s="51"/>
      <c r="R59" s="51"/>
      <c r="S59" s="51"/>
      <c r="T59" s="51"/>
      <c r="U59" s="51"/>
    </row>
    <row r="60" spans="2:21" s="49" customFormat="1" ht="30" customHeight="1">
      <c r="B60" s="9" t="s">
        <v>537</v>
      </c>
      <c r="C60" s="10" t="s">
        <v>556</v>
      </c>
      <c r="D60" s="422">
        <v>45426</v>
      </c>
      <c r="E60" s="692" t="s">
        <v>584</v>
      </c>
      <c r="F60" s="692"/>
      <c r="G60" s="692"/>
      <c r="H60" s="692"/>
      <c r="I60" s="692"/>
      <c r="J60" s="692"/>
      <c r="K60" s="439">
        <v>45426</v>
      </c>
      <c r="M60" s="51"/>
      <c r="P60" s="51"/>
      <c r="Q60" s="51"/>
      <c r="R60" s="51"/>
      <c r="S60" s="51"/>
      <c r="T60" s="51"/>
      <c r="U60" s="51"/>
    </row>
    <row r="61" spans="2:21" s="49" customFormat="1" ht="30" customHeight="1">
      <c r="B61" s="9" t="s">
        <v>537</v>
      </c>
      <c r="C61" s="10" t="s">
        <v>684</v>
      </c>
      <c r="D61" s="422">
        <v>45453</v>
      </c>
      <c r="E61" s="692" t="s">
        <v>751</v>
      </c>
      <c r="F61" s="692"/>
      <c r="G61" s="692"/>
      <c r="H61" s="692"/>
      <c r="I61" s="692"/>
      <c r="J61" s="692"/>
      <c r="K61" s="439">
        <v>45453</v>
      </c>
      <c r="M61" s="51"/>
      <c r="N61" s="51"/>
      <c r="O61" s="51"/>
      <c r="P61" s="51"/>
      <c r="Q61" s="51"/>
      <c r="R61" s="51"/>
      <c r="S61" s="51"/>
      <c r="T61" s="51"/>
      <c r="U61" s="51"/>
    </row>
    <row r="62" spans="2:21" s="49" customFormat="1" ht="30" customHeight="1">
      <c r="B62" s="9"/>
      <c r="C62" s="10"/>
      <c r="D62" s="10"/>
      <c r="E62" s="692"/>
      <c r="F62" s="692"/>
      <c r="G62" s="692"/>
      <c r="H62" s="692"/>
      <c r="I62" s="692"/>
      <c r="J62" s="692"/>
      <c r="K62" s="11"/>
      <c r="M62" s="51"/>
      <c r="N62" s="51"/>
      <c r="O62" s="51"/>
      <c r="P62" s="51"/>
      <c r="Q62" s="51"/>
      <c r="R62" s="51"/>
      <c r="S62" s="51"/>
      <c r="T62" s="51"/>
      <c r="U62" s="51"/>
    </row>
    <row r="63" spans="2:21" s="49" customFormat="1" ht="30" customHeight="1">
      <c r="B63" s="9"/>
      <c r="C63" s="10"/>
      <c r="D63" s="10"/>
      <c r="E63" s="692"/>
      <c r="F63" s="692"/>
      <c r="G63" s="692"/>
      <c r="H63" s="692"/>
      <c r="I63" s="692"/>
      <c r="J63" s="692"/>
      <c r="K63" s="11"/>
      <c r="M63" s="51"/>
      <c r="N63" s="51"/>
      <c r="O63" s="51"/>
      <c r="P63" s="51"/>
      <c r="Q63" s="51"/>
      <c r="R63" s="51"/>
      <c r="S63" s="51"/>
      <c r="T63" s="51"/>
      <c r="U63" s="51"/>
    </row>
    <row r="64" spans="2:21" s="49" customFormat="1" ht="30" customHeight="1">
      <c r="B64" s="9"/>
      <c r="C64" s="10"/>
      <c r="D64" s="10"/>
      <c r="E64" s="692"/>
      <c r="F64" s="692"/>
      <c r="G64" s="692"/>
      <c r="H64" s="692"/>
      <c r="I64" s="692"/>
      <c r="J64" s="692"/>
      <c r="K64" s="11"/>
      <c r="M64" s="51"/>
      <c r="N64" s="51"/>
      <c r="O64" s="51"/>
      <c r="P64" s="51"/>
      <c r="Q64" s="51"/>
      <c r="R64" s="51"/>
      <c r="S64" s="51"/>
      <c r="T64" s="51"/>
      <c r="U64" s="51"/>
    </row>
    <row r="65" spans="2:21" s="49" customFormat="1" ht="30" customHeight="1">
      <c r="B65" s="9"/>
      <c r="C65" s="10"/>
      <c r="D65" s="10"/>
      <c r="E65" s="692"/>
      <c r="F65" s="692"/>
      <c r="G65" s="692"/>
      <c r="H65" s="692"/>
      <c r="I65" s="692"/>
      <c r="J65" s="692"/>
      <c r="K65" s="11"/>
      <c r="M65" s="51"/>
      <c r="N65" s="51"/>
      <c r="O65" s="51"/>
      <c r="P65" s="51"/>
      <c r="Q65" s="51"/>
      <c r="R65" s="51"/>
      <c r="S65" s="51"/>
      <c r="T65" s="51"/>
      <c r="U65" s="51"/>
    </row>
    <row r="66" spans="2:21" s="49" customFormat="1" ht="30" customHeight="1">
      <c r="B66" s="9"/>
      <c r="C66" s="10"/>
      <c r="D66" s="10"/>
      <c r="E66" s="692"/>
      <c r="F66" s="692"/>
      <c r="G66" s="692"/>
      <c r="H66" s="692"/>
      <c r="I66" s="692"/>
      <c r="J66" s="692"/>
      <c r="K66" s="11"/>
      <c r="M66" s="51"/>
      <c r="N66" s="51"/>
      <c r="O66" s="51"/>
      <c r="P66" s="51"/>
      <c r="Q66" s="51"/>
      <c r="R66" s="51"/>
      <c r="S66" s="51"/>
      <c r="T66" s="51"/>
      <c r="U66" s="51"/>
    </row>
    <row r="67" spans="2:21" s="49" customFormat="1" ht="30" customHeight="1" thickBot="1">
      <c r="B67" s="270"/>
      <c r="C67" s="271"/>
      <c r="D67" s="271"/>
      <c r="E67" s="693"/>
      <c r="F67" s="693"/>
      <c r="G67" s="693"/>
      <c r="H67" s="693"/>
      <c r="I67" s="693"/>
      <c r="J67" s="693"/>
      <c r="K67" s="431"/>
      <c r="M67" s="51"/>
      <c r="N67" s="51"/>
      <c r="O67" s="51"/>
      <c r="P67" s="51"/>
      <c r="Q67" s="51"/>
      <c r="R67" s="51"/>
      <c r="S67" s="51"/>
      <c r="T67" s="51"/>
      <c r="U67" s="51"/>
    </row>
  </sheetData>
  <sheetProtection algorithmName="SHA-512" hashValue="OkSty7sDvUKtcBp4loMIFY7reGnc0/hFgW2bGUciFHdkAYDHLaZpUw8AZeaitkUVXumZ7YvrVAvKkqj2wGjEJQ==" saltValue="LEfcNAbfA+pe0MMRZQn1mw==" spinCount="100000" sheet="1" objects="1" scenarios="1" formatCells="0" formatColumns="0" formatRows="0" insertHyperlinks="0" autoFilter="0" pivotTables="0"/>
  <autoFilter ref="I7:O52" xr:uid="{00000000-0009-0000-0000-000006000000}">
    <filterColumn colId="2">
      <filters>
        <filter val="1"/>
        <filter val="16"/>
        <filter val="18"/>
        <filter val="2"/>
        <filter val="20"/>
        <filter val="4"/>
        <filter val="52"/>
        <filter val="6"/>
        <filter val="8"/>
        <filter val="92"/>
      </filters>
    </filterColumn>
    <sortState xmlns:xlrd2="http://schemas.microsoft.com/office/spreadsheetml/2017/richdata2" ref="I8:O15">
      <sortCondition sortBy="cellColor" ref="I7:I15" dxfId="5"/>
    </sortState>
  </autoFilter>
  <mergeCells count="52">
    <mergeCell ref="E63:J63"/>
    <mergeCell ref="E64:J64"/>
    <mergeCell ref="E65:J65"/>
    <mergeCell ref="E66:J66"/>
    <mergeCell ref="E67:J67"/>
    <mergeCell ref="E58:J58"/>
    <mergeCell ref="E59:J59"/>
    <mergeCell ref="E60:J60"/>
    <mergeCell ref="E61:J61"/>
    <mergeCell ref="E62:J62"/>
    <mergeCell ref="N6:O6"/>
    <mergeCell ref="J10:J11"/>
    <mergeCell ref="J14:J15"/>
    <mergeCell ref="D2:E2"/>
    <mergeCell ref="D3:E3"/>
    <mergeCell ref="I2:J4"/>
    <mergeCell ref="I6:J6"/>
    <mergeCell ref="F22:F25"/>
    <mergeCell ref="F27:F30"/>
    <mergeCell ref="I29:I30"/>
    <mergeCell ref="J29:J30"/>
    <mergeCell ref="K6:M6"/>
    <mergeCell ref="J18:J19"/>
    <mergeCell ref="I24:I25"/>
    <mergeCell ref="J24:J25"/>
    <mergeCell ref="I18:I19"/>
    <mergeCell ref="I22:I23"/>
    <mergeCell ref="J22:J23"/>
    <mergeCell ref="J27:J28"/>
    <mergeCell ref="I27:I28"/>
    <mergeCell ref="N20:N21"/>
    <mergeCell ref="N8:N9"/>
    <mergeCell ref="O20:O21"/>
    <mergeCell ref="O8:O9"/>
    <mergeCell ref="O11:O12"/>
    <mergeCell ref="N11:N12"/>
    <mergeCell ref="N15:N16"/>
    <mergeCell ref="O15:O16"/>
    <mergeCell ref="B2:C2"/>
    <mergeCell ref="N2:AA2"/>
    <mergeCell ref="B3:C3"/>
    <mergeCell ref="B4:E4"/>
    <mergeCell ref="B5:E5"/>
    <mergeCell ref="J37:J38"/>
    <mergeCell ref="I37:I38"/>
    <mergeCell ref="J34:J35"/>
    <mergeCell ref="I34:I35"/>
    <mergeCell ref="E57:J57"/>
    <mergeCell ref="I41:I44"/>
    <mergeCell ref="J41:J44"/>
    <mergeCell ref="I46:I47"/>
    <mergeCell ref="J46:J47"/>
  </mergeCells>
  <dataValidations count="2">
    <dataValidation type="list" allowBlank="1" showInputMessage="1" sqref="K22:K23 K26:K32" xr:uid="{00000000-0002-0000-0600-000000000000}">
      <formula1>"?,TBE S,TBE R,TBU R,TBU S,TBU ACC,EAB,TRO,"</formula1>
    </dataValidation>
    <dataValidation allowBlank="1" showInputMessage="1" sqref="I56 I1" xr:uid="{00000000-0002-0000-0600-000001000000}"/>
  </dataValidations>
  <pageMargins left="0.7" right="0.7" top="0.75" bottom="0.75" header="0.3" footer="0.3"/>
  <pageSetup paperSize="8" scale="69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2" filterMode="1">
    <tabColor rgb="FF92D050"/>
    <pageSetUpPr fitToPage="1"/>
  </sheetPr>
  <dimension ref="A1:AB354"/>
  <sheetViews>
    <sheetView showGridLines="0" view="pageBreakPreview" zoomScale="85" zoomScaleNormal="70" zoomScaleSheetLayoutView="85" workbookViewId="0">
      <selection activeCell="M148" sqref="M148"/>
    </sheetView>
  </sheetViews>
  <sheetFormatPr baseColWidth="10" defaultColWidth="11.42578125" defaultRowHeight="14.25"/>
  <cols>
    <col min="1" max="1" width="3.5703125" style="1" customWidth="1"/>
    <col min="2" max="2" width="12.5703125" style="1" customWidth="1"/>
    <col min="3" max="4" width="14.28515625" style="1" customWidth="1"/>
    <col min="5" max="5" width="7.28515625" style="1" customWidth="1"/>
    <col min="6" max="6" width="13.5703125" style="1" customWidth="1"/>
    <col min="7" max="7" width="75.140625" style="5" bestFit="1" customWidth="1"/>
    <col min="8" max="8" width="23.42578125" style="2" bestFit="1" customWidth="1"/>
    <col min="9" max="9" width="25.5703125" style="2" customWidth="1"/>
    <col min="10" max="10" width="19.85546875" style="2" customWidth="1"/>
    <col min="11" max="13" width="22.85546875" style="6" customWidth="1"/>
    <col min="14" max="14" width="23.85546875" style="6" customWidth="1"/>
    <col min="15" max="15" width="15.28515625" style="6" customWidth="1"/>
    <col min="16" max="16" width="21.85546875" style="6" customWidth="1"/>
    <col min="17" max="19" width="16.28515625" style="6" customWidth="1"/>
    <col min="20" max="20" width="3.42578125" style="6" customWidth="1"/>
    <col min="21" max="21" width="21.85546875" style="6" customWidth="1"/>
    <col min="22" max="22" width="16.28515625" style="6" customWidth="1"/>
    <col min="23" max="16384" width="11.42578125" style="6"/>
  </cols>
  <sheetData>
    <row r="1" spans="1:28" s="49" customFormat="1" ht="18.75" customHeight="1" thickBot="1">
      <c r="H1" s="51"/>
      <c r="I1" s="51"/>
      <c r="J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</row>
    <row r="2" spans="1:28" s="49" customFormat="1" ht="19.5" customHeight="1" thickBot="1">
      <c r="B2" s="696" t="s">
        <v>0</v>
      </c>
      <c r="C2" s="697"/>
      <c r="D2" s="696" t="s">
        <v>100</v>
      </c>
      <c r="E2" s="697"/>
      <c r="H2" s="51" t="s">
        <v>23</v>
      </c>
      <c r="I2" s="51"/>
      <c r="J2" s="51"/>
      <c r="M2" s="51"/>
      <c r="N2" s="51"/>
      <c r="O2" s="711"/>
      <c r="P2" s="711"/>
      <c r="Q2" s="711"/>
      <c r="R2" s="711"/>
      <c r="S2" s="711"/>
      <c r="T2" s="711"/>
      <c r="U2" s="711"/>
      <c r="V2" s="711"/>
      <c r="W2" s="711"/>
      <c r="X2" s="711"/>
      <c r="Y2" s="711"/>
      <c r="Z2" s="711"/>
      <c r="AA2" s="711"/>
      <c r="AB2" s="711"/>
    </row>
    <row r="3" spans="1:28" s="49" customFormat="1" ht="30" customHeight="1" thickBot="1">
      <c r="B3" s="706">
        <f>NOMENCLATURE_GEN!B3</f>
        <v>224102</v>
      </c>
      <c r="C3" s="664"/>
      <c r="D3" s="706" t="str">
        <f>LOOKUP(2,1/(C:C&lt;&gt;""),C:C)</f>
        <v>A</v>
      </c>
      <c r="E3" s="664"/>
      <c r="H3" s="52" t="s">
        <v>13</v>
      </c>
      <c r="I3" s="51"/>
      <c r="J3" s="51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</row>
    <row r="4" spans="1:28" s="49" customFormat="1" ht="19.5" customHeight="1" thickBot="1">
      <c r="B4" s="696" t="s">
        <v>159</v>
      </c>
      <c r="C4" s="705"/>
      <c r="D4" s="705"/>
      <c r="E4" s="697"/>
      <c r="H4" s="51"/>
      <c r="I4" s="51"/>
      <c r="J4" s="703"/>
    </row>
    <row r="5" spans="1:28" s="49" customFormat="1" ht="25.15" customHeight="1" thickBot="1">
      <c r="B5" s="706" t="str">
        <f>NOMENCLATURE_GEN!B5</f>
        <v>PAPREC - CHAGNY</v>
      </c>
      <c r="C5" s="663"/>
      <c r="D5" s="663"/>
      <c r="E5" s="664"/>
      <c r="H5" s="51"/>
      <c r="I5" s="51"/>
      <c r="J5" s="703"/>
      <c r="P5" s="59"/>
      <c r="Q5" s="86" t="s">
        <v>36</v>
      </c>
      <c r="R5" s="87" t="s">
        <v>69</v>
      </c>
      <c r="S5" s="88" t="s">
        <v>58</v>
      </c>
    </row>
    <row r="6" spans="1:28" ht="32.25" customHeight="1" thickBot="1">
      <c r="K6" s="820" t="s">
        <v>308</v>
      </c>
      <c r="L6" s="821"/>
      <c r="M6" s="821"/>
      <c r="N6" s="822"/>
      <c r="O6" s="49"/>
      <c r="P6" s="113" t="s">
        <v>305</v>
      </c>
      <c r="Q6" s="30">
        <f t="shared" ref="Q6:S7" si="0">SUMIFS($N$8:$N$140,$F$8:$F$140,Q$5,$L$8:$L$140,$P6)</f>
        <v>0</v>
      </c>
      <c r="R6" s="31">
        <f t="shared" si="0"/>
        <v>0</v>
      </c>
      <c r="S6" s="82">
        <f t="shared" si="0"/>
        <v>0</v>
      </c>
    </row>
    <row r="7" spans="1:28" ht="53.25" customHeight="1" thickBot="1">
      <c r="B7" s="249" t="str">
        <f>NOMENCLATURE_GEN!B7</f>
        <v>NVX /
SUP /
MOD /</v>
      </c>
      <c r="C7" s="245" t="str">
        <f>NOMENCLATURE_GEN!C7</f>
        <v>REPERE CLIENT</v>
      </c>
      <c r="D7" s="246" t="str">
        <f>NOMENCLATURE_GEN!D7</f>
        <v>REPERE VAUCHE</v>
      </c>
      <c r="E7" s="173" t="s">
        <v>353</v>
      </c>
      <c r="F7" s="246" t="str">
        <f>NOMENCLATURE_GEN!F7</f>
        <v xml:space="preserve">TYPE </v>
      </c>
      <c r="G7" s="246" t="str">
        <f>NOMENCLATURE_GEN!G7</f>
        <v>DESIGNATION</v>
      </c>
      <c r="H7" s="246" t="str">
        <f>NOMENCLATURE_GEN!H7</f>
        <v>LARGEUR 
DE BANDE (mm)</v>
      </c>
      <c r="I7" s="246" t="str">
        <f>NOMENCLATURE_GEN!I7</f>
        <v>LONGEUR HORS TOUT (mm)</v>
      </c>
      <c r="J7" s="254" t="str">
        <f>NOMENCLATURE_GEN!J7</f>
        <v>INCLINAISON (°)</v>
      </c>
      <c r="K7" s="172" t="s">
        <v>307</v>
      </c>
      <c r="L7" s="173" t="s">
        <v>304</v>
      </c>
      <c r="M7" s="173" t="s">
        <v>310</v>
      </c>
      <c r="N7" s="174" t="s">
        <v>309</v>
      </c>
      <c r="O7" s="49"/>
      <c r="P7" s="115" t="s">
        <v>306</v>
      </c>
      <c r="Q7" s="93">
        <f t="shared" si="0"/>
        <v>98</v>
      </c>
      <c r="R7" s="35">
        <f t="shared" si="0"/>
        <v>0</v>
      </c>
      <c r="S7" s="36">
        <f t="shared" si="0"/>
        <v>0</v>
      </c>
      <c r="T7" s="59"/>
    </row>
    <row r="8" spans="1:28" s="8" customFormat="1" ht="39.950000000000003" customHeight="1">
      <c r="A8" s="3"/>
      <c r="B8" s="177" t="str">
        <f>IF(NOMENCLATURE_GEN!B8="","",NOMENCLATURE_GEN!B8)</f>
        <v/>
      </c>
      <c r="C8" s="178" t="str">
        <f>IF(NOMENCLATURE_GEN!C8="","",NOMENCLATURE_GEN!C8)</f>
        <v/>
      </c>
      <c r="D8" s="178">
        <f>IF(NOMENCLATURE_GEN!D8="","",NOMENCLATURE_GEN!D8)</f>
        <v>101</v>
      </c>
      <c r="E8" s="178" t="str">
        <f ca="1">IF(NOMENCLATURE_GEN!E8="","",NOMENCLATURE_GEN!E8)</f>
        <v>A</v>
      </c>
      <c r="F8" s="178" t="str">
        <f>IF(NOMENCLATURE_GEN!F8="","",NOMENCLATURE_GEN!F8)</f>
        <v>EAB</v>
      </c>
      <c r="G8" s="312" t="str">
        <f>IF(NOMENCLATURE_GEN!G8="","",NOMENCLATURE_GEN!G8)</f>
        <v>Convoyeur à bande et chaines de reprise des BRS</v>
      </c>
      <c r="H8" s="178">
        <f>IF(NOMENCLATURE_GEN!H8="","",NOMENCLATURE_GEN!H8)</f>
        <v>1600</v>
      </c>
      <c r="I8" s="178">
        <f>IF(NOMENCLATURE_GEN!I8="","",NOMENCLATURE_GEN!I8)</f>
        <v>33400</v>
      </c>
      <c r="J8" s="251">
        <f>IF(NOMENCLATURE_GEN!J8="","",NOMENCLATURE_GEN!J8)</f>
        <v>35</v>
      </c>
      <c r="K8" s="168">
        <f>IFERROR(VLOOKUP(F8,données!$B$4:$K$30,9,FALSE),0)</f>
        <v>1</v>
      </c>
      <c r="L8" s="171" t="s">
        <v>306</v>
      </c>
      <c r="M8" s="169">
        <f>IFERROR((I8*2-VLOOKUP(F8,données!$B$4:$I$30,4,FALSE)+VLOOKUP(F8,données!$B$4:$I$30,5,FALSE)*NOMENCLATURE_GEN!O8+IF(OR(NOMENCLATURE_GEN!P8="",NOMENCLATURE_GEN!P8=0),0,2250)+0.3*H8+750)*2*K8,0)</f>
        <v>144140</v>
      </c>
      <c r="N8" s="170">
        <f>(INT((M8/2)/3000)+1)*2*K8</f>
        <v>50</v>
      </c>
      <c r="O8" s="49"/>
      <c r="T8" s="59"/>
    </row>
    <row r="9" spans="1:28" s="8" customFormat="1" ht="39.950000000000003" hidden="1" customHeight="1">
      <c r="A9" s="3"/>
      <c r="B9" s="25" t="str">
        <f>IF(NOMENCLATURE_GEN!B9="","",NOMENCLATURE_GEN!B9)</f>
        <v/>
      </c>
      <c r="C9" s="243" t="str">
        <f>IF(NOMENCLATURE_GEN!C9="","",NOMENCLATURE_GEN!C9)</f>
        <v/>
      </c>
      <c r="D9" s="4">
        <f>IF(NOMENCLATURE_GEN!D9="","",NOMENCLATURE_GEN!D9)</f>
        <v>101</v>
      </c>
      <c r="E9" s="4" t="str">
        <f ca="1">IF(NOMENCLATURE_GEN!E9="","",NOMENCLATURE_GEN!E9)</f>
        <v>B</v>
      </c>
      <c r="F9" s="4" t="str">
        <f>IF(NOMENCLATURE_GEN!F9="","",NOMENCLATURE_GEN!F9)</f>
        <v>GRA</v>
      </c>
      <c r="G9" s="310" t="str">
        <f>IF(NOMENCLATURE_GEN!G9="","",NOMENCLATURE_GEN!G9)</f>
        <v>Convoyeur à bande et chaines - Centrale de graissage</v>
      </c>
      <c r="H9" s="4" t="str">
        <f>IF(NOMENCLATURE_GEN!H9="","",NOMENCLATURE_GEN!H9)</f>
        <v/>
      </c>
      <c r="I9" s="4" t="str">
        <f>IF(NOMENCLATURE_GEN!I9="","",NOMENCLATURE_GEN!I9)</f>
        <v/>
      </c>
      <c r="J9" s="252" t="str">
        <f>IF(NOMENCLATURE_GEN!J9="","",NOMENCLATURE_GEN!J9)</f>
        <v/>
      </c>
      <c r="K9" s="158">
        <f>IFERROR(VLOOKUP(F9,données!$B$4:$K$30,9,FALSE),0)</f>
        <v>0</v>
      </c>
      <c r="L9" s="13"/>
      <c r="M9" s="159">
        <f>IFERROR((I9*2-VLOOKUP(F9,données!$B$4:$I$30,4,FALSE)+VLOOKUP(F9,données!$B$4:$I$30,5,FALSE)*NOMENCLATURE_GEN!O9+IF(OR(NOMENCLATURE_GEN!P9="",NOMENCLATURE_GEN!P9=0),0,2250)+0.3*H9+750)*2*K9,0)</f>
        <v>0</v>
      </c>
      <c r="N9" s="164">
        <f t="shared" ref="N9:N74" si="1">(INT((M9/2)/3000)+1)*2*K9</f>
        <v>0</v>
      </c>
      <c r="O9" s="49"/>
      <c r="T9" s="59"/>
    </row>
    <row r="10" spans="1:28" s="8" customFormat="1" ht="39.950000000000003" hidden="1" customHeight="1">
      <c r="A10" s="3"/>
      <c r="B10" s="25" t="str">
        <f>IF(NOMENCLATURE_GEN!B10="","",NOMENCLATURE_GEN!B10)</f>
        <v/>
      </c>
      <c r="C10" s="243" t="str">
        <f>IF(NOMENCLATURE_GEN!C10="","",NOMENCLATURE_GEN!C10)</f>
        <v/>
      </c>
      <c r="D10" s="4">
        <f>IF(NOMENCLATURE_GEN!D10="","",NOMENCLATURE_GEN!D10)</f>
        <v>102</v>
      </c>
      <c r="E10" s="4" t="str">
        <f ca="1">IF(NOMENCLATURE_GEN!E10="","",NOMENCLATURE_GEN!E10)</f>
        <v>A</v>
      </c>
      <c r="F10" s="4" t="str">
        <f>IF(NOMENCLATURE_GEN!F10="","",NOMENCLATURE_GEN!F10)</f>
        <v>CBA</v>
      </c>
      <c r="G10" s="310" t="str">
        <f>IF(NOMENCLATURE_GEN!G10="","",NOMENCLATURE_GEN!G10)</f>
        <v>Convoyeur d'alimentation du trommel</v>
      </c>
      <c r="H10" s="4">
        <f>IF(NOMENCLATURE_GEN!H10="","",NOMENCLATURE_GEN!H10)</f>
        <v>1400</v>
      </c>
      <c r="I10" s="4">
        <f>IF(NOMENCLATURE_GEN!I10="","",NOMENCLATURE_GEN!I10)</f>
        <v>7000</v>
      </c>
      <c r="J10" s="252">
        <f>IF(NOMENCLATURE_GEN!J10="","",NOMENCLATURE_GEN!J10)</f>
        <v>17</v>
      </c>
      <c r="K10" s="158">
        <f>IFERROR(VLOOKUP(F10,données!$B$4:$K$30,9,FALSE),0)</f>
        <v>0</v>
      </c>
      <c r="L10" s="13"/>
      <c r="M10" s="159">
        <f>IFERROR((I10*2-VLOOKUP(F10,données!$B$4:$I$30,4,FALSE)+VLOOKUP(F10,données!$B$4:$I$30,5,FALSE)*NOMENCLATURE_GEN!O10+IF(OR(NOMENCLATURE_GEN!P10="",NOMENCLATURE_GEN!P10=0),0,2250)+0.3*H10+750)*2*K10,0)</f>
        <v>0</v>
      </c>
      <c r="N10" s="164">
        <f t="shared" si="1"/>
        <v>0</v>
      </c>
      <c r="O10" s="49"/>
      <c r="P10" s="49"/>
      <c r="Q10" s="49"/>
      <c r="R10" s="49"/>
      <c r="T10" s="59"/>
    </row>
    <row r="11" spans="1:28" s="8" customFormat="1" ht="39.950000000000003" hidden="1" customHeight="1">
      <c r="A11" s="3"/>
      <c r="B11" s="25" t="str">
        <f>IF(NOMENCLATURE_GEN!B11="","",NOMENCLATURE_GEN!B11)</f>
        <v/>
      </c>
      <c r="C11" s="243" t="str">
        <f>IF(NOMENCLATURE_GEN!C11="","",NOMENCLATURE_GEN!C11)</f>
        <v/>
      </c>
      <c r="D11" s="4">
        <f>IF(NOMENCLATURE_GEN!D11="","",NOMENCLATURE_GEN!D11)</f>
        <v>103</v>
      </c>
      <c r="E11" s="4" t="str">
        <f ca="1">IF(NOMENCLATURE_GEN!E11="","",NOMENCLATURE_GEN!E11)</f>
        <v>A</v>
      </c>
      <c r="F11" s="4" t="str">
        <f>IF(NOMENCLATURE_GEN!F11="","",NOMENCLATURE_GEN!F11)</f>
        <v>TRO</v>
      </c>
      <c r="G11" s="310" t="str">
        <f>IF(NOMENCLATURE_GEN!G11="","",NOMENCLATURE_GEN!G11)</f>
        <v>Trommel cribleur, maille Ø150/180mm avec peignes</v>
      </c>
      <c r="H11" s="4">
        <f>IF(NOMENCLATURE_GEN!H11="","",NOMENCLATURE_GEN!H11)</f>
        <v>2500</v>
      </c>
      <c r="I11" s="4">
        <f>IF(NOMENCLATURE_GEN!I11="","",NOMENCLATURE_GEN!I11)</f>
        <v>6000</v>
      </c>
      <c r="J11" s="252">
        <f>IF(NOMENCLATURE_GEN!J11="","",NOMENCLATURE_GEN!J11)</f>
        <v>3</v>
      </c>
      <c r="K11" s="158">
        <f>IFERROR(VLOOKUP(F11,données!$B$4:$K$30,9,FALSE),0)</f>
        <v>0</v>
      </c>
      <c r="L11" s="13"/>
      <c r="M11" s="159">
        <f>IFERROR((I11*2-VLOOKUP(F11,données!$B$4:$I$30,4,FALSE)+VLOOKUP(F11,données!$B$4:$I$30,5,FALSE)*NOMENCLATURE_GEN!O11+IF(OR(NOMENCLATURE_GEN!P11="",NOMENCLATURE_GEN!P11=0),0,2250)+0.3*H11+750)*2*K11,0)</f>
        <v>0</v>
      </c>
      <c r="N11" s="164">
        <f t="shared" ref="N11" si="2">(INT((M11/2)/3000)+1)*2*K11</f>
        <v>0</v>
      </c>
      <c r="O11" s="49"/>
      <c r="P11" s="49"/>
      <c r="Q11" s="49"/>
      <c r="R11" s="49"/>
      <c r="T11" s="59"/>
    </row>
    <row r="12" spans="1:28" s="8" customFormat="1" ht="39.950000000000003" hidden="1" customHeight="1">
      <c r="A12" s="3"/>
      <c r="B12" s="25" t="str">
        <f>IF(NOMENCLATURE_GEN!B12="","",NOMENCLATURE_GEN!B12)</f>
        <v/>
      </c>
      <c r="C12" s="243" t="str">
        <f>IF(NOMENCLATURE_GEN!C12="","",NOMENCLATURE_GEN!C12)</f>
        <v/>
      </c>
      <c r="D12" s="4">
        <f>IF(NOMENCLATURE_GEN!D12="","",NOMENCLATURE_GEN!D12)</f>
        <v>104</v>
      </c>
      <c r="E12" s="4" t="str">
        <f ca="1">IF(NOMENCLATURE_GEN!E12="","",NOMENCLATURE_GEN!E12)</f>
        <v>A</v>
      </c>
      <c r="F12" s="4" t="str">
        <f>IF(NOMENCLATURE_GEN!F12="","",NOMENCLATURE_GEN!F12)</f>
        <v>CBA</v>
      </c>
      <c r="G12" s="310" t="str">
        <f>IF(NOMENCLATURE_GEN!G12="","",NOMENCLATURE_GEN!G12)</f>
        <v>Convoyeur de reprise de la fraction &gt; 180mm, tête inox</v>
      </c>
      <c r="H12" s="4">
        <f>IF(NOMENCLATURE_GEN!H12="","",NOMENCLATURE_GEN!H12)</f>
        <v>1400</v>
      </c>
      <c r="I12" s="4">
        <f>IF(NOMENCLATURE_GEN!I12="","",NOMENCLATURE_GEN!I12)</f>
        <v>7000</v>
      </c>
      <c r="J12" s="252">
        <f>IF(NOMENCLATURE_GEN!J12="","",NOMENCLATURE_GEN!J12)</f>
        <v>0</v>
      </c>
      <c r="K12" s="158">
        <f>IFERROR(VLOOKUP(F12,données!$B$4:$K$30,9,FALSE),0)</f>
        <v>0</v>
      </c>
      <c r="L12" s="13"/>
      <c r="M12" s="159">
        <f>IFERROR((I12*2-VLOOKUP(F12,données!$B$4:$I$30,4,FALSE)+VLOOKUP(F12,données!$B$4:$I$30,5,FALSE)*NOMENCLATURE_GEN!O12+IF(OR(NOMENCLATURE_GEN!P12="",NOMENCLATURE_GEN!P12=0),0,2250)+0.3*H12+750)*2*K12,0)</f>
        <v>0</v>
      </c>
      <c r="N12" s="164">
        <f t="shared" ref="N12" si="3">(INT((M12/2)/3000)+1)*2*K12</f>
        <v>0</v>
      </c>
      <c r="O12" s="49"/>
      <c r="P12" s="49"/>
      <c r="Q12" s="49"/>
      <c r="R12" s="49"/>
      <c r="T12" s="59"/>
    </row>
    <row r="13" spans="1:28" s="8" customFormat="1" ht="39.950000000000003" hidden="1" customHeight="1">
      <c r="A13" s="3"/>
      <c r="B13" s="25" t="str">
        <f>IF(NOMENCLATURE_GEN!B13="","",NOMENCLATURE_GEN!B13)</f>
        <v/>
      </c>
      <c r="C13" s="243" t="str">
        <f>IF(NOMENCLATURE_GEN!C13="","",NOMENCLATURE_GEN!C13)</f>
        <v/>
      </c>
      <c r="D13" s="4">
        <f>IF(NOMENCLATURE_GEN!D13="","",NOMENCLATURE_GEN!D13)</f>
        <v>105</v>
      </c>
      <c r="E13" s="4" t="str">
        <f ca="1">IF(NOMENCLATURE_GEN!E13="","",NOMENCLATURE_GEN!E13)</f>
        <v>A</v>
      </c>
      <c r="F13" s="4" t="str">
        <f>IF(NOMENCLATURE_GEN!F13="","",NOMENCLATURE_GEN!F13)</f>
        <v>OVB</v>
      </c>
      <c r="G13" s="310" t="str">
        <f>IF(NOMENCLATURE_GEN!G13="","",NOMENCLATURE_GEN!G13)</f>
        <v>Séparateur magnétique à aimant permament</v>
      </c>
      <c r="H13" s="4">
        <f>IF(NOMENCLATURE_GEN!H13="","",NOMENCLATURE_GEN!H13)</f>
        <v>1200</v>
      </c>
      <c r="I13" s="4">
        <f>IF(NOMENCLATURE_GEN!I13="","",NOMENCLATURE_GEN!I13)</f>
        <v>1200</v>
      </c>
      <c r="J13" s="252" t="str">
        <f>IF(NOMENCLATURE_GEN!J13="","",NOMENCLATURE_GEN!J13)</f>
        <v/>
      </c>
      <c r="K13" s="158">
        <f>IFERROR(VLOOKUP(F13,données!$B$4:$K$30,9,FALSE),0)</f>
        <v>0</v>
      </c>
      <c r="L13" s="13"/>
      <c r="M13" s="159">
        <f>IFERROR((I13*2-VLOOKUP(F13,données!$B$4:$I$30,4,FALSE)+VLOOKUP(F13,données!$B$4:$I$30,5,FALSE)*NOMENCLATURE_GEN!O13+IF(OR(NOMENCLATURE_GEN!P13="",NOMENCLATURE_GEN!P13=0),0,2250)+0.3*H13+750)*2*K13,0)</f>
        <v>0</v>
      </c>
      <c r="N13" s="164">
        <f t="shared" si="1"/>
        <v>0</v>
      </c>
      <c r="O13" s="49"/>
      <c r="P13" s="49"/>
      <c r="Q13" s="49"/>
      <c r="R13" s="49"/>
      <c r="T13" s="59"/>
    </row>
    <row r="14" spans="1:28" s="8" customFormat="1" ht="39.950000000000003" hidden="1" customHeight="1">
      <c r="A14" s="3"/>
      <c r="B14" s="25" t="str">
        <f>IF(NOMENCLATURE_GEN!B14="","",NOMENCLATURE_GEN!B14)</f>
        <v/>
      </c>
      <c r="C14" s="243" t="str">
        <f>IF(NOMENCLATURE_GEN!C14="","",NOMENCLATURE_GEN!C14)</f>
        <v/>
      </c>
      <c r="D14" s="4">
        <f>IF(NOMENCLATURE_GEN!D14="","",NOMENCLATURE_GEN!D14)</f>
        <v>106</v>
      </c>
      <c r="E14" s="4" t="str">
        <f ca="1">IF(NOMENCLATURE_GEN!E14="","",NOMENCLATURE_GEN!E14)</f>
        <v>A</v>
      </c>
      <c r="F14" s="4" t="str">
        <f>IF(NOMENCLATURE_GEN!F14="","",NOMENCLATURE_GEN!F14)</f>
        <v>GLT</v>
      </c>
      <c r="G14" s="310" t="str">
        <f>IF(NOMENCLATURE_GEN!G14="","",NOMENCLATURE_GEN!G14)</f>
        <v>Goulotte de liaison vers le convoyeur des refus</v>
      </c>
      <c r="H14" s="4">
        <f>IF(NOMENCLATURE_GEN!H14="","",NOMENCLATURE_GEN!H14)</f>
        <v>1200</v>
      </c>
      <c r="I14" s="4">
        <f>IF(NOMENCLATURE_GEN!I14="","",NOMENCLATURE_GEN!I14)</f>
        <v>1200</v>
      </c>
      <c r="J14" s="252">
        <f>IF(NOMENCLATURE_GEN!J14="","",NOMENCLATURE_GEN!J14)</f>
        <v>0</v>
      </c>
      <c r="K14" s="158">
        <f>IFERROR(VLOOKUP(F14,données!$B$4:$K$30,9,FALSE),0)</f>
        <v>0</v>
      </c>
      <c r="L14" s="13"/>
      <c r="M14" s="159">
        <f>IFERROR((I14*2-VLOOKUP(F14,données!$B$4:$I$30,4,FALSE)+VLOOKUP(F14,données!$B$4:$I$30,5,FALSE)*NOMENCLATURE_GEN!O14+IF(OR(NOMENCLATURE_GEN!P14="",NOMENCLATURE_GEN!P14=0),0,2250)+0.3*H14+750)*2*K14,0)</f>
        <v>0</v>
      </c>
      <c r="N14" s="164">
        <f t="shared" si="1"/>
        <v>0</v>
      </c>
      <c r="O14" s="49"/>
      <c r="P14" s="49"/>
      <c r="Q14" s="49"/>
      <c r="R14" s="49"/>
      <c r="T14" s="59"/>
    </row>
    <row r="15" spans="1:28" s="8" customFormat="1" ht="39.950000000000003" hidden="1" customHeight="1">
      <c r="A15" s="3"/>
      <c r="B15" s="25" t="str">
        <f>IF(NOMENCLATURE_GEN!B15="","",NOMENCLATURE_GEN!B15)</f>
        <v/>
      </c>
      <c r="C15" s="243" t="str">
        <f>IF(NOMENCLATURE_GEN!C15="","",NOMENCLATURE_GEN!C15)</f>
        <v/>
      </c>
      <c r="D15" s="4">
        <f>IF(NOMENCLATURE_GEN!D15="","",NOMENCLATURE_GEN!D15)</f>
        <v>107</v>
      </c>
      <c r="E15" s="4" t="str">
        <f ca="1">IF(NOMENCLATURE_GEN!E15="","",NOMENCLATURE_GEN!E15)</f>
        <v>A</v>
      </c>
      <c r="F15" s="4" t="str">
        <f>IF(NOMENCLATURE_GEN!F15="","",NOMENCLATURE_GEN!F15)</f>
        <v>CBA</v>
      </c>
      <c r="G15" s="310" t="str">
        <f>IF(NOMENCLATURE_GEN!G15="","",NOMENCLATURE_GEN!G15)</f>
        <v>Convoyeur de centralisation des refus</v>
      </c>
      <c r="H15" s="4">
        <f>IF(NOMENCLATURE_GEN!H15="","",NOMENCLATURE_GEN!H15)</f>
        <v>1400</v>
      </c>
      <c r="I15" s="4">
        <f>IF(NOMENCLATURE_GEN!I15="","",NOMENCLATURE_GEN!I15)</f>
        <v>9250</v>
      </c>
      <c r="J15" s="252">
        <f>IF(NOMENCLATURE_GEN!J15="","",NOMENCLATURE_GEN!J15)</f>
        <v>4</v>
      </c>
      <c r="K15" s="158">
        <f>IFERROR(VLOOKUP(F15,données!$B$4:$K$30,9,FALSE),0)</f>
        <v>0</v>
      </c>
      <c r="L15" s="13"/>
      <c r="M15" s="159">
        <f>IFERROR((I15*2-VLOOKUP(F15,données!$B$4:$I$30,4,FALSE)+VLOOKUP(F15,données!$B$4:$I$30,5,FALSE)*NOMENCLATURE_GEN!O15+IF(OR(NOMENCLATURE_GEN!P15="",NOMENCLATURE_GEN!P15=0),0,2250)+0.3*H15+750)*2*K15,0)</f>
        <v>0</v>
      </c>
      <c r="N15" s="164">
        <f t="shared" si="1"/>
        <v>0</v>
      </c>
      <c r="O15" s="49"/>
      <c r="P15" s="49"/>
      <c r="Q15" s="49"/>
      <c r="R15" s="49"/>
      <c r="T15" s="59"/>
    </row>
    <row r="16" spans="1:28" s="8" customFormat="1" ht="39.950000000000003" hidden="1" customHeight="1">
      <c r="A16" s="3"/>
      <c r="B16" s="25" t="str">
        <f>IF(NOMENCLATURE_GEN!B16="","",NOMENCLATURE_GEN!B16)</f>
        <v/>
      </c>
      <c r="C16" s="243" t="str">
        <f>IF(NOMENCLATURE_GEN!C16="","",NOMENCLATURE_GEN!C16)</f>
        <v/>
      </c>
      <c r="D16" s="4">
        <f>IF(NOMENCLATURE_GEN!D16="","",NOMENCLATURE_GEN!D16)</f>
        <v>108</v>
      </c>
      <c r="E16" s="4" t="str">
        <f ca="1">IF(NOMENCLATURE_GEN!E16="","",NOMENCLATURE_GEN!E16)</f>
        <v>A</v>
      </c>
      <c r="F16" s="4" t="str">
        <f>IF(NOMENCLATURE_GEN!F16="","",NOMENCLATURE_GEN!F16)</f>
        <v>CBA</v>
      </c>
      <c r="G16" s="310" t="str">
        <f>IF(NOMENCLATURE_GEN!G16="","",NOMENCLATURE_GEN!G16)</f>
        <v>Convoyeur de transfert des refus</v>
      </c>
      <c r="H16" s="4">
        <f>IF(NOMENCLATURE_GEN!H16="","",NOMENCLATURE_GEN!H16)</f>
        <v>1400</v>
      </c>
      <c r="I16" s="4">
        <f>IF(NOMENCLATURE_GEN!I16="","",NOMENCLATURE_GEN!I16)</f>
        <v>14750</v>
      </c>
      <c r="J16" s="252">
        <f>IF(NOMENCLATURE_GEN!J16="","",NOMENCLATURE_GEN!J16)</f>
        <v>6</v>
      </c>
      <c r="K16" s="158">
        <f>IFERROR(VLOOKUP(F16,données!$B$4:$K$30,9,FALSE),0)</f>
        <v>0</v>
      </c>
      <c r="L16" s="13"/>
      <c r="M16" s="159">
        <f>IFERROR((I16*2-VLOOKUP(F16,données!$B$4:$I$30,4,FALSE)+VLOOKUP(F16,données!$B$4:$I$30,5,FALSE)*NOMENCLATURE_GEN!O16+IF(OR(NOMENCLATURE_GEN!P16="",NOMENCLATURE_GEN!P16=0),0,2250)+0.3*H16+750)*2*K16,0)</f>
        <v>0</v>
      </c>
      <c r="N16" s="164">
        <f t="shared" si="1"/>
        <v>0</v>
      </c>
      <c r="O16" s="49"/>
      <c r="P16" s="49"/>
      <c r="Q16" s="49"/>
      <c r="R16" s="49"/>
      <c r="T16" s="59"/>
      <c r="U16" s="59"/>
      <c r="V16" s="59"/>
    </row>
    <row r="17" spans="1:22" s="8" customFormat="1" ht="39.950000000000003" hidden="1" customHeight="1">
      <c r="A17" s="3"/>
      <c r="B17" s="25" t="str">
        <f>IF(NOMENCLATURE_GEN!B17="","",NOMENCLATURE_GEN!B17)</f>
        <v/>
      </c>
      <c r="C17" s="243" t="str">
        <f>IF(NOMENCLATURE_GEN!C17="","",NOMENCLATURE_GEN!C17)</f>
        <v/>
      </c>
      <c r="D17" s="4">
        <f>IF(NOMENCLATURE_GEN!D17="","",NOMENCLATURE_GEN!D17)</f>
        <v>109</v>
      </c>
      <c r="E17" s="4" t="str">
        <f ca="1">IF(NOMENCLATURE_GEN!E17="","",NOMENCLATURE_GEN!E17)</f>
        <v>A</v>
      </c>
      <c r="F17" s="4" t="str">
        <f>IF(NOMENCLATURE_GEN!F17="","",NOMENCLATURE_GEN!F17)</f>
        <v>CBA</v>
      </c>
      <c r="G17" s="154" t="str">
        <f>IF(NOMENCLATURE_GEN!G17="","",NOMENCLATURE_GEN!G17)</f>
        <v>Convoyeur de transfert des refus</v>
      </c>
      <c r="H17" s="26">
        <f>IF(NOMENCLATURE_GEN!H17="","",NOMENCLATURE_GEN!H17)</f>
        <v>1400</v>
      </c>
      <c r="I17" s="26">
        <f>IF(NOMENCLATURE_GEN!I17="","",NOMENCLATURE_GEN!I17)</f>
        <v>15250</v>
      </c>
      <c r="J17" s="56">
        <f>IF(NOMENCLATURE_GEN!J17="","",NOMENCLATURE_GEN!J17)</f>
        <v>14</v>
      </c>
      <c r="K17" s="158">
        <f>IFERROR(VLOOKUP(F17,données!$B$4:$K$30,9,FALSE),0)</f>
        <v>0</v>
      </c>
      <c r="L17" s="13"/>
      <c r="M17" s="159">
        <f>IFERROR((I17*2-VLOOKUP(F17,données!$B$4:$I$30,4,FALSE)+VLOOKUP(F17,données!$B$4:$I$30,5,FALSE)*NOMENCLATURE_GEN!O17+IF(OR(NOMENCLATURE_GEN!P17="",NOMENCLATURE_GEN!P17=0),0,2250)+0.3*H17+750)*2*K17,0)</f>
        <v>0</v>
      </c>
      <c r="N17" s="164">
        <f t="shared" si="1"/>
        <v>0</v>
      </c>
      <c r="O17" s="49"/>
      <c r="P17" s="49"/>
      <c r="Q17" s="49"/>
      <c r="R17" s="49"/>
      <c r="T17" s="59"/>
      <c r="U17" s="59"/>
      <c r="V17" s="59"/>
    </row>
    <row r="18" spans="1:22" s="8" customFormat="1" ht="39.950000000000003" hidden="1" customHeight="1">
      <c r="A18" s="3"/>
      <c r="B18" s="25" t="str">
        <f>IF(NOMENCLATURE_GEN!B18="","",NOMENCLATURE_GEN!B18)</f>
        <v/>
      </c>
      <c r="C18" s="243" t="str">
        <f>IF(NOMENCLATURE_GEN!C18="","",NOMENCLATURE_GEN!C18)</f>
        <v/>
      </c>
      <c r="D18" s="4">
        <f>IF(NOMENCLATURE_GEN!D18="","",NOMENCLATURE_GEN!D18)</f>
        <v>110</v>
      </c>
      <c r="E18" s="4" t="str">
        <f ca="1">IF(NOMENCLATURE_GEN!E18="","",NOMENCLATURE_GEN!E18)</f>
        <v>A</v>
      </c>
      <c r="F18" s="4" t="str">
        <f>IF(NOMENCLATURE_GEN!F18="","",NOMENCLATURE_GEN!F18)</f>
        <v>CBA</v>
      </c>
      <c r="G18" s="154" t="str">
        <f>IF(NOMENCLATURE_GEN!G18="","",NOMENCLATURE_GEN!G18)</f>
        <v>Convoyeur de transfert des refus vers FMA</v>
      </c>
      <c r="H18" s="26">
        <f>IF(NOMENCLATURE_GEN!H18="","",NOMENCLATURE_GEN!H18)</f>
        <v>1400</v>
      </c>
      <c r="I18" s="26">
        <f>IF(NOMENCLATURE_GEN!I18="","",NOMENCLATURE_GEN!I18)</f>
        <v>20000</v>
      </c>
      <c r="J18" s="56">
        <f>IF(NOMENCLATURE_GEN!J18="","",NOMENCLATURE_GEN!J18)</f>
        <v>25</v>
      </c>
      <c r="K18" s="158">
        <f>IFERROR(VLOOKUP(F18,données!$B$4:$K$30,9,FALSE),0)</f>
        <v>0</v>
      </c>
      <c r="L18" s="13"/>
      <c r="M18" s="159">
        <f>IFERROR((I18*2-VLOOKUP(F18,données!$B$4:$I$30,4,FALSE)+VLOOKUP(F18,données!$B$4:$I$30,5,FALSE)*NOMENCLATURE_GEN!O18+IF(OR(NOMENCLATURE_GEN!P18="",NOMENCLATURE_GEN!P18=0),0,2250)+0.3*H18+750)*2*K18,0)</f>
        <v>0</v>
      </c>
      <c r="N18" s="164">
        <f t="shared" si="1"/>
        <v>0</v>
      </c>
      <c r="O18" s="49"/>
      <c r="P18" s="49"/>
      <c r="Q18" s="49"/>
      <c r="R18" s="49"/>
      <c r="T18" s="59"/>
      <c r="U18" s="59"/>
      <c r="V18" s="59"/>
    </row>
    <row r="19" spans="1:22" s="8" customFormat="1" ht="39.950000000000003" hidden="1" customHeight="1">
      <c r="A19" s="3"/>
      <c r="B19" s="25" t="str">
        <f>IF(NOMENCLATURE_GEN!B19="","",NOMENCLATURE_GEN!B19)</f>
        <v/>
      </c>
      <c r="C19" s="243" t="str">
        <f>IF(NOMENCLATURE_GEN!C19="","",NOMENCLATURE_GEN!C19)</f>
        <v/>
      </c>
      <c r="D19" s="4">
        <f>IF(NOMENCLATURE_GEN!D19="","",NOMENCLATURE_GEN!D19)</f>
        <v>111</v>
      </c>
      <c r="E19" s="4" t="str">
        <f ca="1">IF(NOMENCLATURE_GEN!E19="","",NOMENCLATURE_GEN!E19)</f>
        <v>A</v>
      </c>
      <c r="F19" s="4" t="str">
        <f>IF(NOMENCLATURE_GEN!F19="","",NOMENCLATURE_GEN!F19)</f>
        <v>CBA</v>
      </c>
      <c r="G19" s="154" t="str">
        <f>IF(NOMENCLATURE_GEN!G19="","",NOMENCLATURE_GEN!G19)</f>
        <v>Convoyeur by-pass des refus (FMA 1 OU 2)</v>
      </c>
      <c r="H19" s="26">
        <f>IF(NOMENCLATURE_GEN!H19="","",NOMENCLATURE_GEN!H19)</f>
        <v>1400</v>
      </c>
      <c r="I19" s="26">
        <f>IF(NOMENCLATURE_GEN!I19="","",NOMENCLATURE_GEN!I19)</f>
        <v>4500</v>
      </c>
      <c r="J19" s="56">
        <f>IF(NOMENCLATURE_GEN!J19="","",NOMENCLATURE_GEN!J19)</f>
        <v>0</v>
      </c>
      <c r="K19" s="158">
        <f>IFERROR(VLOOKUP(F19,données!$B$4:$K$30,9,FALSE),0)</f>
        <v>0</v>
      </c>
      <c r="L19" s="13"/>
      <c r="M19" s="159">
        <f>IFERROR((I19*2-VLOOKUP(F19,données!$B$4:$I$30,4,FALSE)+VLOOKUP(F19,données!$B$4:$I$30,5,FALSE)*NOMENCLATURE_GEN!O19+IF(OR(NOMENCLATURE_GEN!P19="",NOMENCLATURE_GEN!P19=0),0,2250)+0.3*H19+750)*2*K19,0)</f>
        <v>0</v>
      </c>
      <c r="N19" s="164">
        <f t="shared" si="1"/>
        <v>0</v>
      </c>
      <c r="O19" s="49"/>
      <c r="P19" s="49"/>
      <c r="Q19" s="49"/>
      <c r="R19" s="49"/>
      <c r="T19" s="59"/>
      <c r="U19" s="59"/>
      <c r="V19" s="59"/>
    </row>
    <row r="20" spans="1:22" s="8" customFormat="1" ht="39.950000000000003" hidden="1" customHeight="1">
      <c r="A20" s="3"/>
      <c r="B20" s="25" t="str">
        <f>IF(NOMENCLATURE_GEN!B20="","",NOMENCLATURE_GEN!B20)</f>
        <v/>
      </c>
      <c r="C20" s="243" t="str">
        <f>IF(NOMENCLATURE_GEN!C20="","",NOMENCLATURE_GEN!C20)</f>
        <v/>
      </c>
      <c r="D20" s="4" t="str">
        <f>IF(NOMENCLATURE_GEN!D20="","",NOMENCLATURE_GEN!D20)</f>
        <v>112-1</v>
      </c>
      <c r="E20" s="4" t="str">
        <f ca="1">IF(NOMENCLATURE_GEN!E20="","",NOMENCLATURE_GEN!E20)</f>
        <v>A</v>
      </c>
      <c r="F20" s="4" t="str">
        <f>IF(NOMENCLATURE_GEN!F20="","",NOMENCLATURE_GEN!F20)</f>
        <v>CBA</v>
      </c>
      <c r="G20" s="154" t="str">
        <f>IF(NOMENCLATURE_GEN!G20="","",NOMENCLATURE_GEN!G20)</f>
        <v>Convoyeur navette double sens de remplissage des bennes ou FMA</v>
      </c>
      <c r="H20" s="26">
        <f>IF(NOMENCLATURE_GEN!H20="","",NOMENCLATURE_GEN!H20)</f>
        <v>1400</v>
      </c>
      <c r="I20" s="26">
        <f>IF(NOMENCLATURE_GEN!I20="","",NOMENCLATURE_GEN!I20)</f>
        <v>8250</v>
      </c>
      <c r="J20" s="56">
        <f>IF(NOMENCLATURE_GEN!J20="","",NOMENCLATURE_GEN!J20)</f>
        <v>0</v>
      </c>
      <c r="K20" s="158">
        <f>IFERROR(VLOOKUP(F20,données!$B$4:$K$30,9,FALSE),0)</f>
        <v>0</v>
      </c>
      <c r="L20" s="13"/>
      <c r="M20" s="159">
        <f>IFERROR((I20*2-VLOOKUP(F20,données!$B$4:$I$30,4,FALSE)+VLOOKUP(F20,données!$B$4:$I$30,5,FALSE)*NOMENCLATURE_GEN!O20+IF(OR(NOMENCLATURE_GEN!P20="",NOMENCLATURE_GEN!P20=0),0,2250)+0.3*H20+750)*2*K20,0)</f>
        <v>0</v>
      </c>
      <c r="N20" s="164">
        <f t="shared" si="1"/>
        <v>0</v>
      </c>
      <c r="O20" s="49"/>
      <c r="U20" s="59"/>
      <c r="V20" s="59"/>
    </row>
    <row r="21" spans="1:22" s="8" customFormat="1" ht="39.950000000000003" hidden="1" customHeight="1">
      <c r="A21" s="3"/>
      <c r="B21" s="25" t="str">
        <f>IF(NOMENCLATURE_GEN!B21="","",NOMENCLATURE_GEN!B21)</f>
        <v/>
      </c>
      <c r="C21" s="243" t="str">
        <f>IF(NOMENCLATURE_GEN!C21="","",NOMENCLATURE_GEN!C21)</f>
        <v/>
      </c>
      <c r="D21" s="4" t="str">
        <f>IF(NOMENCLATURE_GEN!D21="","",NOMENCLATURE_GEN!D21)</f>
        <v>112-2</v>
      </c>
      <c r="E21" s="4" t="str">
        <f ca="1">IF(NOMENCLATURE_GEN!E21="","",NOMENCLATURE_GEN!E21)</f>
        <v>A</v>
      </c>
      <c r="F21" s="4" t="str">
        <f>IF(NOMENCLATURE_GEN!F21="","",NOMENCLATURE_GEN!F21)</f>
        <v>CBA</v>
      </c>
      <c r="G21" s="154" t="str">
        <f>IF(NOMENCLATURE_GEN!G21="","",NOMENCLATURE_GEN!G21)</f>
        <v>Convoyeur navette double sens de remplissage des bennes ou FMA</v>
      </c>
      <c r="H21" s="26">
        <f>IF(NOMENCLATURE_GEN!H21="","",NOMENCLATURE_GEN!H21)</f>
        <v>1400</v>
      </c>
      <c r="I21" s="26">
        <f>IF(NOMENCLATURE_GEN!I21="","",NOMENCLATURE_GEN!I21)</f>
        <v>8250</v>
      </c>
      <c r="J21" s="56">
        <f>IF(NOMENCLATURE_GEN!J21="","",NOMENCLATURE_GEN!J21)</f>
        <v>0</v>
      </c>
      <c r="K21" s="158">
        <f>IFERROR(VLOOKUP(F21,données!$B$4:$K$30,9,FALSE),0)</f>
        <v>0</v>
      </c>
      <c r="L21" s="13"/>
      <c r="M21" s="159">
        <f>IFERROR((I21*2-VLOOKUP(F21,données!$B$4:$I$30,4,FALSE)+VLOOKUP(F21,données!$B$4:$I$30,5,FALSE)*NOMENCLATURE_GEN!O21+IF(OR(NOMENCLATURE_GEN!P21="",NOMENCLATURE_GEN!P21=0),0,2250)+0.3*H21+750)*2*K21,0)</f>
        <v>0</v>
      </c>
      <c r="N21" s="164">
        <f t="shared" si="1"/>
        <v>0</v>
      </c>
      <c r="O21" s="49"/>
      <c r="U21" s="59"/>
      <c r="V21" s="59"/>
    </row>
    <row r="22" spans="1:22" s="8" customFormat="1" ht="39.950000000000003" hidden="1" customHeight="1">
      <c r="A22" s="3"/>
      <c r="B22" s="25" t="str">
        <f>IF(NOMENCLATURE_GEN!B22="","",NOMENCLATURE_GEN!B22)</f>
        <v/>
      </c>
      <c r="C22" s="243" t="str">
        <f>IF(NOMENCLATURE_GEN!C22="","",NOMENCLATURE_GEN!C22)</f>
        <v/>
      </c>
      <c r="D22" s="4" t="str">
        <f>IF(NOMENCLATURE_GEN!D22="","",NOMENCLATURE_GEN!D22)</f>
        <v>113-1</v>
      </c>
      <c r="E22" s="4" t="str">
        <f ca="1">IF(NOMENCLATURE_GEN!E22="","",NOMENCLATURE_GEN!E22)</f>
        <v>A</v>
      </c>
      <c r="F22" s="4" t="str">
        <f>IF(NOMENCLATURE_GEN!F22="","",NOMENCLATURE_GEN!F22)</f>
        <v>NAV</v>
      </c>
      <c r="G22" s="154" t="str">
        <f>IF(NOMENCLATURE_GEN!G22="","",NOMENCLATURE_GEN!G22)</f>
        <v>Système navette pour convoyeur mobile remplissage FMA ou bennes</v>
      </c>
      <c r="H22" s="26" t="str">
        <f>IF(NOMENCLATURE_GEN!H22="","",NOMENCLATURE_GEN!H22)</f>
        <v/>
      </c>
      <c r="I22" s="26" t="str">
        <f>IF(NOMENCLATURE_GEN!I22="","",NOMENCLATURE_GEN!I22)</f>
        <v/>
      </c>
      <c r="J22" s="56" t="str">
        <f>IF(NOMENCLATURE_GEN!J22="","",NOMENCLATURE_GEN!J22)</f>
        <v/>
      </c>
      <c r="K22" s="158">
        <f>IFERROR(VLOOKUP(F22,données!$B$4:$K$30,9,FALSE),0)</f>
        <v>0</v>
      </c>
      <c r="L22" s="13"/>
      <c r="M22" s="159">
        <f>IFERROR((I22*2-VLOOKUP(F22,données!$B$4:$I$30,4,FALSE)+VLOOKUP(F22,données!$B$4:$I$30,5,FALSE)*NOMENCLATURE_GEN!O22+IF(OR(NOMENCLATURE_GEN!P22="",NOMENCLATURE_GEN!P22=0),0,2250)+0.3*H22+750)*2*K22,0)</f>
        <v>0</v>
      </c>
      <c r="N22" s="164">
        <f t="shared" si="1"/>
        <v>0</v>
      </c>
      <c r="O22" s="49"/>
    </row>
    <row r="23" spans="1:22" s="8" customFormat="1" ht="39.950000000000003" hidden="1" customHeight="1">
      <c r="A23" s="3"/>
      <c r="B23" s="25" t="str">
        <f>IF(NOMENCLATURE_GEN!B23="","",NOMENCLATURE_GEN!B23)</f>
        <v/>
      </c>
      <c r="C23" s="243" t="str">
        <f>IF(NOMENCLATURE_GEN!C23="","",NOMENCLATURE_GEN!C23)</f>
        <v/>
      </c>
      <c r="D23" s="4" t="str">
        <f>IF(NOMENCLATURE_GEN!D23="","",NOMENCLATURE_GEN!D23)</f>
        <v>113-2</v>
      </c>
      <c r="E23" s="4" t="str">
        <f ca="1">IF(NOMENCLATURE_GEN!E23="","",NOMENCLATURE_GEN!E23)</f>
        <v>A</v>
      </c>
      <c r="F23" s="4" t="str">
        <f>IF(NOMENCLATURE_GEN!F23="","",NOMENCLATURE_GEN!F23)</f>
        <v>NAV</v>
      </c>
      <c r="G23" s="154" t="str">
        <f>IF(NOMENCLATURE_GEN!G23="","",NOMENCLATURE_GEN!G23)</f>
        <v>Système navette pour convoyeur mobile remplissage FMA ou bennes</v>
      </c>
      <c r="H23" s="26" t="str">
        <f>IF(NOMENCLATURE_GEN!H23="","",NOMENCLATURE_GEN!H23)</f>
        <v/>
      </c>
      <c r="I23" s="26" t="str">
        <f>IF(NOMENCLATURE_GEN!I23="","",NOMENCLATURE_GEN!I23)</f>
        <v/>
      </c>
      <c r="J23" s="56" t="str">
        <f>IF(NOMENCLATURE_GEN!J23="","",NOMENCLATURE_GEN!J23)</f>
        <v/>
      </c>
      <c r="K23" s="158">
        <f>IFERROR(VLOOKUP(F23,données!$B$4:$K$30,9,FALSE),0)</f>
        <v>0</v>
      </c>
      <c r="L23" s="13"/>
      <c r="M23" s="159">
        <f>IFERROR((I23*2-VLOOKUP(F23,données!$B$4:$I$30,4,FALSE)+VLOOKUP(F23,données!$B$4:$I$30,5,FALSE)*NOMENCLATURE_GEN!O23+IF(OR(NOMENCLATURE_GEN!P23="",NOMENCLATURE_GEN!P23=0),0,2250)+0.3*H23+750)*2*K23,0)</f>
        <v>0</v>
      </c>
      <c r="N23" s="164">
        <f t="shared" si="1"/>
        <v>0</v>
      </c>
      <c r="O23" s="49"/>
      <c r="P23" s="49"/>
      <c r="Q23" s="49"/>
      <c r="R23" s="49"/>
    </row>
    <row r="24" spans="1:22" s="8" customFormat="1" ht="39.950000000000003" hidden="1" customHeight="1">
      <c r="A24" s="3"/>
      <c r="B24" s="25" t="str">
        <f>IF(NOMENCLATURE_GEN!B24="","",NOMENCLATURE_GEN!B24)</f>
        <v>SUP</v>
      </c>
      <c r="C24" s="243" t="str">
        <f>IF(NOMENCLATURE_GEN!C24="","",NOMENCLATURE_GEN!C24)</f>
        <v/>
      </c>
      <c r="D24" s="4">
        <f>IF(NOMENCLATURE_GEN!D24="","",NOMENCLATURE_GEN!D24)</f>
        <v>114</v>
      </c>
      <c r="E24" s="4" t="str">
        <f ca="1">IF(NOMENCLATURE_GEN!E24="","",NOMENCLATURE_GEN!E24)</f>
        <v>A</v>
      </c>
      <c r="F24" s="4" t="str">
        <f>IF(NOMENCLATURE_GEN!F24="","",NOMENCLATURE_GEN!F24)</f>
        <v>TRE</v>
      </c>
      <c r="G24" s="154" t="str">
        <f>IF(NOMENCLATURE_GEN!G24="","",NOMENCLATURE_GEN!G24)</f>
        <v>Trémie des passants 0-180mm sous trommel</v>
      </c>
      <c r="H24" s="26" t="str">
        <f>IF(NOMENCLATURE_GEN!H24="","",NOMENCLATURE_GEN!H24)</f>
        <v/>
      </c>
      <c r="I24" s="26" t="str">
        <f>IF(NOMENCLATURE_GEN!I24="","",NOMENCLATURE_GEN!I24)</f>
        <v/>
      </c>
      <c r="J24" s="56" t="str">
        <f>IF(NOMENCLATURE_GEN!J24="","",NOMENCLATURE_GEN!J24)</f>
        <v/>
      </c>
      <c r="K24" s="158">
        <f>IFERROR(VLOOKUP(F24,données!$B$4:$K$30,9,FALSE),0)</f>
        <v>0</v>
      </c>
      <c r="L24" s="13"/>
      <c r="M24" s="159">
        <f>IFERROR((I24*2-VLOOKUP(F24,données!$B$4:$I$30,4,FALSE)+VLOOKUP(F24,données!$B$4:$I$30,5,FALSE)*NOMENCLATURE_GEN!O24+IF(OR(NOMENCLATURE_GEN!P24="",NOMENCLATURE_GEN!P24=0),0,2250)+0.3*H24+750)*2*K24,0)</f>
        <v>0</v>
      </c>
      <c r="N24" s="164">
        <f t="shared" si="1"/>
        <v>0</v>
      </c>
      <c r="O24" s="49"/>
      <c r="P24" s="49"/>
      <c r="Q24" s="49"/>
      <c r="R24" s="49"/>
      <c r="U24" s="59"/>
      <c r="V24" s="59"/>
    </row>
    <row r="25" spans="1:22" s="8" customFormat="1" ht="39.950000000000003" customHeight="1">
      <c r="A25" s="3"/>
      <c r="B25" s="25" t="str">
        <f>IF(NOMENCLATURE_GEN!B25="","",NOMENCLATURE_GEN!B25)</f>
        <v/>
      </c>
      <c r="C25" s="243" t="str">
        <f>IF(NOMENCLATURE_GEN!C25="","",NOMENCLATURE_GEN!C25)</f>
        <v/>
      </c>
      <c r="D25" s="4">
        <f>IF(NOMENCLATURE_GEN!D25="","",NOMENCLATURE_GEN!D25)</f>
        <v>115</v>
      </c>
      <c r="E25" s="4" t="str">
        <f ca="1">IF(NOMENCLATURE_GEN!E25="","",NOMENCLATURE_GEN!E25)</f>
        <v>A</v>
      </c>
      <c r="F25" s="4" t="str">
        <f>IF(NOMENCLATURE_GEN!F25="","",NOMENCLATURE_GEN!F25)</f>
        <v>EAB</v>
      </c>
      <c r="G25" s="154" t="str">
        <f>IF(NOMENCLATURE_GEN!G25="","",NOMENCLATURE_GEN!G25)</f>
        <v>Convoyeur de reprise de la fraction 0-180mm et transfert vers trommel</v>
      </c>
      <c r="H25" s="26">
        <f>IF(NOMENCLATURE_GEN!H25="","",NOMENCLATURE_GEN!H25)</f>
        <v>1400</v>
      </c>
      <c r="I25" s="26">
        <f>IF(NOMENCLATURE_GEN!I25="","",NOMENCLATURE_GEN!I25)</f>
        <v>18400</v>
      </c>
      <c r="J25" s="56">
        <f>IF(NOMENCLATURE_GEN!J25="","",NOMENCLATURE_GEN!J25)</f>
        <v>35</v>
      </c>
      <c r="K25" s="158">
        <f>IFERROR(VLOOKUP(F25,données!$B$4:$K$30,9,FALSE),0)</f>
        <v>1</v>
      </c>
      <c r="L25" s="13" t="s">
        <v>306</v>
      </c>
      <c r="M25" s="159">
        <f>IFERROR((I25*2-VLOOKUP(F25,données!$B$4:$I$30,4,FALSE)+VLOOKUP(F25,données!$B$4:$I$30,5,FALSE)*NOMENCLATURE_GEN!O25+IF(OR(NOMENCLATURE_GEN!P25="",NOMENCLATURE_GEN!P25=0),0,2250)+0.3*H25+750)*2*K25,0)</f>
        <v>84020</v>
      </c>
      <c r="N25" s="164">
        <f t="shared" si="1"/>
        <v>30</v>
      </c>
      <c r="O25" s="49"/>
      <c r="P25" s="49"/>
      <c r="Q25" s="49"/>
      <c r="R25" s="49"/>
      <c r="T25"/>
      <c r="U25" s="59"/>
      <c r="V25" s="59"/>
    </row>
    <row r="26" spans="1:22" s="8" customFormat="1" ht="39.950000000000003" hidden="1" customHeight="1">
      <c r="A26" s="3"/>
      <c r="B26" s="25" t="str">
        <f>IF(NOMENCLATURE_GEN!B26="","",NOMENCLATURE_GEN!B26)</f>
        <v/>
      </c>
      <c r="C26" s="243" t="str">
        <f>IF(NOMENCLATURE_GEN!C26="","",NOMENCLATURE_GEN!C26)</f>
        <v/>
      </c>
      <c r="D26" s="4">
        <f>IF(NOMENCLATURE_GEN!D26="","",NOMENCLATURE_GEN!D26)</f>
        <v>115</v>
      </c>
      <c r="E26" s="4" t="str">
        <f ca="1">IF(NOMENCLATURE_GEN!E26="","",NOMENCLATURE_GEN!E26)</f>
        <v>B</v>
      </c>
      <c r="F26" s="4" t="str">
        <f>IF(NOMENCLATURE_GEN!F26="","",NOMENCLATURE_GEN!F26)</f>
        <v>GRA</v>
      </c>
      <c r="G26" s="154" t="str">
        <f>IF(NOMENCLATURE_GEN!G26="","",NOMENCLATURE_GEN!G26)</f>
        <v>Convoyeur à bande et chaines - Centrale de graissage</v>
      </c>
      <c r="H26" s="26" t="str">
        <f>IF(NOMENCLATURE_GEN!H26="","",NOMENCLATURE_GEN!H26)</f>
        <v/>
      </c>
      <c r="I26" s="26" t="str">
        <f>IF(NOMENCLATURE_GEN!I26="","",NOMENCLATURE_GEN!I26)</f>
        <v/>
      </c>
      <c r="J26" s="56" t="str">
        <f>IF(NOMENCLATURE_GEN!J26="","",NOMENCLATURE_GEN!J26)</f>
        <v/>
      </c>
      <c r="K26" s="158">
        <f>IFERROR(VLOOKUP(F26,données!$B$4:$K$30,9,FALSE),0)</f>
        <v>0</v>
      </c>
      <c r="L26" s="13"/>
      <c r="M26" s="159">
        <f>IFERROR((I26*2-VLOOKUP(F26,données!$B$4:$I$30,4,FALSE)+VLOOKUP(F26,données!$B$4:$I$30,5,FALSE)*NOMENCLATURE_GEN!O26+IF(OR(NOMENCLATURE_GEN!P26="",NOMENCLATURE_GEN!P26=0),0,2250)+0.3*H26+750)*2*K26,0)</f>
        <v>0</v>
      </c>
      <c r="N26" s="164">
        <f t="shared" si="1"/>
        <v>0</v>
      </c>
      <c r="O26" s="49"/>
      <c r="P26" s="49"/>
      <c r="Q26" s="49"/>
      <c r="R26" s="49"/>
      <c r="T26"/>
      <c r="U26" s="59"/>
      <c r="V26" s="59"/>
    </row>
    <row r="27" spans="1:22" s="8" customFormat="1" ht="39.950000000000003" hidden="1" customHeight="1">
      <c r="A27" s="3"/>
      <c r="B27" s="25" t="str">
        <f>IF(NOMENCLATURE_GEN!B27="","",NOMENCLATURE_GEN!B27)</f>
        <v/>
      </c>
      <c r="C27" s="243" t="str">
        <f>IF(NOMENCLATURE_GEN!C27="","",NOMENCLATURE_GEN!C27)</f>
        <v/>
      </c>
      <c r="D27" s="4">
        <f>IF(NOMENCLATURE_GEN!D27="","",NOMENCLATURE_GEN!D27)</f>
        <v>116</v>
      </c>
      <c r="E27" s="4" t="str">
        <f ca="1">IF(NOMENCLATURE_GEN!E27="","",NOMENCLATURE_GEN!E27)</f>
        <v>A</v>
      </c>
      <c r="F27" s="4" t="str">
        <f>IF(NOMENCLATURE_GEN!F27="","",NOMENCLATURE_GEN!F27)</f>
        <v>TRO</v>
      </c>
      <c r="G27" s="154" t="str">
        <f>IF(NOMENCLATURE_GEN!G27="","",NOMENCLATURE_GEN!G27)</f>
        <v>Trommel secondaire, maille Ø30mm, avec pales de brassage</v>
      </c>
      <c r="H27" s="26">
        <f>IF(NOMENCLATURE_GEN!H27="","",NOMENCLATURE_GEN!H27)</f>
        <v>2500</v>
      </c>
      <c r="I27" s="26">
        <f>IF(NOMENCLATURE_GEN!I27="","",NOMENCLATURE_GEN!I27)</f>
        <v>6000</v>
      </c>
      <c r="J27" s="56">
        <f>IF(NOMENCLATURE_GEN!J27="","",NOMENCLATURE_GEN!J27)</f>
        <v>3</v>
      </c>
      <c r="K27" s="158">
        <f>IFERROR(VLOOKUP(F27,données!$B$4:$K$30,9,FALSE),0)</f>
        <v>0</v>
      </c>
      <c r="L27" s="13"/>
      <c r="M27" s="159">
        <f>IFERROR((I27*2-VLOOKUP(F27,données!$B$4:$I$30,4,FALSE)+VLOOKUP(F27,données!$B$4:$I$30,5,FALSE)*NOMENCLATURE_GEN!O27+IF(OR(NOMENCLATURE_GEN!P27="",NOMENCLATURE_GEN!P27=0),0,2250)+0.3*H27+750)*2*K27,0)</f>
        <v>0</v>
      </c>
      <c r="N27" s="164">
        <f t="shared" si="1"/>
        <v>0</v>
      </c>
      <c r="O27" s="49"/>
      <c r="P27" s="49"/>
      <c r="Q27" s="49"/>
      <c r="R27" s="49"/>
      <c r="T27"/>
      <c r="U27" s="59"/>
      <c r="V27" s="59"/>
    </row>
    <row r="28" spans="1:22" s="8" customFormat="1" ht="39.950000000000003" hidden="1" customHeight="1">
      <c r="A28" s="3"/>
      <c r="B28" s="25" t="str">
        <f>IF(NOMENCLATURE_GEN!B28="","",NOMENCLATURE_GEN!B28)</f>
        <v/>
      </c>
      <c r="C28" s="243" t="str">
        <f>IF(NOMENCLATURE_GEN!C28="","",NOMENCLATURE_GEN!C28)</f>
        <v/>
      </c>
      <c r="D28" s="4">
        <f>IF(NOMENCLATURE_GEN!D28="","",NOMENCLATURE_GEN!D28)</f>
        <v>117</v>
      </c>
      <c r="E28" s="4" t="str">
        <f ca="1">IF(NOMENCLATURE_GEN!E28="","",NOMENCLATURE_GEN!E28)</f>
        <v>A</v>
      </c>
      <c r="F28" s="4" t="str">
        <f>IF(NOMENCLATURE_GEN!F28="","",NOMENCLATURE_GEN!F28)</f>
        <v>NET</v>
      </c>
      <c r="G28" s="154" t="str">
        <f>IF(NOMENCLATURE_GEN!G28="","",NOMENCLATURE_GEN!G28)</f>
        <v>Nettoyage pneumatique haute pression maille Ø30mm</v>
      </c>
      <c r="H28" s="26" t="str">
        <f>IF(NOMENCLATURE_GEN!H28="","",NOMENCLATURE_GEN!H28)</f>
        <v/>
      </c>
      <c r="I28" s="26" t="str">
        <f>IF(NOMENCLATURE_GEN!I28="","",NOMENCLATURE_GEN!I28)</f>
        <v/>
      </c>
      <c r="J28" s="56" t="str">
        <f>IF(NOMENCLATURE_GEN!J28="","",NOMENCLATURE_GEN!J28)</f>
        <v/>
      </c>
      <c r="K28" s="158">
        <f>IFERROR(VLOOKUP(F28,données!$B$4:$K$30,9,FALSE),0)</f>
        <v>0</v>
      </c>
      <c r="L28" s="13"/>
      <c r="M28" s="159">
        <f>IFERROR((I28*2-VLOOKUP(F28,données!$B$4:$I$30,4,FALSE)+VLOOKUP(F28,données!$B$4:$I$30,5,FALSE)*NOMENCLATURE_GEN!O28+IF(OR(NOMENCLATURE_GEN!P28="",NOMENCLATURE_GEN!P28=0),0,2250)+0.3*H28+750)*2*K28,0)</f>
        <v>0</v>
      </c>
      <c r="N28" s="164">
        <f t="shared" si="1"/>
        <v>0</v>
      </c>
      <c r="O28" s="49"/>
      <c r="P28" s="49"/>
      <c r="Q28" s="49"/>
      <c r="R28" s="49"/>
      <c r="T28"/>
      <c r="U28"/>
      <c r="V28"/>
    </row>
    <row r="29" spans="1:22" s="8" customFormat="1" ht="39.950000000000003" hidden="1" customHeight="1">
      <c r="A29" s="3"/>
      <c r="B29" s="25" t="str">
        <f>IF(NOMENCLATURE_GEN!B29="","",NOMENCLATURE_GEN!B29)</f>
        <v/>
      </c>
      <c r="C29" s="243" t="str">
        <f>IF(NOMENCLATURE_GEN!C29="","",NOMENCLATURE_GEN!C29)</f>
        <v/>
      </c>
      <c r="D29" s="4">
        <f>IF(NOMENCLATURE_GEN!D29="","",NOMENCLATURE_GEN!D29)</f>
        <v>118</v>
      </c>
      <c r="E29" s="4" t="str">
        <f ca="1">IF(NOMENCLATURE_GEN!E29="","",NOMENCLATURE_GEN!E29)</f>
        <v>A</v>
      </c>
      <c r="F29" s="4" t="str">
        <f>IF(NOMENCLATURE_GEN!F29="","",NOMENCLATURE_GEN!F29)</f>
        <v>CBA</v>
      </c>
      <c r="G29" s="154" t="str">
        <f>IF(NOMENCLATURE_GEN!G29="","",NOMENCLATURE_GEN!G29)</f>
        <v xml:space="preserve">Convoyeur de reprise de la fraction 30-180mm avec tête inox + zone inox </v>
      </c>
      <c r="H29" s="26">
        <f>IF(NOMENCLATURE_GEN!H29="","",NOMENCLATURE_GEN!H29)</f>
        <v>1200</v>
      </c>
      <c r="I29" s="26">
        <f>IF(NOMENCLATURE_GEN!I29="","",NOMENCLATURE_GEN!I29)</f>
        <v>9000</v>
      </c>
      <c r="J29" s="56">
        <f>IF(NOMENCLATURE_GEN!J29="","",NOMENCLATURE_GEN!J29)</f>
        <v>5</v>
      </c>
      <c r="K29" s="158">
        <f>IFERROR(VLOOKUP(F29,données!$B$4:$K$30,9,FALSE),0)</f>
        <v>0</v>
      </c>
      <c r="L29" s="13"/>
      <c r="M29" s="159">
        <f>IFERROR((I29*2-VLOOKUP(F29,données!$B$4:$I$30,4,FALSE)+VLOOKUP(F29,données!$B$4:$I$30,5,FALSE)*NOMENCLATURE_GEN!O29+IF(OR(NOMENCLATURE_GEN!P29="",NOMENCLATURE_GEN!P29=0),0,2250)+0.3*H29+750)*2*K29,0)</f>
        <v>0</v>
      </c>
      <c r="N29" s="164">
        <f t="shared" si="1"/>
        <v>0</v>
      </c>
      <c r="O29" s="49"/>
      <c r="P29" s="49"/>
      <c r="Q29" s="49"/>
      <c r="R29" s="49"/>
      <c r="U29"/>
      <c r="V29"/>
    </row>
    <row r="30" spans="1:22" s="8" customFormat="1" ht="39.950000000000003" hidden="1" customHeight="1">
      <c r="A30" s="3"/>
      <c r="B30" s="25" t="str">
        <f>IF(NOMENCLATURE_GEN!B30="","",NOMENCLATURE_GEN!B30)</f>
        <v/>
      </c>
      <c r="C30" s="243" t="str">
        <f>IF(NOMENCLATURE_GEN!C30="","",NOMENCLATURE_GEN!C30)</f>
        <v/>
      </c>
      <c r="D30" s="4">
        <f>IF(NOMENCLATURE_GEN!D30="","",NOMENCLATURE_GEN!D30)</f>
        <v>119</v>
      </c>
      <c r="E30" s="4" t="str">
        <f ca="1">IF(NOMENCLATURE_GEN!E30="","",NOMENCLATURE_GEN!E30)</f>
        <v>A</v>
      </c>
      <c r="F30" s="4" t="str">
        <f>IF(NOMENCLATURE_GEN!F30="","",NOMENCLATURE_GEN!F30)</f>
        <v>OVB</v>
      </c>
      <c r="G30" s="154" t="str">
        <f>IF(NOMENCLATURE_GEN!G30="","",NOMENCLATURE_GEN!G30)</f>
        <v>Séparateur magnétique à aimant permament</v>
      </c>
      <c r="H30" s="26">
        <f>IF(NOMENCLATURE_GEN!H30="","",NOMENCLATURE_GEN!H30)</f>
        <v>1200</v>
      </c>
      <c r="I30" s="26">
        <f>IF(NOMENCLATURE_GEN!I30="","",NOMENCLATURE_GEN!I30)</f>
        <v>1200</v>
      </c>
      <c r="J30" s="56" t="str">
        <f>IF(NOMENCLATURE_GEN!J30="","",NOMENCLATURE_GEN!J30)</f>
        <v/>
      </c>
      <c r="K30" s="158">
        <f>IFERROR(VLOOKUP(F30,données!$B$4:$K$30,9,FALSE),0)</f>
        <v>0</v>
      </c>
      <c r="L30" s="13"/>
      <c r="M30" s="159">
        <f>IFERROR((I30*2-VLOOKUP(F30,données!$B$4:$I$30,4,FALSE)+VLOOKUP(F30,données!$B$4:$I$30,5,FALSE)*NOMENCLATURE_GEN!O30+IF(OR(NOMENCLATURE_GEN!P30="",NOMENCLATURE_GEN!P30=0),0,2250)+0.3*H30+750)*2*K30,0)</f>
        <v>0</v>
      </c>
      <c r="N30" s="164">
        <f t="shared" si="1"/>
        <v>0</v>
      </c>
      <c r="O30" s="49"/>
      <c r="P30" s="49"/>
      <c r="Q30" s="49"/>
      <c r="R30" s="49"/>
      <c r="U30"/>
      <c r="V30"/>
    </row>
    <row r="31" spans="1:22" s="8" customFormat="1" ht="39.950000000000003" hidden="1" customHeight="1">
      <c r="A31" s="3"/>
      <c r="B31" s="25" t="str">
        <f>IF(NOMENCLATURE_GEN!B31="","",NOMENCLATURE_GEN!B31)</f>
        <v/>
      </c>
      <c r="C31" s="243" t="str">
        <f>IF(NOMENCLATURE_GEN!C31="","",NOMENCLATURE_GEN!C31)</f>
        <v/>
      </c>
      <c r="D31" s="4">
        <f>IF(NOMENCLATURE_GEN!D31="","",NOMENCLATURE_GEN!D31)</f>
        <v>120</v>
      </c>
      <c r="E31" s="4" t="str">
        <f ca="1">IF(NOMENCLATURE_GEN!E31="","",NOMENCLATURE_GEN!E31)</f>
        <v>A</v>
      </c>
      <c r="F31" s="4" t="str">
        <f>IF(NOMENCLATURE_GEN!F31="","",NOMENCLATURE_GEN!F31)</f>
        <v>PMP</v>
      </c>
      <c r="G31" s="154" t="str">
        <f>IF(NOMENCLATURE_GEN!G31="","",NOMENCLATURE_GEN!G31)</f>
        <v>Poulie magnétique</v>
      </c>
      <c r="H31" s="26">
        <f>IF(NOMENCLATURE_GEN!H31="","",NOMENCLATURE_GEN!H31)</f>
        <v>1200</v>
      </c>
      <c r="I31" s="26" t="str">
        <f>IF(NOMENCLATURE_GEN!I31="","",NOMENCLATURE_GEN!I31)</f>
        <v/>
      </c>
      <c r="J31" s="56" t="str">
        <f>IF(NOMENCLATURE_GEN!J31="","",NOMENCLATURE_GEN!J31)</f>
        <v/>
      </c>
      <c r="K31" s="158">
        <f>IFERROR(VLOOKUP(F31,données!$B$4:$K$30,9,FALSE),0)</f>
        <v>0</v>
      </c>
      <c r="L31" s="13"/>
      <c r="M31" s="159">
        <f>IFERROR((I31*2-VLOOKUP(F31,données!$B$4:$I$30,4,FALSE)+VLOOKUP(F31,données!$B$4:$I$30,5,FALSE)*NOMENCLATURE_GEN!O31+IF(OR(NOMENCLATURE_GEN!P31="",NOMENCLATURE_GEN!P31=0),0,2250)+0.3*H31+750)*2*K31,0)</f>
        <v>0</v>
      </c>
      <c r="N31" s="164">
        <f t="shared" si="1"/>
        <v>0</v>
      </c>
      <c r="O31" s="49"/>
      <c r="P31" s="49"/>
      <c r="Q31" s="49"/>
      <c r="R31" s="49"/>
      <c r="U31"/>
      <c r="V31"/>
    </row>
    <row r="32" spans="1:22" s="8" customFormat="1" ht="39.950000000000003" hidden="1" customHeight="1">
      <c r="A32" s="3"/>
      <c r="B32" s="25" t="str">
        <f>IF(NOMENCLATURE_GEN!B32="","",NOMENCLATURE_GEN!B32)</f>
        <v/>
      </c>
      <c r="C32" s="243" t="str">
        <f>IF(NOMENCLATURE_GEN!C32="","",NOMENCLATURE_GEN!C32)</f>
        <v/>
      </c>
      <c r="D32" s="4">
        <f>IF(NOMENCLATURE_GEN!D32="","",NOMENCLATURE_GEN!D32)</f>
        <v>121</v>
      </c>
      <c r="E32" s="4" t="str">
        <f ca="1">IF(NOMENCLATURE_GEN!E32="","",NOMENCLATURE_GEN!E32)</f>
        <v>A</v>
      </c>
      <c r="F32" s="4" t="str">
        <f>IF(NOMENCLATURE_GEN!F32="","",NOMENCLATURE_GEN!F32)</f>
        <v>SNF</v>
      </c>
      <c r="G32" s="154" t="str">
        <f>IF(NOMENCLATURE_GEN!G32="","",NOMENCLATURE_GEN!G32)</f>
        <v>Séparateur de non ferreux EDX - ROUE POLAIRE</v>
      </c>
      <c r="H32" s="26">
        <f>IF(NOMENCLATURE_GEN!H32="","",NOMENCLATURE_GEN!H32)</f>
        <v>1200</v>
      </c>
      <c r="I32" s="26">
        <f>IF(NOMENCLATURE_GEN!I32="","",NOMENCLATURE_GEN!I32)</f>
        <v>2500</v>
      </c>
      <c r="J32" s="56" t="str">
        <f>IF(NOMENCLATURE_GEN!J32="","",NOMENCLATURE_GEN!J32)</f>
        <v/>
      </c>
      <c r="K32" s="158">
        <f>IFERROR(VLOOKUP(F32,données!$B$4:$K$30,9,FALSE),0)</f>
        <v>0</v>
      </c>
      <c r="L32" s="13"/>
      <c r="M32" s="159">
        <f>IFERROR((I32*2-VLOOKUP(F32,données!$B$4:$I$30,4,FALSE)+VLOOKUP(F32,données!$B$4:$I$30,5,FALSE)*NOMENCLATURE_GEN!O32+IF(OR(NOMENCLATURE_GEN!P32="",NOMENCLATURE_GEN!P32=0),0,2250)+0.3*H32+750)*2*K32,0)</f>
        <v>0</v>
      </c>
      <c r="N32" s="164">
        <f t="shared" si="1"/>
        <v>0</v>
      </c>
      <c r="O32" s="49"/>
      <c r="P32" s="49"/>
      <c r="Q32" s="49"/>
      <c r="R32" s="49"/>
      <c r="U32"/>
      <c r="V32"/>
    </row>
    <row r="33" spans="1:22" s="8" customFormat="1" ht="39.950000000000003" hidden="1" customHeight="1">
      <c r="A33" s="3"/>
      <c r="B33" s="25" t="str">
        <f>IF(NOMENCLATURE_GEN!B33="","",NOMENCLATURE_GEN!B33)</f>
        <v/>
      </c>
      <c r="C33" s="243" t="str">
        <f>IF(NOMENCLATURE_GEN!C33="","",NOMENCLATURE_GEN!C33)</f>
        <v/>
      </c>
      <c r="D33" s="4">
        <f>IF(NOMENCLATURE_GEN!D33="","",NOMENCLATURE_GEN!D33)</f>
        <v>121</v>
      </c>
      <c r="E33" s="4" t="str">
        <f ca="1">IF(NOMENCLATURE_GEN!E33="","",NOMENCLATURE_GEN!E33)</f>
        <v>B</v>
      </c>
      <c r="F33" s="4" t="str">
        <f>IF(NOMENCLATURE_GEN!F33="","",NOMENCLATURE_GEN!F33)</f>
        <v>SNF</v>
      </c>
      <c r="G33" s="154" t="str">
        <f>IF(NOMENCLATURE_GEN!G33="","",NOMENCLATURE_GEN!G33)</f>
        <v>Séparateur de non ferreux EDX - CONVOYEUR</v>
      </c>
      <c r="H33" s="26" t="str">
        <f>IF(NOMENCLATURE_GEN!H33="","",NOMENCLATURE_GEN!H33)</f>
        <v/>
      </c>
      <c r="I33" s="26" t="str">
        <f>IF(NOMENCLATURE_GEN!I33="","",NOMENCLATURE_GEN!I33)</f>
        <v/>
      </c>
      <c r="J33" s="56" t="str">
        <f>IF(NOMENCLATURE_GEN!J33="","",NOMENCLATURE_GEN!J33)</f>
        <v/>
      </c>
      <c r="K33" s="158">
        <f>IFERROR(VLOOKUP(F33,données!$B$4:$K$30,9,FALSE),0)</f>
        <v>0</v>
      </c>
      <c r="L33" s="13"/>
      <c r="M33" s="159">
        <f>IFERROR((I33*2-VLOOKUP(F33,données!$B$4:$I$30,4,FALSE)+VLOOKUP(F33,données!$B$4:$I$30,5,FALSE)*NOMENCLATURE_GEN!O33+IF(OR(NOMENCLATURE_GEN!P33="",NOMENCLATURE_GEN!P33=0),0,2250)+0.3*H33+750)*2*K33,0)</f>
        <v>0</v>
      </c>
      <c r="N33" s="164">
        <f t="shared" si="1"/>
        <v>0</v>
      </c>
      <c r="O33" s="49"/>
      <c r="P33" s="49"/>
      <c r="Q33" s="49"/>
      <c r="R33" s="49"/>
      <c r="U33"/>
      <c r="V33"/>
    </row>
    <row r="34" spans="1:22" s="8" customFormat="1" ht="39.950000000000003" hidden="1" customHeight="1">
      <c r="A34" s="3"/>
      <c r="B34" s="25" t="str">
        <f>IF(NOMENCLATURE_GEN!B34="","",NOMENCLATURE_GEN!B34)</f>
        <v/>
      </c>
      <c r="C34" s="243" t="str">
        <f>IF(NOMENCLATURE_GEN!C34="","",NOMENCLATURE_GEN!C34)</f>
        <v/>
      </c>
      <c r="D34" s="4">
        <f>IF(NOMENCLATURE_GEN!D34="","",NOMENCLATURE_GEN!D34)</f>
        <v>122</v>
      </c>
      <c r="E34" s="4" t="str">
        <f ca="1">IF(NOMENCLATURE_GEN!E34="","",NOMENCLATURE_GEN!E34)</f>
        <v>A</v>
      </c>
      <c r="F34" s="4" t="str">
        <f>IF(NOMENCLATURE_GEN!F34="","",NOMENCLATURE_GEN!F34)</f>
        <v>TBE</v>
      </c>
      <c r="G34" s="154" t="str">
        <f>IF(NOMENCLATURE_GEN!G34="","",NOMENCLATURE_GEN!G34)</f>
        <v>Convoyeur de reprise des non ferreux</v>
      </c>
      <c r="H34" s="26">
        <f>IF(NOMENCLATURE_GEN!H34="","",NOMENCLATURE_GEN!H34)</f>
        <v>600</v>
      </c>
      <c r="I34" s="26">
        <f>IF(NOMENCLATURE_GEN!I34="","",NOMENCLATURE_GEN!I34)</f>
        <v>3000</v>
      </c>
      <c r="J34" s="56">
        <f>IF(NOMENCLATURE_GEN!J34="","",NOMENCLATURE_GEN!J34)</f>
        <v>0</v>
      </c>
      <c r="K34" s="158">
        <f>IFERROR(VLOOKUP(F34,données!$B$4:$K$30,9,FALSE),0)</f>
        <v>0</v>
      </c>
      <c r="L34" s="13"/>
      <c r="M34" s="159">
        <f>IFERROR((I34*2-VLOOKUP(F34,données!$B$4:$I$30,4,FALSE)+VLOOKUP(F34,données!$B$4:$I$30,5,FALSE)*NOMENCLATURE_GEN!O34+IF(OR(NOMENCLATURE_GEN!P34="",NOMENCLATURE_GEN!P34=0),0,2250)+0.3*H34+750)*2*K34,0)</f>
        <v>0</v>
      </c>
      <c r="N34" s="164">
        <f t="shared" si="1"/>
        <v>0</v>
      </c>
      <c r="O34" s="49"/>
      <c r="P34" s="49"/>
      <c r="Q34" s="49"/>
      <c r="R34" s="49"/>
      <c r="U34"/>
      <c r="V34"/>
    </row>
    <row r="35" spans="1:22" s="8" customFormat="1" ht="39.950000000000003" hidden="1" customHeight="1">
      <c r="A35" s="3"/>
      <c r="B35" s="25" t="str">
        <f>IF(NOMENCLATURE_GEN!B35="","",NOMENCLATURE_GEN!B35)</f>
        <v/>
      </c>
      <c r="C35" s="243" t="str">
        <f>IF(NOMENCLATURE_GEN!C35="","",NOMENCLATURE_GEN!C35)</f>
        <v/>
      </c>
      <c r="D35" s="4">
        <f>IF(NOMENCLATURE_GEN!D35="","",NOMENCLATURE_GEN!D35)</f>
        <v>123</v>
      </c>
      <c r="E35" s="4" t="str">
        <f ca="1">IF(NOMENCLATURE_GEN!E35="","",NOMENCLATURE_GEN!E35)</f>
        <v>A</v>
      </c>
      <c r="F35" s="4" t="str">
        <f>IF(NOMENCLATURE_GEN!F35="","",NOMENCLATURE_GEN!F35)</f>
        <v>TBE</v>
      </c>
      <c r="G35" s="154" t="str">
        <f>IF(NOMENCLATURE_GEN!G35="","",NOMENCLATURE_GEN!G35)</f>
        <v>Convoyeur de centralisation des non ferreux et transfert vers benne</v>
      </c>
      <c r="H35" s="26">
        <f>IF(NOMENCLATURE_GEN!H35="","",NOMENCLATURE_GEN!H35)</f>
        <v>800</v>
      </c>
      <c r="I35" s="26">
        <f>IF(NOMENCLATURE_GEN!I35="","",NOMENCLATURE_GEN!I35)</f>
        <v>10000</v>
      </c>
      <c r="J35" s="56">
        <f>IF(NOMENCLATURE_GEN!J35="","",NOMENCLATURE_GEN!J35)</f>
        <v>20</v>
      </c>
      <c r="K35" s="158">
        <f>IFERROR(VLOOKUP(F35,données!$B$4:$K$30,9,FALSE),0)</f>
        <v>0</v>
      </c>
      <c r="L35" s="13"/>
      <c r="M35" s="159">
        <f>IFERROR((I35*2-VLOOKUP(F35,données!$B$4:$I$30,4,FALSE)+VLOOKUP(F35,données!$B$4:$I$30,5,FALSE)*NOMENCLATURE_GEN!O35+IF(OR(NOMENCLATURE_GEN!P35="",NOMENCLATURE_GEN!P35=0),0,2250)+0.3*H35+750)*2*K35,0)</f>
        <v>0</v>
      </c>
      <c r="N35" s="164">
        <f t="shared" si="1"/>
        <v>0</v>
      </c>
      <c r="O35" s="49"/>
      <c r="P35" s="49"/>
      <c r="Q35" s="49"/>
      <c r="R35" s="49"/>
      <c r="U35"/>
      <c r="V35"/>
    </row>
    <row r="36" spans="1:22" s="8" customFormat="1" ht="39.950000000000003" hidden="1" customHeight="1">
      <c r="A36" s="3"/>
      <c r="B36" s="25" t="str">
        <f>IF(NOMENCLATURE_GEN!B36="","",NOMENCLATURE_GEN!B36)</f>
        <v/>
      </c>
      <c r="C36" s="243" t="str">
        <f>IF(NOMENCLATURE_GEN!C36="","",NOMENCLATURE_GEN!C36)</f>
        <v/>
      </c>
      <c r="D36" s="4">
        <f>IF(NOMENCLATURE_GEN!D36="","",NOMENCLATURE_GEN!D36)</f>
        <v>124</v>
      </c>
      <c r="E36" s="4" t="str">
        <f ca="1">IF(NOMENCLATURE_GEN!E36="","",NOMENCLATURE_GEN!E36)</f>
        <v>A</v>
      </c>
      <c r="F36" s="4" t="str">
        <f>IF(NOMENCLATURE_GEN!F36="","",NOMENCLATURE_GEN!F36)</f>
        <v>TBE</v>
      </c>
      <c r="G36" s="154" t="str">
        <f>IF(NOMENCLATURE_GEN!G36="","",NOMENCLATURE_GEN!G36)</f>
        <v>Convoyeur navette double sens de remplissage de la benne</v>
      </c>
      <c r="H36" s="26">
        <f>IF(NOMENCLATURE_GEN!H36="","",NOMENCLATURE_GEN!H36)</f>
        <v>800</v>
      </c>
      <c r="I36" s="26">
        <f>IF(NOMENCLATURE_GEN!I36="","",NOMENCLATURE_GEN!I36)</f>
        <v>3000</v>
      </c>
      <c r="J36" s="56">
        <f>IF(NOMENCLATURE_GEN!J36="","",NOMENCLATURE_GEN!J36)</f>
        <v>0</v>
      </c>
      <c r="K36" s="158">
        <f>IFERROR(VLOOKUP(F36,données!$B$4:$K$30,9,FALSE),0)</f>
        <v>0</v>
      </c>
      <c r="L36" s="13"/>
      <c r="M36" s="159">
        <f>IFERROR((I36*2-VLOOKUP(F36,données!$B$4:$I$30,4,FALSE)+VLOOKUP(F36,données!$B$4:$I$30,5,FALSE)*NOMENCLATURE_GEN!O36+IF(OR(NOMENCLATURE_GEN!P36="",NOMENCLATURE_GEN!P36=0),0,2250)+0.3*H36+750)*2*K36,0)</f>
        <v>0</v>
      </c>
      <c r="N36" s="164">
        <f t="shared" si="1"/>
        <v>0</v>
      </c>
      <c r="O36" s="49"/>
      <c r="P36" s="49"/>
      <c r="Q36" s="49"/>
      <c r="R36" s="49"/>
      <c r="U36"/>
      <c r="V36"/>
    </row>
    <row r="37" spans="1:22" s="8" customFormat="1" ht="39.950000000000003" hidden="1" customHeight="1">
      <c r="A37" s="3"/>
      <c r="B37" s="25" t="str">
        <f>IF(NOMENCLATURE_GEN!B37="","",NOMENCLATURE_GEN!B37)</f>
        <v/>
      </c>
      <c r="C37" s="243" t="str">
        <f>IF(NOMENCLATURE_GEN!C37="","",NOMENCLATURE_GEN!C37)</f>
        <v/>
      </c>
      <c r="D37" s="4">
        <f>IF(NOMENCLATURE_GEN!D37="","",NOMENCLATURE_GEN!D37)</f>
        <v>125</v>
      </c>
      <c r="E37" s="4" t="str">
        <f ca="1">IF(NOMENCLATURE_GEN!E37="","",NOMENCLATURE_GEN!E37)</f>
        <v>A</v>
      </c>
      <c r="F37" s="4" t="str">
        <f>IF(NOMENCLATURE_GEN!F37="","",NOMENCLATURE_GEN!F37)</f>
        <v>CBA</v>
      </c>
      <c r="G37" s="154" t="str">
        <f>IF(NOMENCLATURE_GEN!G37="","",NOMENCLATURE_GEN!G37)</f>
        <v>Convoyeur de reprise des refus 30-180mm sous snf</v>
      </c>
      <c r="H37" s="26">
        <f>IF(NOMENCLATURE_GEN!H37="","",NOMENCLATURE_GEN!H37)</f>
        <v>1000</v>
      </c>
      <c r="I37" s="26">
        <f>IF(NOMENCLATURE_GEN!I37="","",NOMENCLATURE_GEN!I37)</f>
        <v>7500</v>
      </c>
      <c r="J37" s="56">
        <f>IF(NOMENCLATURE_GEN!J37="","",NOMENCLATURE_GEN!J37)</f>
        <v>14</v>
      </c>
      <c r="K37" s="158">
        <f>IFERROR(VLOOKUP(F37,données!$B$4:$K$30,9,FALSE),0)</f>
        <v>0</v>
      </c>
      <c r="L37" s="13"/>
      <c r="M37" s="159">
        <f>IFERROR((I37*2-VLOOKUP(F37,données!$B$4:$I$30,4,FALSE)+VLOOKUP(F37,données!$B$4:$I$30,5,FALSE)*NOMENCLATURE_GEN!O37+IF(OR(NOMENCLATURE_GEN!P37="",NOMENCLATURE_GEN!P37=0),0,2250)+0.3*H37+750)*2*K37,0)</f>
        <v>0</v>
      </c>
      <c r="N37" s="164">
        <f t="shared" si="1"/>
        <v>0</v>
      </c>
      <c r="O37" s="49"/>
      <c r="P37" s="49"/>
      <c r="Q37" s="49"/>
      <c r="R37" s="49"/>
    </row>
    <row r="38" spans="1:22" s="8" customFormat="1" ht="39.950000000000003" hidden="1" customHeight="1">
      <c r="A38" s="3"/>
      <c r="B38" s="25" t="str">
        <f>IF(NOMENCLATURE_GEN!B38="","",NOMENCLATURE_GEN!B38)</f>
        <v/>
      </c>
      <c r="C38" s="243" t="str">
        <f>IF(NOMENCLATURE_GEN!C38="","",NOMENCLATURE_GEN!C38)</f>
        <v/>
      </c>
      <c r="D38" s="4">
        <f>IF(NOMENCLATURE_GEN!D38="","",NOMENCLATURE_GEN!D38)</f>
        <v>126</v>
      </c>
      <c r="E38" s="4" t="str">
        <f ca="1">IF(NOMENCLATURE_GEN!E38="","",NOMENCLATURE_GEN!E38)</f>
        <v>A</v>
      </c>
      <c r="F38" s="4" t="str">
        <f>IF(NOMENCLATURE_GEN!F38="","",NOMENCLATURE_GEN!F38)</f>
        <v>CBA</v>
      </c>
      <c r="G38" s="154" t="str">
        <f>IF(NOMENCLATURE_GEN!G38="","",NOMENCLATURE_GEN!G38)</f>
        <v>Convoyeur de transfert des refus 30-180mm</v>
      </c>
      <c r="H38" s="26">
        <f>IF(NOMENCLATURE_GEN!H38="","",NOMENCLATURE_GEN!H38)</f>
        <v>1000</v>
      </c>
      <c r="I38" s="26">
        <f>IF(NOMENCLATURE_GEN!I38="","",NOMENCLATURE_GEN!I38)</f>
        <v>14250</v>
      </c>
      <c r="J38" s="56">
        <f>IF(NOMENCLATURE_GEN!J38="","",NOMENCLATURE_GEN!J38)</f>
        <v>10</v>
      </c>
      <c r="K38" s="158">
        <f>IFERROR(VLOOKUP(F38,données!$B$4:$K$30,9,FALSE),0)</f>
        <v>0</v>
      </c>
      <c r="L38" s="13"/>
      <c r="M38" s="159">
        <f>IFERROR((I38*2-VLOOKUP(F38,données!$B$4:$I$30,4,FALSE)+VLOOKUP(F38,données!$B$4:$I$30,5,FALSE)*NOMENCLATURE_GEN!O38+IF(OR(NOMENCLATURE_GEN!P38="",NOMENCLATURE_GEN!P38=0),0,2250)+0.3*H38+750)*2*K38,0)</f>
        <v>0</v>
      </c>
      <c r="N38" s="164">
        <f t="shared" si="1"/>
        <v>0</v>
      </c>
      <c r="O38" s="49"/>
      <c r="P38" s="49"/>
      <c r="Q38" s="49"/>
      <c r="R38" s="49"/>
    </row>
    <row r="39" spans="1:22" s="8" customFormat="1" ht="39.950000000000003" hidden="1" customHeight="1">
      <c r="A39" s="3"/>
      <c r="B39" s="25" t="str">
        <f>IF(NOMENCLATURE_GEN!B39="","",NOMENCLATURE_GEN!B39)</f>
        <v/>
      </c>
      <c r="C39" s="243" t="str">
        <f>IF(NOMENCLATURE_GEN!C39="","",NOMENCLATURE_GEN!C39)</f>
        <v/>
      </c>
      <c r="D39" s="4">
        <f>IF(NOMENCLATURE_GEN!D39="","",NOMENCLATURE_GEN!D39)</f>
        <v>127</v>
      </c>
      <c r="E39" s="4" t="str">
        <f ca="1">IF(NOMENCLATURE_GEN!E39="","",NOMENCLATURE_GEN!E39)</f>
        <v>A</v>
      </c>
      <c r="F39" s="4" t="str">
        <f>IF(NOMENCLATURE_GEN!F39="","",NOMENCLATURE_GEN!F39)</f>
        <v>TBE</v>
      </c>
      <c r="G39" s="154" t="str">
        <f>IF(NOMENCLATURE_GEN!G39="","",NOMENCLATURE_GEN!G39)</f>
        <v>Convoyeur de reprise des aciers 30-180mm</v>
      </c>
      <c r="H39" s="26">
        <f>IF(NOMENCLATURE_GEN!H39="","",NOMENCLATURE_GEN!H39)</f>
        <v>600</v>
      </c>
      <c r="I39" s="26">
        <f>IF(NOMENCLATURE_GEN!I39="","",NOMENCLATURE_GEN!I39)</f>
        <v>3750</v>
      </c>
      <c r="J39" s="56">
        <f>IF(NOMENCLATURE_GEN!J39="","",NOMENCLATURE_GEN!J39)</f>
        <v>10</v>
      </c>
      <c r="K39" s="158">
        <f>IFERROR(VLOOKUP(F39,données!$B$4:$K$30,9,FALSE),0)</f>
        <v>0</v>
      </c>
      <c r="L39" s="13"/>
      <c r="M39" s="159">
        <f>IFERROR((I39*2-VLOOKUP(F39,données!$B$4:$I$30,4,FALSE)+VLOOKUP(F39,données!$B$4:$I$30,5,FALSE)*NOMENCLATURE_GEN!O39+IF(OR(NOMENCLATURE_GEN!P39="",NOMENCLATURE_GEN!P39=0),0,2250)+0.3*H39+750)*2*K39,0)</f>
        <v>0</v>
      </c>
      <c r="N39" s="164">
        <f t="shared" si="1"/>
        <v>0</v>
      </c>
      <c r="O39" s="49"/>
      <c r="P39" s="49"/>
      <c r="Q39" s="49"/>
      <c r="R39" s="49"/>
    </row>
    <row r="40" spans="1:22" s="8" customFormat="1" ht="39.950000000000003" hidden="1" customHeight="1">
      <c r="A40" s="3"/>
      <c r="B40" s="25" t="str">
        <f>IF(NOMENCLATURE_GEN!B40="","",NOMENCLATURE_GEN!B40)</f>
        <v/>
      </c>
      <c r="C40" s="243" t="str">
        <f>IF(NOMENCLATURE_GEN!C40="","",NOMENCLATURE_GEN!C40)</f>
        <v/>
      </c>
      <c r="D40" s="4">
        <f>IF(NOMENCLATURE_GEN!D40="","",NOMENCLATURE_GEN!D40)</f>
        <v>128</v>
      </c>
      <c r="E40" s="4" t="str">
        <f ca="1">IF(NOMENCLATURE_GEN!E40="","",NOMENCLATURE_GEN!E40)</f>
        <v>A</v>
      </c>
      <c r="F40" s="4" t="str">
        <f>IF(NOMENCLATURE_GEN!F40="","",NOMENCLATURE_GEN!F40)</f>
        <v>GLT</v>
      </c>
      <c r="G40" s="154" t="str">
        <f>IF(NOMENCLATURE_GEN!G40="","",NOMENCLATURE_GEN!G40)</f>
        <v>Goulotte by-pass (ligne de broyage des fe ou benne de stokage)</v>
      </c>
      <c r="H40" s="26" t="str">
        <f>IF(NOMENCLATURE_GEN!H40="","",NOMENCLATURE_GEN!H40)</f>
        <v/>
      </c>
      <c r="I40" s="26" t="str">
        <f>IF(NOMENCLATURE_GEN!I40="","",NOMENCLATURE_GEN!I40)</f>
        <v/>
      </c>
      <c r="J40" s="56" t="str">
        <f>IF(NOMENCLATURE_GEN!J40="","",NOMENCLATURE_GEN!J40)</f>
        <v/>
      </c>
      <c r="K40" s="158">
        <f>IFERROR(VLOOKUP(F40,données!$B$4:$K$30,9,FALSE),0)</f>
        <v>0</v>
      </c>
      <c r="L40" s="13"/>
      <c r="M40" s="159">
        <f>IFERROR((I40*2-VLOOKUP(F40,données!$B$4:$I$30,4,FALSE)+VLOOKUP(F40,données!$B$4:$I$30,5,FALSE)*NOMENCLATURE_GEN!O40+IF(OR(NOMENCLATURE_GEN!P40="",NOMENCLATURE_GEN!P40=0),0,2250)+0.3*H40+750)*2*K40,0)</f>
        <v>0</v>
      </c>
      <c r="N40" s="164">
        <f t="shared" si="1"/>
        <v>0</v>
      </c>
      <c r="O40" s="49"/>
      <c r="P40" s="49"/>
      <c r="Q40" s="49"/>
      <c r="R40" s="49"/>
    </row>
    <row r="41" spans="1:22" s="8" customFormat="1" ht="39.950000000000003" hidden="1" customHeight="1">
      <c r="A41" s="3"/>
      <c r="B41" s="25" t="str">
        <f>IF(NOMENCLATURE_GEN!B41="","",NOMENCLATURE_GEN!B41)</f>
        <v>SUP</v>
      </c>
      <c r="C41" s="243" t="str">
        <f>IF(NOMENCLATURE_GEN!C41="","",NOMENCLATURE_GEN!C41)</f>
        <v/>
      </c>
      <c r="D41" s="4">
        <f>IF(NOMENCLATURE_GEN!D41="","",NOMENCLATURE_GEN!D41)</f>
        <v>129</v>
      </c>
      <c r="E41" s="4" t="str">
        <f ca="1">IF(NOMENCLATURE_GEN!E41="","",NOMENCLATURE_GEN!E41)</f>
        <v>A</v>
      </c>
      <c r="F41" s="4" t="str">
        <f>IF(NOMENCLATURE_GEN!F41="","",NOMENCLATURE_GEN!F41)</f>
        <v>TRE</v>
      </c>
      <c r="G41" s="154" t="str">
        <f>IF(NOMENCLATURE_GEN!G41="","",NOMENCLATURE_GEN!G41)</f>
        <v>Trémie des passants sous trommel secondaire</v>
      </c>
      <c r="H41" s="26" t="str">
        <f>IF(NOMENCLATURE_GEN!H41="","",NOMENCLATURE_GEN!H41)</f>
        <v/>
      </c>
      <c r="I41" s="26" t="str">
        <f>IF(NOMENCLATURE_GEN!I41="","",NOMENCLATURE_GEN!I41)</f>
        <v/>
      </c>
      <c r="J41" s="56" t="str">
        <f>IF(NOMENCLATURE_GEN!J41="","",NOMENCLATURE_GEN!J41)</f>
        <v/>
      </c>
      <c r="K41" s="158">
        <f>IFERROR(VLOOKUP(F41,données!$B$4:$K$30,9,FALSE),0)</f>
        <v>0</v>
      </c>
      <c r="L41" s="13"/>
      <c r="M41" s="159">
        <f>IFERROR((I41*2-VLOOKUP(F41,données!$B$4:$I$30,4,FALSE)+VLOOKUP(F41,données!$B$4:$I$30,5,FALSE)*NOMENCLATURE_GEN!O41+IF(OR(NOMENCLATURE_GEN!P41="",NOMENCLATURE_GEN!P41=0),0,2250)+0.3*H41+750)*2*K41,0)</f>
        <v>0</v>
      </c>
      <c r="N41" s="164">
        <f t="shared" si="1"/>
        <v>0</v>
      </c>
      <c r="O41" s="49"/>
      <c r="P41" s="49"/>
      <c r="Q41" s="49"/>
      <c r="R41" s="49"/>
    </row>
    <row r="42" spans="1:22" s="8" customFormat="1" ht="39.950000000000003" hidden="1" customHeight="1">
      <c r="A42" s="3"/>
      <c r="B42" s="25" t="str">
        <f>IF(NOMENCLATURE_GEN!B42="","",NOMENCLATURE_GEN!B42)</f>
        <v/>
      </c>
      <c r="C42" s="243" t="str">
        <f>IF(NOMENCLATURE_GEN!C42="","",NOMENCLATURE_GEN!C42)</f>
        <v/>
      </c>
      <c r="D42" s="4">
        <f>IF(NOMENCLATURE_GEN!D42="","",NOMENCLATURE_GEN!D42)</f>
        <v>130</v>
      </c>
      <c r="E42" s="4" t="str">
        <f ca="1">IF(NOMENCLATURE_GEN!E42="","",NOMENCLATURE_GEN!E42)</f>
        <v>A</v>
      </c>
      <c r="F42" s="4" t="str">
        <f>IF(NOMENCLATURE_GEN!F42="","",NOMENCLATURE_GEN!F42)</f>
        <v>CBA</v>
      </c>
      <c r="G42" s="154" t="str">
        <f>IF(NOMENCLATURE_GEN!G42="","",NOMENCLATURE_GEN!G42)</f>
        <v>Convoyeur de reprise de la fraction 0-30mm</v>
      </c>
      <c r="H42" s="26">
        <f>IF(NOMENCLATURE_GEN!H42="","",NOMENCLATURE_GEN!H42)</f>
        <v>1400</v>
      </c>
      <c r="I42" s="26">
        <f>IF(NOMENCLATURE_GEN!I42="","",NOMENCLATURE_GEN!I42)</f>
        <v>7750</v>
      </c>
      <c r="J42" s="56">
        <f>IF(NOMENCLATURE_GEN!J42="","",NOMENCLATURE_GEN!J42)</f>
        <v>0</v>
      </c>
      <c r="K42" s="158">
        <f>IFERROR(VLOOKUP(F42,données!$B$4:$K$30,9,FALSE),0)</f>
        <v>0</v>
      </c>
      <c r="L42" s="13"/>
      <c r="M42" s="159">
        <f>IFERROR((I42*2-VLOOKUP(F42,données!$B$4:$I$30,4,FALSE)+VLOOKUP(F42,données!$B$4:$I$30,5,FALSE)*NOMENCLATURE_GEN!O42+IF(OR(NOMENCLATURE_GEN!P42="",NOMENCLATURE_GEN!P42=0),0,2250)+0.3*H42+750)*2*K42,0)</f>
        <v>0</v>
      </c>
      <c r="N42" s="164">
        <f t="shared" si="1"/>
        <v>0</v>
      </c>
      <c r="O42" s="49"/>
      <c r="P42" s="49"/>
      <c r="Q42" s="49"/>
      <c r="R42" s="49"/>
    </row>
    <row r="43" spans="1:22" s="8" customFormat="1" ht="39.950000000000003" hidden="1" customHeight="1">
      <c r="A43" s="3"/>
      <c r="B43" s="25" t="str">
        <f>IF(NOMENCLATURE_GEN!B43="","",NOMENCLATURE_GEN!B43)</f>
        <v/>
      </c>
      <c r="C43" s="243" t="str">
        <f>IF(NOMENCLATURE_GEN!C43="","",NOMENCLATURE_GEN!C43)</f>
        <v/>
      </c>
      <c r="D43" s="4">
        <f>IF(NOMENCLATURE_GEN!D43="","",NOMENCLATURE_GEN!D43)</f>
        <v>131</v>
      </c>
      <c r="E43" s="4" t="str">
        <f ca="1">IF(NOMENCLATURE_GEN!E43="","",NOMENCLATURE_GEN!E43)</f>
        <v>A</v>
      </c>
      <c r="F43" s="4" t="str">
        <f>IF(NOMENCLATURE_GEN!F43="","",NOMENCLATURE_GEN!F43)</f>
        <v>CBA</v>
      </c>
      <c r="G43" s="154" t="str">
        <f>IF(NOMENCLATURE_GEN!G43="","",NOMENCLATURE_GEN!G43)</f>
        <v>Convoyeur de reprise de la fraction 0-30mm, tête inox + zone inox</v>
      </c>
      <c r="H43" s="26">
        <f>IF(NOMENCLATURE_GEN!H43="","",NOMENCLATURE_GEN!H43)</f>
        <v>1200</v>
      </c>
      <c r="I43" s="26">
        <f>IF(NOMENCLATURE_GEN!I43="","",NOMENCLATURE_GEN!I43)</f>
        <v>8250</v>
      </c>
      <c r="J43" s="56">
        <f>IF(NOMENCLATURE_GEN!J43="","",NOMENCLATURE_GEN!J43)</f>
        <v>19</v>
      </c>
      <c r="K43" s="158">
        <f>IFERROR(VLOOKUP(F43,données!$B$4:$K$30,9,FALSE),0)</f>
        <v>0</v>
      </c>
      <c r="L43" s="13"/>
      <c r="M43" s="159">
        <f>IFERROR((I43*2-VLOOKUP(F43,données!$B$4:$I$30,4,FALSE)+VLOOKUP(F43,données!$B$4:$I$30,5,FALSE)*NOMENCLATURE_GEN!O43+IF(OR(NOMENCLATURE_GEN!P43="",NOMENCLATURE_GEN!P43=0),0,2250)+0.3*H43+750)*2*K43,0)</f>
        <v>0</v>
      </c>
      <c r="N43" s="164">
        <f t="shared" si="1"/>
        <v>0</v>
      </c>
      <c r="O43" s="49"/>
      <c r="P43" s="49"/>
      <c r="Q43" s="49"/>
      <c r="R43" s="49"/>
    </row>
    <row r="44" spans="1:22" s="8" customFormat="1" ht="39.950000000000003" hidden="1" customHeight="1">
      <c r="A44" s="3"/>
      <c r="B44" s="25" t="str">
        <f>IF(NOMENCLATURE_GEN!B44="","",NOMENCLATURE_GEN!B44)</f>
        <v/>
      </c>
      <c r="C44" s="243" t="str">
        <f>IF(NOMENCLATURE_GEN!C44="","",NOMENCLATURE_GEN!C44)</f>
        <v/>
      </c>
      <c r="D44" s="4">
        <f>IF(NOMENCLATURE_GEN!D44="","",NOMENCLATURE_GEN!D44)</f>
        <v>132</v>
      </c>
      <c r="E44" s="4" t="str">
        <f ca="1">IF(NOMENCLATURE_GEN!E44="","",NOMENCLATURE_GEN!E44)</f>
        <v>A</v>
      </c>
      <c r="F44" s="4" t="str">
        <f>IF(NOMENCLATURE_GEN!F44="","",NOMENCLATURE_GEN!F44)</f>
        <v>OVB</v>
      </c>
      <c r="G44" s="154" t="str">
        <f>IF(NOMENCLATURE_GEN!G44="","",NOMENCLATURE_GEN!G44)</f>
        <v>Séparateur magnétique à aimant permament</v>
      </c>
      <c r="H44" s="26">
        <f>IF(NOMENCLATURE_GEN!H44="","",NOMENCLATURE_GEN!H44)</f>
        <v>1200</v>
      </c>
      <c r="I44" s="26">
        <f>IF(NOMENCLATURE_GEN!I44="","",NOMENCLATURE_GEN!I44)</f>
        <v>1200</v>
      </c>
      <c r="J44" s="56" t="str">
        <f>IF(NOMENCLATURE_GEN!J44="","",NOMENCLATURE_GEN!J44)</f>
        <v/>
      </c>
      <c r="K44" s="158">
        <f>IFERROR(VLOOKUP(F44,données!$B$4:$K$30,9,FALSE),0)</f>
        <v>0</v>
      </c>
      <c r="L44" s="13"/>
      <c r="M44" s="159">
        <f>IFERROR((I44*2-VLOOKUP(F44,données!$B$4:$I$30,4,FALSE)+VLOOKUP(F44,données!$B$4:$I$30,5,FALSE)*NOMENCLATURE_GEN!O44+IF(OR(NOMENCLATURE_GEN!P44="",NOMENCLATURE_GEN!P44=0),0,2250)+0.3*H44+750)*2*K44,0)</f>
        <v>0</v>
      </c>
      <c r="N44" s="164">
        <f t="shared" si="1"/>
        <v>0</v>
      </c>
      <c r="O44" s="49"/>
      <c r="P44" s="49"/>
      <c r="Q44" s="49"/>
      <c r="R44" s="49"/>
    </row>
    <row r="45" spans="1:22" s="8" customFormat="1" ht="39.950000000000003" hidden="1" customHeight="1">
      <c r="A45" s="3"/>
      <c r="B45" s="25" t="str">
        <f>IF(NOMENCLATURE_GEN!B45="","",NOMENCLATURE_GEN!B45)</f>
        <v/>
      </c>
      <c r="C45" s="243" t="str">
        <f>IF(NOMENCLATURE_GEN!C45="","",NOMENCLATURE_GEN!C45)</f>
        <v/>
      </c>
      <c r="D45" s="4">
        <f>IF(NOMENCLATURE_GEN!D45="","",NOMENCLATURE_GEN!D45)</f>
        <v>133</v>
      </c>
      <c r="E45" s="4" t="str">
        <f ca="1">IF(NOMENCLATURE_GEN!E45="","",NOMENCLATURE_GEN!E45)</f>
        <v>A</v>
      </c>
      <c r="F45" s="4" t="str">
        <f>IF(NOMENCLATURE_GEN!F45="","",NOMENCLATURE_GEN!F45)</f>
        <v>PMP</v>
      </c>
      <c r="G45" s="154" t="str">
        <f>IF(NOMENCLATURE_GEN!G45="","",NOMENCLATURE_GEN!G45)</f>
        <v>Poulie magnétique</v>
      </c>
      <c r="H45" s="26">
        <f>IF(NOMENCLATURE_GEN!H45="","",NOMENCLATURE_GEN!H45)</f>
        <v>1200</v>
      </c>
      <c r="I45" s="26" t="str">
        <f>IF(NOMENCLATURE_GEN!I45="","",NOMENCLATURE_GEN!I45)</f>
        <v/>
      </c>
      <c r="J45" s="56" t="str">
        <f>IF(NOMENCLATURE_GEN!J45="","",NOMENCLATURE_GEN!J45)</f>
        <v/>
      </c>
      <c r="K45" s="158">
        <f>IFERROR(VLOOKUP(F45,données!$B$4:$K$30,9,FALSE),0)</f>
        <v>0</v>
      </c>
      <c r="L45" s="13"/>
      <c r="M45" s="159">
        <f>IFERROR((I45*2-VLOOKUP(F45,données!$B$4:$I$30,4,FALSE)+VLOOKUP(F45,données!$B$4:$I$30,5,FALSE)*NOMENCLATURE_GEN!O45+IF(OR(NOMENCLATURE_GEN!P45="",NOMENCLATURE_GEN!P45=0),0,2250)+0.3*H45+750)*2*K45,0)</f>
        <v>0</v>
      </c>
      <c r="N45" s="164">
        <f t="shared" si="1"/>
        <v>0</v>
      </c>
      <c r="O45" s="49"/>
      <c r="P45" s="49"/>
      <c r="Q45" s="49"/>
      <c r="R45" s="49"/>
    </row>
    <row r="46" spans="1:22" s="8" customFormat="1" ht="39.950000000000003" hidden="1" customHeight="1">
      <c r="A46" s="3"/>
      <c r="B46" s="25" t="str">
        <f>IF(NOMENCLATURE_GEN!B46="","",NOMENCLATURE_GEN!B46)</f>
        <v/>
      </c>
      <c r="C46" s="243" t="str">
        <f>IF(NOMENCLATURE_GEN!C46="","",NOMENCLATURE_GEN!C46)</f>
        <v/>
      </c>
      <c r="D46" s="4">
        <f>IF(NOMENCLATURE_GEN!D46="","",NOMENCLATURE_GEN!D46)</f>
        <v>134</v>
      </c>
      <c r="E46" s="4" t="str">
        <f ca="1">IF(NOMENCLATURE_GEN!E46="","",NOMENCLATURE_GEN!E46)</f>
        <v>A</v>
      </c>
      <c r="F46" s="4" t="str">
        <f>IF(NOMENCLATURE_GEN!F46="","",NOMENCLATURE_GEN!F46)</f>
        <v>SNF</v>
      </c>
      <c r="G46" s="154" t="str">
        <f>IF(NOMENCLATURE_GEN!G46="","",NOMENCLATURE_GEN!G46)</f>
        <v>Séparateur de non ferreux type SMAR - ROUE POLAIRE</v>
      </c>
      <c r="H46" s="26">
        <f>IF(NOMENCLATURE_GEN!H46="","",NOMENCLATURE_GEN!H46)</f>
        <v>1200</v>
      </c>
      <c r="I46" s="26">
        <f>IF(NOMENCLATURE_GEN!I46="","",NOMENCLATURE_GEN!I46)</f>
        <v>2500</v>
      </c>
      <c r="J46" s="56" t="str">
        <f>IF(NOMENCLATURE_GEN!J46="","",NOMENCLATURE_GEN!J46)</f>
        <v/>
      </c>
      <c r="K46" s="158">
        <f>IFERROR(VLOOKUP(F46,données!$B$4:$K$30,9,FALSE),0)</f>
        <v>0</v>
      </c>
      <c r="L46" s="13"/>
      <c r="M46" s="159">
        <f>IFERROR((I46*2-VLOOKUP(F46,données!$B$4:$I$30,4,FALSE)+VLOOKUP(F46,données!$B$4:$I$30,5,FALSE)*NOMENCLATURE_GEN!O46+IF(OR(NOMENCLATURE_GEN!P46="",NOMENCLATURE_GEN!P46=0),0,2250)+0.3*H46+750)*2*K46,0)</f>
        <v>0</v>
      </c>
      <c r="N46" s="164">
        <f t="shared" si="1"/>
        <v>0</v>
      </c>
      <c r="O46" s="49"/>
      <c r="P46" s="49"/>
      <c r="Q46" s="49"/>
      <c r="R46" s="49"/>
    </row>
    <row r="47" spans="1:22" s="8" customFormat="1" ht="39.950000000000003" hidden="1" customHeight="1">
      <c r="A47" s="3"/>
      <c r="B47" s="25" t="str">
        <f>IF(NOMENCLATURE_GEN!B47="","",NOMENCLATURE_GEN!B47)</f>
        <v/>
      </c>
      <c r="C47" s="243" t="str">
        <f>IF(NOMENCLATURE_GEN!C47="","",NOMENCLATURE_GEN!C47)</f>
        <v/>
      </c>
      <c r="D47" s="4">
        <f>IF(NOMENCLATURE_GEN!D47="","",NOMENCLATURE_GEN!D47)</f>
        <v>134</v>
      </c>
      <c r="E47" s="4" t="str">
        <f ca="1">IF(NOMENCLATURE_GEN!E47="","",NOMENCLATURE_GEN!E47)</f>
        <v>B</v>
      </c>
      <c r="F47" s="4" t="str">
        <f>IF(NOMENCLATURE_GEN!F47="","",NOMENCLATURE_GEN!F47)</f>
        <v>SNF</v>
      </c>
      <c r="G47" s="154" t="str">
        <f>IF(NOMENCLATURE_GEN!G47="","",NOMENCLATURE_GEN!G47)</f>
        <v>Séparateur de non ferreux type SMAR - CONVOYEUR</v>
      </c>
      <c r="H47" s="26" t="str">
        <f>IF(NOMENCLATURE_GEN!H47="","",NOMENCLATURE_GEN!H47)</f>
        <v/>
      </c>
      <c r="I47" s="26" t="str">
        <f>IF(NOMENCLATURE_GEN!I47="","",NOMENCLATURE_GEN!I47)</f>
        <v/>
      </c>
      <c r="J47" s="56" t="str">
        <f>IF(NOMENCLATURE_GEN!J47="","",NOMENCLATURE_GEN!J47)</f>
        <v/>
      </c>
      <c r="K47" s="158">
        <f>IFERROR(VLOOKUP(F47,données!$B$4:$K$30,9,FALSE),0)</f>
        <v>0</v>
      </c>
      <c r="L47" s="13"/>
      <c r="M47" s="159">
        <f>IFERROR((I47*2-VLOOKUP(F47,données!$B$4:$I$30,4,FALSE)+VLOOKUP(F47,données!$B$4:$I$30,5,FALSE)*NOMENCLATURE_GEN!O47+IF(OR(NOMENCLATURE_GEN!P47="",NOMENCLATURE_GEN!P47=0),0,2250)+0.3*H47+750)*2*K47,0)</f>
        <v>0</v>
      </c>
      <c r="N47" s="164">
        <f t="shared" si="1"/>
        <v>0</v>
      </c>
      <c r="O47" s="49"/>
      <c r="P47" s="49"/>
      <c r="Q47" s="49"/>
      <c r="R47" s="49"/>
    </row>
    <row r="48" spans="1:22" s="8" customFormat="1" ht="39.950000000000003" hidden="1" customHeight="1">
      <c r="A48" s="3"/>
      <c r="B48" s="25" t="str">
        <f>IF(NOMENCLATURE_GEN!B48="","",NOMENCLATURE_GEN!B48)</f>
        <v/>
      </c>
      <c r="C48" s="243" t="str">
        <f>IF(NOMENCLATURE_GEN!C48="","",NOMENCLATURE_GEN!C48)</f>
        <v/>
      </c>
      <c r="D48" s="4">
        <f>IF(NOMENCLATURE_GEN!D48="","",NOMENCLATURE_GEN!D48)</f>
        <v>135</v>
      </c>
      <c r="E48" s="4" t="str">
        <f ca="1">IF(NOMENCLATURE_GEN!E48="","",NOMENCLATURE_GEN!E48)</f>
        <v>A</v>
      </c>
      <c r="F48" s="4" t="str">
        <f>IF(NOMENCLATURE_GEN!F48="","",NOMENCLATURE_GEN!F48)</f>
        <v>TBE</v>
      </c>
      <c r="G48" s="154" t="str">
        <f>IF(NOMENCLATURE_GEN!G48="","",NOMENCLATURE_GEN!G48)</f>
        <v>Convoyeur de reprise des non ferreux</v>
      </c>
      <c r="H48" s="26">
        <f>IF(NOMENCLATURE_GEN!H48="","",NOMENCLATURE_GEN!H48)</f>
        <v>600</v>
      </c>
      <c r="I48" s="26">
        <f>IF(NOMENCLATURE_GEN!I48="","",NOMENCLATURE_GEN!I48)</f>
        <v>3750</v>
      </c>
      <c r="J48" s="56">
        <f>IF(NOMENCLATURE_GEN!J48="","",NOMENCLATURE_GEN!J48)</f>
        <v>0</v>
      </c>
      <c r="K48" s="158">
        <f>IFERROR(VLOOKUP(F48,données!$B$4:$K$30,9,FALSE),0)</f>
        <v>0</v>
      </c>
      <c r="L48" s="13"/>
      <c r="M48" s="159">
        <f>IFERROR((I48*2-VLOOKUP(F48,données!$B$4:$I$30,4,FALSE)+VLOOKUP(F48,données!$B$4:$I$30,5,FALSE)*NOMENCLATURE_GEN!O48+IF(OR(NOMENCLATURE_GEN!P48="",NOMENCLATURE_GEN!P48=0),0,2250)+0.3*H48+750)*2*K48,0)</f>
        <v>0</v>
      </c>
      <c r="N48" s="164">
        <f t="shared" si="1"/>
        <v>0</v>
      </c>
      <c r="O48" s="49"/>
      <c r="P48" s="49"/>
      <c r="Q48" s="49"/>
      <c r="R48" s="49"/>
    </row>
    <row r="49" spans="1:18" s="8" customFormat="1" ht="39.950000000000003" hidden="1" customHeight="1">
      <c r="A49" s="3"/>
      <c r="B49" s="25" t="str">
        <f>IF(NOMENCLATURE_GEN!B49="","",NOMENCLATURE_GEN!B49)</f>
        <v>SUP</v>
      </c>
      <c r="C49" s="243" t="str">
        <f>IF(NOMENCLATURE_GEN!C49="","",NOMENCLATURE_GEN!C49)</f>
        <v/>
      </c>
      <c r="D49" s="4">
        <f>IF(NOMENCLATURE_GEN!D49="","",NOMENCLATURE_GEN!D49)</f>
        <v>136</v>
      </c>
      <c r="E49" s="4" t="str">
        <f ca="1">IF(NOMENCLATURE_GEN!E49="","",NOMENCLATURE_GEN!E49)</f>
        <v>A</v>
      </c>
      <c r="F49" s="4" t="str">
        <f>IF(NOMENCLATURE_GEN!F49="","",NOMENCLATURE_GEN!F49)</f>
        <v>CON</v>
      </c>
      <c r="G49" s="154" t="str">
        <f>IF(NOMENCLATURE_GEN!G49="","",NOMENCLATURE_GEN!G49)</f>
        <v>Cone de répartition du flux 0-30mm sous SNF</v>
      </c>
      <c r="H49" s="26" t="str">
        <f>IF(NOMENCLATURE_GEN!H49="","",NOMENCLATURE_GEN!H49)</f>
        <v/>
      </c>
      <c r="I49" s="26" t="str">
        <f>IF(NOMENCLATURE_GEN!I49="","",NOMENCLATURE_GEN!I49)</f>
        <v/>
      </c>
      <c r="J49" s="56" t="str">
        <f>IF(NOMENCLATURE_GEN!J49="","",NOMENCLATURE_GEN!J49)</f>
        <v/>
      </c>
      <c r="K49" s="158">
        <f>IFERROR(VLOOKUP(F49,données!$B$4:$K$30,9,FALSE),0)</f>
        <v>0</v>
      </c>
      <c r="L49" s="13"/>
      <c r="M49" s="159">
        <f>IFERROR((I49*2-VLOOKUP(F49,données!$B$4:$I$30,4,FALSE)+VLOOKUP(F49,données!$B$4:$I$30,5,FALSE)*NOMENCLATURE_GEN!O49+IF(OR(NOMENCLATURE_GEN!P49="",NOMENCLATURE_GEN!P49=0),0,2250)+0.3*H49+750)*2*K49,0)</f>
        <v>0</v>
      </c>
      <c r="N49" s="164">
        <f t="shared" si="1"/>
        <v>0</v>
      </c>
      <c r="O49" s="49"/>
      <c r="P49" s="49"/>
      <c r="Q49" s="49"/>
      <c r="R49" s="49"/>
    </row>
    <row r="50" spans="1:18" s="8" customFormat="1" ht="39.950000000000003" hidden="1" customHeight="1">
      <c r="A50" s="3"/>
      <c r="B50" s="25" t="str">
        <f>IF(NOMENCLATURE_GEN!B50="","",NOMENCLATURE_GEN!B50)</f>
        <v/>
      </c>
      <c r="C50" s="243" t="str">
        <f>IF(NOMENCLATURE_GEN!C50="","",NOMENCLATURE_GEN!C50)</f>
        <v/>
      </c>
      <c r="D50" s="4">
        <f>IF(NOMENCLATURE_GEN!D50="","",NOMENCLATURE_GEN!D50)</f>
        <v>137</v>
      </c>
      <c r="E50" s="4" t="str">
        <f ca="1">IF(NOMENCLATURE_GEN!E50="","",NOMENCLATURE_GEN!E50)</f>
        <v>A</v>
      </c>
      <c r="F50" s="4" t="str">
        <f>IF(NOMENCLATURE_GEN!F50="","",NOMENCLATURE_GEN!F50)</f>
        <v>CBA</v>
      </c>
      <c r="G50" s="154" t="str">
        <f>IF(NOMENCLATURE_GEN!G50="","",NOMENCLATURE_GEN!G50)</f>
        <v>Convoyeur de transfert de la fraction 0-30mm vers tapis balistique 1</v>
      </c>
      <c r="H50" s="26">
        <f>IF(NOMENCLATURE_GEN!H50="","",NOMENCLATURE_GEN!H50)</f>
        <v>1600</v>
      </c>
      <c r="I50" s="26">
        <f>IF(NOMENCLATURE_GEN!I50="","",NOMENCLATURE_GEN!I50)</f>
        <v>21250</v>
      </c>
      <c r="J50" s="56">
        <f>IF(NOMENCLATURE_GEN!J50="","",NOMENCLATURE_GEN!J50)</f>
        <v>20</v>
      </c>
      <c r="K50" s="158">
        <f>IFERROR(VLOOKUP(F50,données!$B$4:$K$30,9,FALSE),0)</f>
        <v>0</v>
      </c>
      <c r="L50" s="13"/>
      <c r="M50" s="159">
        <f>IFERROR((I50*2-VLOOKUP(F50,données!$B$4:$I$30,4,FALSE)+VLOOKUP(F50,données!$B$4:$I$30,5,FALSE)*NOMENCLATURE_GEN!O50+IF(OR(NOMENCLATURE_GEN!P50="",NOMENCLATURE_GEN!P50=0),0,2250)+0.3*H50+750)*2*K50,0)</f>
        <v>0</v>
      </c>
      <c r="N50" s="164">
        <f t="shared" si="1"/>
        <v>0</v>
      </c>
      <c r="O50" s="49"/>
      <c r="P50" s="49"/>
      <c r="Q50" s="49"/>
      <c r="R50" s="49"/>
    </row>
    <row r="51" spans="1:18" s="8" customFormat="1" ht="39.950000000000003" hidden="1" customHeight="1">
      <c r="A51" s="3"/>
      <c r="B51" s="25" t="str">
        <f>IF(NOMENCLATURE_GEN!B51="","",NOMENCLATURE_GEN!B51)</f>
        <v/>
      </c>
      <c r="C51" s="243" t="str">
        <f>IF(NOMENCLATURE_GEN!C51="","",NOMENCLATURE_GEN!C51)</f>
        <v/>
      </c>
      <c r="D51" s="4">
        <f>IF(NOMENCLATURE_GEN!D51="","",NOMENCLATURE_GEN!D51)</f>
        <v>138</v>
      </c>
      <c r="E51" s="4" t="str">
        <f ca="1">IF(NOMENCLATURE_GEN!E51="","",NOMENCLATURE_GEN!E51)</f>
        <v>A</v>
      </c>
      <c r="F51" s="4" t="str">
        <f>IF(NOMENCLATURE_GEN!F51="","",NOMENCLATURE_GEN!F51)</f>
        <v>BAL</v>
      </c>
      <c r="G51" s="154" t="str">
        <f>IF(NOMENCLATURE_GEN!G51="","",NOMENCLATURE_GEN!G51)</f>
        <v>Tapis balistique simple</v>
      </c>
      <c r="H51" s="26">
        <f>IF(NOMENCLATURE_GEN!H51="","",NOMENCLATURE_GEN!H51)</f>
        <v>1800</v>
      </c>
      <c r="I51" s="26">
        <f>IF(NOMENCLATURE_GEN!I51="","",NOMENCLATURE_GEN!I51)</f>
        <v>2500</v>
      </c>
      <c r="J51" s="56">
        <f>IF(NOMENCLATURE_GEN!J51="","",NOMENCLATURE_GEN!J51)</f>
        <v>0</v>
      </c>
      <c r="K51" s="158">
        <f>IFERROR(VLOOKUP(F51,données!$B$4:$K$30,9,FALSE),0)</f>
        <v>0</v>
      </c>
      <c r="L51" s="13"/>
      <c r="M51" s="159">
        <f>IFERROR((I51*2-VLOOKUP(F51,données!$B$4:$I$30,4,FALSE)+VLOOKUP(F51,données!$B$4:$I$30,5,FALSE)*NOMENCLATURE_GEN!O51+IF(OR(NOMENCLATURE_GEN!P51="",NOMENCLATURE_GEN!P51=0),0,2250)+0.3*H51+750)*2*K51,0)</f>
        <v>0</v>
      </c>
      <c r="N51" s="164">
        <f t="shared" si="1"/>
        <v>0</v>
      </c>
      <c r="O51" s="49"/>
      <c r="P51" s="49"/>
      <c r="Q51" s="49"/>
      <c r="R51" s="49"/>
    </row>
    <row r="52" spans="1:18" s="8" customFormat="1" ht="39.950000000000003" hidden="1" customHeight="1">
      <c r="A52" s="3"/>
      <c r="B52" s="25" t="str">
        <f>IF(NOMENCLATURE_GEN!B52="","",NOMENCLATURE_GEN!B52)</f>
        <v/>
      </c>
      <c r="C52" s="243" t="str">
        <f>IF(NOMENCLATURE_GEN!C52="","",NOMENCLATURE_GEN!C52)</f>
        <v/>
      </c>
      <c r="D52" s="4">
        <f>IF(NOMENCLATURE_GEN!D52="","",NOMENCLATURE_GEN!D52)</f>
        <v>139</v>
      </c>
      <c r="E52" s="4" t="str">
        <f ca="1">IF(NOMENCLATURE_GEN!E52="","",NOMENCLATURE_GEN!E52)</f>
        <v>A</v>
      </c>
      <c r="F52" s="4" t="str">
        <f>IF(NOMENCLATURE_GEN!F52="","",NOMENCLATURE_GEN!F52)</f>
        <v>CBA</v>
      </c>
      <c r="G52" s="154" t="str">
        <f>IF(NOMENCLATURE_GEN!G52="","",NOMENCLATURE_GEN!G52)</f>
        <v>Convoyeur de reprise des légers et transfert vers crible trampoline</v>
      </c>
      <c r="H52" s="26">
        <f>IF(NOMENCLATURE_GEN!H52="","",NOMENCLATURE_GEN!H52)</f>
        <v>1600</v>
      </c>
      <c r="I52" s="26">
        <f>IF(NOMENCLATURE_GEN!I52="","",NOMENCLATURE_GEN!I52)</f>
        <v>11500</v>
      </c>
      <c r="J52" s="56">
        <f>IF(NOMENCLATURE_GEN!J52="","",NOMENCLATURE_GEN!J52)</f>
        <v>23</v>
      </c>
      <c r="K52" s="158">
        <f>IFERROR(VLOOKUP(F52,données!$B$4:$K$30,9,FALSE),0)</f>
        <v>0</v>
      </c>
      <c r="L52" s="13"/>
      <c r="M52" s="159">
        <f>IFERROR((I52*2-VLOOKUP(F52,données!$B$4:$I$30,4,FALSE)+VLOOKUP(F52,données!$B$4:$I$30,5,FALSE)*NOMENCLATURE_GEN!O52+IF(OR(NOMENCLATURE_GEN!P52="",NOMENCLATURE_GEN!P52=0),0,2250)+0.3*H52+750)*2*K52,0)</f>
        <v>0</v>
      </c>
      <c r="N52" s="164">
        <f t="shared" si="1"/>
        <v>0</v>
      </c>
      <c r="O52" s="49"/>
      <c r="P52" s="49"/>
      <c r="Q52" s="49"/>
      <c r="R52" s="49"/>
    </row>
    <row r="53" spans="1:18" s="8" customFormat="1" ht="39.950000000000003" hidden="1" customHeight="1">
      <c r="A53" s="3"/>
      <c r="B53" s="25" t="str">
        <f>IF(NOMENCLATURE_GEN!B53="","",NOMENCLATURE_GEN!B53)</f>
        <v>SUP</v>
      </c>
      <c r="C53" s="243" t="str">
        <f>IF(NOMENCLATURE_GEN!C53="","",NOMENCLATURE_GEN!C53)</f>
        <v/>
      </c>
      <c r="D53" s="4">
        <f>IF(NOMENCLATURE_GEN!D53="","",NOMENCLATURE_GEN!D53)</f>
        <v>140</v>
      </c>
      <c r="E53" s="4" t="str">
        <f ca="1">IF(NOMENCLATURE_GEN!E53="","",NOMENCLATURE_GEN!E53)</f>
        <v>A</v>
      </c>
      <c r="F53" s="4" t="str">
        <f>IF(NOMENCLATURE_GEN!F53="","",NOMENCLATURE_GEN!F53)</f>
        <v>CON</v>
      </c>
      <c r="G53" s="154" t="str">
        <f>IF(NOMENCLATURE_GEN!G53="","",NOMENCLATURE_GEN!G53)</f>
        <v>Cone de répartition du flux 0-30mm en entrée du liwell</v>
      </c>
      <c r="H53" s="26" t="str">
        <f>IF(NOMENCLATURE_GEN!H53="","",NOMENCLATURE_GEN!H53)</f>
        <v/>
      </c>
      <c r="I53" s="26" t="str">
        <f>IF(NOMENCLATURE_GEN!I53="","",NOMENCLATURE_GEN!I53)</f>
        <v/>
      </c>
      <c r="J53" s="56" t="str">
        <f>IF(NOMENCLATURE_GEN!J53="","",NOMENCLATURE_GEN!J53)</f>
        <v/>
      </c>
      <c r="K53" s="158">
        <f>IFERROR(VLOOKUP(F53,données!$B$4:$K$30,9,FALSE),0)</f>
        <v>0</v>
      </c>
      <c r="L53" s="13"/>
      <c r="M53" s="159">
        <f>IFERROR((I53*2-VLOOKUP(F53,données!$B$4:$I$30,4,FALSE)+VLOOKUP(F53,données!$B$4:$I$30,5,FALSE)*NOMENCLATURE_GEN!O53+IF(OR(NOMENCLATURE_GEN!P53="",NOMENCLATURE_GEN!P53=0),0,2250)+0.3*H53+750)*2*K53,0)</f>
        <v>0</v>
      </c>
      <c r="N53" s="164">
        <f t="shared" si="1"/>
        <v>0</v>
      </c>
      <c r="O53" s="49"/>
      <c r="P53" s="49"/>
      <c r="Q53" s="49"/>
      <c r="R53" s="49"/>
    </row>
    <row r="54" spans="1:18" s="8" customFormat="1" ht="39.950000000000003" hidden="1" customHeight="1">
      <c r="A54" s="3"/>
      <c r="B54" s="25" t="str">
        <f>IF(NOMENCLATURE_GEN!B54="","",NOMENCLATURE_GEN!B54)</f>
        <v/>
      </c>
      <c r="C54" s="243" t="str">
        <f>IF(NOMENCLATURE_GEN!C54="","",NOMENCLATURE_GEN!C54)</f>
        <v/>
      </c>
      <c r="D54" s="4">
        <f>IF(NOMENCLATURE_GEN!D54="","",NOMENCLATURE_GEN!D54)</f>
        <v>141</v>
      </c>
      <c r="E54" s="4" t="str">
        <f ca="1">IF(NOMENCLATURE_GEN!E54="","",NOMENCLATURE_GEN!E54)</f>
        <v>A</v>
      </c>
      <c r="F54" s="4" t="str">
        <f>IF(NOMENCLATURE_GEN!F54="","",NOMENCLATURE_GEN!F54)</f>
        <v>CRI</v>
      </c>
      <c r="G54" s="154" t="str">
        <f>IF(NOMENCLATURE_GEN!G54="","",NOMENCLATURE_GEN!G54)</f>
        <v>Crible trampoline maille 10mm</v>
      </c>
      <c r="H54" s="26">
        <f>IF(NOMENCLATURE_GEN!H54="","",NOMENCLATURE_GEN!H54)</f>
        <v>2000</v>
      </c>
      <c r="I54" s="26">
        <f>IF(NOMENCLATURE_GEN!I54="","",NOMENCLATURE_GEN!I54)</f>
        <v>8850</v>
      </c>
      <c r="J54" s="56" t="str">
        <f>IF(NOMENCLATURE_GEN!J54="","",NOMENCLATURE_GEN!J54)</f>
        <v/>
      </c>
      <c r="K54" s="158">
        <f>IFERROR(VLOOKUP(F54,données!$B$4:$K$30,9,FALSE),0)</f>
        <v>0</v>
      </c>
      <c r="L54" s="13"/>
      <c r="M54" s="159">
        <f>IFERROR((I54*2-VLOOKUP(F54,données!$B$4:$I$30,4,FALSE)+VLOOKUP(F54,données!$B$4:$I$30,5,FALSE)*NOMENCLATURE_GEN!O54+IF(OR(NOMENCLATURE_GEN!P54="",NOMENCLATURE_GEN!P54=0),0,2250)+0.3*H54+750)*2*K54,0)</f>
        <v>0</v>
      </c>
      <c r="N54" s="164">
        <f t="shared" si="1"/>
        <v>0</v>
      </c>
      <c r="O54" s="49"/>
      <c r="P54" s="49"/>
      <c r="Q54" s="49"/>
      <c r="R54" s="49"/>
    </row>
    <row r="55" spans="1:18" s="8" customFormat="1" ht="39.950000000000003" hidden="1" customHeight="1">
      <c r="A55" s="3"/>
      <c r="B55" s="25" t="str">
        <f>IF(NOMENCLATURE_GEN!B55="","",NOMENCLATURE_GEN!B55)</f>
        <v>SUP</v>
      </c>
      <c r="C55" s="243" t="str">
        <f>IF(NOMENCLATURE_GEN!C55="","",NOMENCLATURE_GEN!C55)</f>
        <v/>
      </c>
      <c r="D55" s="4">
        <f>IF(NOMENCLATURE_GEN!D55="","",NOMENCLATURE_GEN!D55)</f>
        <v>142</v>
      </c>
      <c r="E55" s="4" t="str">
        <f ca="1">IF(NOMENCLATURE_GEN!E55="","",NOMENCLATURE_GEN!E55)</f>
        <v>A</v>
      </c>
      <c r="F55" s="4" t="str">
        <f>IF(NOMENCLATURE_GEN!F55="","",NOMENCLATURE_GEN!F55)</f>
        <v>TRE</v>
      </c>
      <c r="G55" s="154" t="str">
        <f>IF(NOMENCLATURE_GEN!G55="","",NOMENCLATURE_GEN!G55)</f>
        <v>Trémie des passants sous crible trampoline</v>
      </c>
      <c r="H55" s="26">
        <f>IF(NOMENCLATURE_GEN!H55="","",NOMENCLATURE_GEN!H55)</f>
        <v>2000</v>
      </c>
      <c r="I55" s="26">
        <f>IF(NOMENCLATURE_GEN!I55="","",NOMENCLATURE_GEN!I55)</f>
        <v>8850</v>
      </c>
      <c r="J55" s="56" t="str">
        <f>IF(NOMENCLATURE_GEN!J55="","",NOMENCLATURE_GEN!J55)</f>
        <v/>
      </c>
      <c r="K55" s="158">
        <f>IFERROR(VLOOKUP(F55,données!$B$4:$K$30,9,FALSE),0)</f>
        <v>0</v>
      </c>
      <c r="L55" s="13"/>
      <c r="M55" s="159">
        <f>IFERROR((I55*2-VLOOKUP(F55,données!$B$4:$I$30,4,FALSE)+VLOOKUP(F55,données!$B$4:$I$30,5,FALSE)*NOMENCLATURE_GEN!O55+IF(OR(NOMENCLATURE_GEN!P55="",NOMENCLATURE_GEN!P55=0),0,2250)+0.3*H55+750)*2*K55,0)</f>
        <v>0</v>
      </c>
      <c r="N55" s="164">
        <f t="shared" si="1"/>
        <v>0</v>
      </c>
      <c r="O55" s="49"/>
      <c r="P55" s="49"/>
      <c r="Q55" s="49"/>
      <c r="R55" s="49"/>
    </row>
    <row r="56" spans="1:18" s="8" customFormat="1" ht="39.950000000000003" hidden="1" customHeight="1">
      <c r="A56" s="3"/>
      <c r="B56" s="25" t="str">
        <f>IF(NOMENCLATURE_GEN!B56="","",NOMENCLATURE_GEN!B56)</f>
        <v/>
      </c>
      <c r="C56" s="243" t="str">
        <f>IF(NOMENCLATURE_GEN!C56="","",NOMENCLATURE_GEN!C56)</f>
        <v/>
      </c>
      <c r="D56" s="4">
        <f>IF(NOMENCLATURE_GEN!D56="","",NOMENCLATURE_GEN!D56)</f>
        <v>143</v>
      </c>
      <c r="E56" s="4" t="str">
        <f ca="1">IF(NOMENCLATURE_GEN!E56="","",NOMENCLATURE_GEN!E56)</f>
        <v>A</v>
      </c>
      <c r="F56" s="4" t="str">
        <f>IF(NOMENCLATURE_GEN!F56="","",NOMENCLATURE_GEN!F56)</f>
        <v>CBA</v>
      </c>
      <c r="G56" s="154" t="str">
        <f>IF(NOMENCLATURE_GEN!G56="","",NOMENCLATURE_GEN!G56)</f>
        <v>Convoyeur de reprise du 0-8mm et alimentation du tapis balistique double</v>
      </c>
      <c r="H56" s="26">
        <f>IF(NOMENCLATURE_GEN!H56="","",NOMENCLATURE_GEN!H56)</f>
        <v>1800</v>
      </c>
      <c r="I56" s="26">
        <f>IF(NOMENCLATURE_GEN!I56="","",NOMENCLATURE_GEN!I56)</f>
        <v>11500</v>
      </c>
      <c r="J56" s="56">
        <f>IF(NOMENCLATURE_GEN!J56="","",NOMENCLATURE_GEN!J56)</f>
        <v>23</v>
      </c>
      <c r="K56" s="158">
        <f>IFERROR(VLOOKUP(F56,données!$B$4:$K$30,9,FALSE),0)</f>
        <v>0</v>
      </c>
      <c r="L56" s="13"/>
      <c r="M56" s="159">
        <f>IFERROR((I56*2-VLOOKUP(F56,données!$B$4:$I$30,4,FALSE)+VLOOKUP(F56,données!$B$4:$I$30,5,FALSE)*NOMENCLATURE_GEN!O56+IF(OR(NOMENCLATURE_GEN!P56="",NOMENCLATURE_GEN!P56=0),0,2250)+0.3*H56+750)*2*K56,0)</f>
        <v>0</v>
      </c>
      <c r="N56" s="164">
        <f t="shared" si="1"/>
        <v>0</v>
      </c>
      <c r="O56" s="49"/>
      <c r="P56" s="49"/>
      <c r="Q56" s="49"/>
      <c r="R56" s="49"/>
    </row>
    <row r="57" spans="1:18" s="8" customFormat="1" ht="39.950000000000003" hidden="1" customHeight="1">
      <c r="A57" s="3"/>
      <c r="B57" s="25" t="str">
        <f>IF(NOMENCLATURE_GEN!B57="","",NOMENCLATURE_GEN!B57)</f>
        <v/>
      </c>
      <c r="C57" s="243" t="str">
        <f>IF(NOMENCLATURE_GEN!C57="","",NOMENCLATURE_GEN!C57)</f>
        <v/>
      </c>
      <c r="D57" s="4">
        <f>IF(NOMENCLATURE_GEN!D57="","",NOMENCLATURE_GEN!D57)</f>
        <v>144</v>
      </c>
      <c r="E57" s="4" t="str">
        <f ca="1">IF(NOMENCLATURE_GEN!E57="","",NOMENCLATURE_GEN!E57)</f>
        <v>A</v>
      </c>
      <c r="F57" s="4" t="str">
        <f>IF(NOMENCLATURE_GEN!F57="","",NOMENCLATURE_GEN!F57)</f>
        <v>BAL</v>
      </c>
      <c r="G57" s="154" t="str">
        <f>IF(NOMENCLATURE_GEN!G57="","",NOMENCLATURE_GEN!G57)</f>
        <v>Tapis balistique double MOTEUR N°1</v>
      </c>
      <c r="H57" s="26">
        <f>IF(NOMENCLATURE_GEN!H57="","",NOMENCLATURE_GEN!H57)</f>
        <v>1800</v>
      </c>
      <c r="I57" s="26">
        <f>IF(NOMENCLATURE_GEN!I57="","",NOMENCLATURE_GEN!I57)</f>
        <v>2500</v>
      </c>
      <c r="J57" s="56">
        <f>IF(NOMENCLATURE_GEN!J57="","",NOMENCLATURE_GEN!J57)</f>
        <v>0</v>
      </c>
      <c r="K57" s="158">
        <f>IFERROR(VLOOKUP(F57,données!$B$4:$K$30,9,FALSE),0)</f>
        <v>0</v>
      </c>
      <c r="L57" s="13"/>
      <c r="M57" s="159">
        <f>IFERROR((I57*2-VLOOKUP(F57,données!$B$4:$I$30,4,FALSE)+VLOOKUP(F57,données!$B$4:$I$30,5,FALSE)*NOMENCLATURE_GEN!O57+IF(OR(NOMENCLATURE_GEN!P57="",NOMENCLATURE_GEN!P57=0),0,2250)+0.3*H57+750)*2*K57,0)</f>
        <v>0</v>
      </c>
      <c r="N57" s="164">
        <f t="shared" si="1"/>
        <v>0</v>
      </c>
      <c r="O57" s="49"/>
      <c r="P57" s="49"/>
      <c r="Q57" s="49"/>
      <c r="R57" s="49"/>
    </row>
    <row r="58" spans="1:18" s="8" customFormat="1" ht="39.950000000000003" hidden="1" customHeight="1">
      <c r="A58" s="3"/>
      <c r="B58" s="25" t="str">
        <f>IF(NOMENCLATURE_GEN!B58="","",NOMENCLATURE_GEN!B58)</f>
        <v/>
      </c>
      <c r="C58" s="243" t="str">
        <f>IF(NOMENCLATURE_GEN!C58="","",NOMENCLATURE_GEN!C58)</f>
        <v/>
      </c>
      <c r="D58" s="4">
        <f>IF(NOMENCLATURE_GEN!D58="","",NOMENCLATURE_GEN!D58)</f>
        <v>144</v>
      </c>
      <c r="E58" s="4" t="str">
        <f ca="1">IF(NOMENCLATURE_GEN!E58="","",NOMENCLATURE_GEN!E58)</f>
        <v>B</v>
      </c>
      <c r="F58" s="4" t="str">
        <f>IF(NOMENCLATURE_GEN!F58="","",NOMENCLATURE_GEN!F58)</f>
        <v>BAL</v>
      </c>
      <c r="G58" s="154" t="str">
        <f>IF(NOMENCLATURE_GEN!G58="","",NOMENCLATURE_GEN!G58)</f>
        <v>Tapis balistique double MOTEUR N°2</v>
      </c>
      <c r="H58" s="26">
        <f>IF(NOMENCLATURE_GEN!H58="","",NOMENCLATURE_GEN!H58)</f>
        <v>1800</v>
      </c>
      <c r="I58" s="26">
        <f>IF(NOMENCLATURE_GEN!I58="","",NOMENCLATURE_GEN!I58)</f>
        <v>2500</v>
      </c>
      <c r="J58" s="56">
        <f>IF(NOMENCLATURE_GEN!J58="","",NOMENCLATURE_GEN!J58)</f>
        <v>0</v>
      </c>
      <c r="K58" s="158">
        <f>IFERROR(VLOOKUP(F58,données!$B$4:$K$30,9,FALSE),0)</f>
        <v>0</v>
      </c>
      <c r="L58" s="13"/>
      <c r="M58" s="159">
        <f>IFERROR((I58*2-VLOOKUP(F58,données!$B$4:$I$30,4,FALSE)+VLOOKUP(F58,données!$B$4:$I$30,5,FALSE)*NOMENCLATURE_GEN!O58+IF(OR(NOMENCLATURE_GEN!P58="",NOMENCLATURE_GEN!P58=0),0,2250)+0.3*H58+750)*2*K58,0)</f>
        <v>0</v>
      </c>
      <c r="N58" s="164">
        <f t="shared" si="1"/>
        <v>0</v>
      </c>
      <c r="O58" s="49"/>
      <c r="P58" s="49"/>
      <c r="Q58" s="49"/>
      <c r="R58" s="49"/>
    </row>
    <row r="59" spans="1:18" s="8" customFormat="1" ht="39.950000000000003" hidden="1" customHeight="1">
      <c r="A59" s="3"/>
      <c r="B59" s="25" t="str">
        <f>IF(NOMENCLATURE_GEN!B59="","",NOMENCLATURE_GEN!B59)</f>
        <v/>
      </c>
      <c r="C59" s="243" t="str">
        <f>IF(NOMENCLATURE_GEN!C59="","",NOMENCLATURE_GEN!C59)</f>
        <v/>
      </c>
      <c r="D59" s="4">
        <f>IF(NOMENCLATURE_GEN!D59="","",NOMENCLATURE_GEN!D59)</f>
        <v>145</v>
      </c>
      <c r="E59" s="4" t="str">
        <f ca="1">IF(NOMENCLATURE_GEN!E59="","",NOMENCLATURE_GEN!E59)</f>
        <v>A</v>
      </c>
      <c r="F59" s="4" t="str">
        <f>IF(NOMENCLATURE_GEN!F59="","",NOMENCLATURE_GEN!F59)</f>
        <v>TBE</v>
      </c>
      <c r="G59" s="154" t="str">
        <f>IF(NOMENCLATURE_GEN!G59="","",NOMENCLATURE_GEN!G59)</f>
        <v>Convoyeur de reprise BY-PASS des lourds 0-8mm</v>
      </c>
      <c r="H59" s="26">
        <f>IF(NOMENCLATURE_GEN!H59="","",NOMENCLATURE_GEN!H59)</f>
        <v>800</v>
      </c>
      <c r="I59" s="26">
        <f>IF(NOMENCLATURE_GEN!I59="","",NOMENCLATURE_GEN!I59)</f>
        <v>3500</v>
      </c>
      <c r="J59" s="56">
        <f>IF(NOMENCLATURE_GEN!J59="","",NOMENCLATURE_GEN!J59)</f>
        <v>0</v>
      </c>
      <c r="K59" s="158">
        <f>IFERROR(VLOOKUP(F59,données!$B$4:$K$30,9,FALSE),0)</f>
        <v>0</v>
      </c>
      <c r="L59" s="13"/>
      <c r="M59" s="159">
        <f>IFERROR((I59*2-VLOOKUP(F59,données!$B$4:$I$30,4,FALSE)+VLOOKUP(F59,données!$B$4:$I$30,5,FALSE)*NOMENCLATURE_GEN!O59+IF(OR(NOMENCLATURE_GEN!P59="",NOMENCLATURE_GEN!P59=0),0,2250)+0.3*H59+750)*2*K59,0)</f>
        <v>0</v>
      </c>
      <c r="N59" s="164">
        <f t="shared" si="1"/>
        <v>0</v>
      </c>
      <c r="O59" s="49"/>
      <c r="P59" s="49"/>
      <c r="Q59" s="49"/>
      <c r="R59" s="49"/>
    </row>
    <row r="60" spans="1:18" s="8" customFormat="1" ht="39.950000000000003" hidden="1" customHeight="1">
      <c r="A60" s="3"/>
      <c r="B60" s="25" t="str">
        <f>IF(NOMENCLATURE_GEN!B60="","",NOMENCLATURE_GEN!B60)</f>
        <v/>
      </c>
      <c r="C60" s="243" t="str">
        <f>IF(NOMENCLATURE_GEN!C60="","",NOMENCLATURE_GEN!C60)</f>
        <v/>
      </c>
      <c r="D60" s="4">
        <f>IF(NOMENCLATURE_GEN!D60="","",NOMENCLATURE_GEN!D60)</f>
        <v>146</v>
      </c>
      <c r="E60" s="4" t="str">
        <f ca="1">IF(NOMENCLATURE_GEN!E60="","",NOMENCLATURE_GEN!E60)</f>
        <v>A</v>
      </c>
      <c r="F60" s="4" t="str">
        <f>IF(NOMENCLATURE_GEN!F60="","",NOMENCLATURE_GEN!F60)</f>
        <v>TBE</v>
      </c>
      <c r="G60" s="154" t="str">
        <f>IF(NOMENCLATURE_GEN!G60="","",NOMENCLATURE_GEN!G60)</f>
        <v>Convoyeur de transfert des lourds 0-8mm</v>
      </c>
      <c r="H60" s="26">
        <f>IF(NOMENCLATURE_GEN!H60="","",NOMENCLATURE_GEN!H60)</f>
        <v>800</v>
      </c>
      <c r="I60" s="26">
        <f>IF(NOMENCLATURE_GEN!I60="","",NOMENCLATURE_GEN!I60)</f>
        <v>16750</v>
      </c>
      <c r="J60" s="56">
        <f>IF(NOMENCLATURE_GEN!J60="","",NOMENCLATURE_GEN!J60)</f>
        <v>6</v>
      </c>
      <c r="K60" s="158">
        <f>IFERROR(VLOOKUP(F60,données!$B$4:$K$30,9,FALSE),0)</f>
        <v>0</v>
      </c>
      <c r="L60" s="13"/>
      <c r="M60" s="159">
        <f>IFERROR((I60*2-VLOOKUP(F60,données!$B$4:$I$30,4,FALSE)+VLOOKUP(F60,données!$B$4:$I$30,5,FALSE)*NOMENCLATURE_GEN!O60+IF(OR(NOMENCLATURE_GEN!P60="",NOMENCLATURE_GEN!P60=0),0,2250)+0.3*H60+750)*2*K60,0)</f>
        <v>0</v>
      </c>
      <c r="N60" s="164">
        <f t="shared" si="1"/>
        <v>0</v>
      </c>
      <c r="O60" s="49"/>
      <c r="P60" s="49"/>
      <c r="Q60" s="49"/>
      <c r="R60" s="49"/>
    </row>
    <row r="61" spans="1:18" s="8" customFormat="1" ht="39.950000000000003" hidden="1" customHeight="1">
      <c r="A61" s="3"/>
      <c r="B61" s="25" t="str">
        <f>IF(NOMENCLATURE_GEN!B61="","",NOMENCLATURE_GEN!B61)</f>
        <v/>
      </c>
      <c r="C61" s="243" t="str">
        <f>IF(NOMENCLATURE_GEN!C61="","",NOMENCLATURE_GEN!C61)</f>
        <v/>
      </c>
      <c r="D61" s="4">
        <f>IF(NOMENCLATURE_GEN!D61="","",NOMENCLATURE_GEN!D61)</f>
        <v>147</v>
      </c>
      <c r="E61" s="4" t="str">
        <f ca="1">IF(NOMENCLATURE_GEN!E61="","",NOMENCLATURE_GEN!E61)</f>
        <v>A</v>
      </c>
      <c r="F61" s="4" t="str">
        <f>IF(NOMENCLATURE_GEN!F61="","",NOMENCLATURE_GEN!F61)</f>
        <v>TBE</v>
      </c>
      <c r="G61" s="154" t="str">
        <f>IF(NOMENCLATURE_GEN!G61="","",NOMENCLATURE_GEN!G61)</f>
        <v>Convoyeur de transfert des lourds 0-8mm</v>
      </c>
      <c r="H61" s="26">
        <f>IF(NOMENCLATURE_GEN!H61="","",NOMENCLATURE_GEN!H61)</f>
        <v>800</v>
      </c>
      <c r="I61" s="26">
        <f>IF(NOMENCLATURE_GEN!I61="","",NOMENCLATURE_GEN!I61)</f>
        <v>12000</v>
      </c>
      <c r="J61" s="56">
        <f>IF(NOMENCLATURE_GEN!J61="","",NOMENCLATURE_GEN!J61)</f>
        <v>20</v>
      </c>
      <c r="K61" s="158">
        <f>IFERROR(VLOOKUP(F61,données!$B$4:$K$30,9,FALSE),0)</f>
        <v>0</v>
      </c>
      <c r="L61" s="13"/>
      <c r="M61" s="159">
        <f>IFERROR((I61*2-VLOOKUP(F61,données!$B$4:$I$30,4,FALSE)+VLOOKUP(F61,données!$B$4:$I$30,5,FALSE)*NOMENCLATURE_GEN!O61+IF(OR(NOMENCLATURE_GEN!P61="",NOMENCLATURE_GEN!P61=0),0,2250)+0.3*H61+750)*2*K61,0)</f>
        <v>0</v>
      </c>
      <c r="N61" s="164">
        <f t="shared" si="1"/>
        <v>0</v>
      </c>
      <c r="O61" s="49"/>
      <c r="P61" s="49"/>
      <c r="Q61" s="49"/>
      <c r="R61" s="49"/>
    </row>
    <row r="62" spans="1:18" s="8" customFormat="1" ht="39.950000000000003" hidden="1" customHeight="1">
      <c r="A62" s="3"/>
      <c r="B62" s="25" t="str">
        <f>IF(NOMENCLATURE_GEN!B62="","",NOMENCLATURE_GEN!B62)</f>
        <v/>
      </c>
      <c r="C62" s="243" t="str">
        <f>IF(NOMENCLATURE_GEN!C62="","",NOMENCLATURE_GEN!C62)</f>
        <v/>
      </c>
      <c r="D62" s="4">
        <f>IF(NOMENCLATURE_GEN!D62="","",NOMENCLATURE_GEN!D62)</f>
        <v>148</v>
      </c>
      <c r="E62" s="4" t="str">
        <f ca="1">IF(NOMENCLATURE_GEN!E62="","",NOMENCLATURE_GEN!E62)</f>
        <v>A</v>
      </c>
      <c r="F62" s="4" t="str">
        <f>IF(NOMENCLATURE_GEN!F62="","",NOMENCLATURE_GEN!F62)</f>
        <v>TBE</v>
      </c>
      <c r="G62" s="154" t="str">
        <f>IF(NOMENCLATURE_GEN!G62="","",NOMENCLATURE_GEN!G62)</f>
        <v>Convoyeur rotatif double sens de mise en benne des refus lourds</v>
      </c>
      <c r="H62" s="26">
        <f>IF(NOMENCLATURE_GEN!H62="","",NOMENCLATURE_GEN!H62)</f>
        <v>800</v>
      </c>
      <c r="I62" s="26">
        <f>IF(NOMENCLATURE_GEN!I62="","",NOMENCLATURE_GEN!I62)</f>
        <v>5000</v>
      </c>
      <c r="J62" s="56">
        <f>IF(NOMENCLATURE_GEN!J62="","",NOMENCLATURE_GEN!J62)</f>
        <v>0</v>
      </c>
      <c r="K62" s="158">
        <f>IFERROR(VLOOKUP(F62,données!$B$4:$K$30,9,FALSE),0)</f>
        <v>0</v>
      </c>
      <c r="L62" s="13"/>
      <c r="M62" s="159">
        <f>IFERROR((I62*2-VLOOKUP(F62,données!$B$4:$I$30,4,FALSE)+VLOOKUP(F62,données!$B$4:$I$30,5,FALSE)*NOMENCLATURE_GEN!O62+IF(OR(NOMENCLATURE_GEN!P62="",NOMENCLATURE_GEN!P62=0),0,2250)+0.3*H62+750)*2*K62,0)</f>
        <v>0</v>
      </c>
      <c r="N62" s="164">
        <f t="shared" si="1"/>
        <v>0</v>
      </c>
      <c r="O62" s="49"/>
      <c r="P62" s="49"/>
      <c r="Q62" s="49"/>
      <c r="R62" s="49"/>
    </row>
    <row r="63" spans="1:18" s="8" customFormat="1" ht="39.950000000000003" hidden="1" customHeight="1">
      <c r="A63" s="3"/>
      <c r="B63" s="25" t="str">
        <f>IF(NOMENCLATURE_GEN!B63="","",NOMENCLATURE_GEN!B63)</f>
        <v/>
      </c>
      <c r="C63" s="243" t="str">
        <f>IF(NOMENCLATURE_GEN!C63="","",NOMENCLATURE_GEN!C63)</f>
        <v/>
      </c>
      <c r="D63" s="4">
        <f>IF(NOMENCLATURE_GEN!D63="","",NOMENCLATURE_GEN!D63)</f>
        <v>149</v>
      </c>
      <c r="E63" s="4" t="str">
        <f ca="1">IF(NOMENCLATURE_GEN!E63="","",NOMENCLATURE_GEN!E63)</f>
        <v>A</v>
      </c>
      <c r="F63" s="4" t="str">
        <f>IF(NOMENCLATURE_GEN!F63="","",NOMENCLATURE_GEN!F63)</f>
        <v>COU</v>
      </c>
      <c r="G63" s="154" t="str">
        <f>IF(NOMENCLATURE_GEN!G63="","",NOMENCLATURE_GEN!G63)</f>
        <v>Couronne rotatif pour convoyeur de mise en tas</v>
      </c>
      <c r="H63" s="26">
        <f>IF(NOMENCLATURE_GEN!H63="","",NOMENCLATURE_GEN!H63)</f>
        <v>800</v>
      </c>
      <c r="I63" s="26">
        <f>IF(NOMENCLATURE_GEN!I63="","",NOMENCLATURE_GEN!I63)</f>
        <v>800</v>
      </c>
      <c r="J63" s="56" t="str">
        <f>IF(NOMENCLATURE_GEN!J63="","",NOMENCLATURE_GEN!J63)</f>
        <v/>
      </c>
      <c r="K63" s="158">
        <f>IFERROR(VLOOKUP(F63,données!$B$4:$K$30,9,FALSE),0)</f>
        <v>0</v>
      </c>
      <c r="L63" s="13"/>
      <c r="M63" s="159">
        <f>IFERROR((I63*2-VLOOKUP(F63,données!$B$4:$I$30,4,FALSE)+VLOOKUP(F63,données!$B$4:$I$30,5,FALSE)*NOMENCLATURE_GEN!O63+IF(OR(NOMENCLATURE_GEN!P63="",NOMENCLATURE_GEN!P63=0),0,2250)+0.3*H63+750)*2*K63,0)</f>
        <v>0</v>
      </c>
      <c r="N63" s="164">
        <f t="shared" si="1"/>
        <v>0</v>
      </c>
      <c r="O63" s="49"/>
      <c r="P63" s="49"/>
      <c r="Q63" s="49"/>
      <c r="R63" s="49"/>
    </row>
    <row r="64" spans="1:18" s="8" customFormat="1" ht="39.950000000000003" hidden="1" customHeight="1">
      <c r="A64" s="3"/>
      <c r="B64" s="25" t="str">
        <f>IF(NOMENCLATURE_GEN!B64="","",NOMENCLATURE_GEN!B64)</f>
        <v/>
      </c>
      <c r="C64" s="243" t="str">
        <f>IF(NOMENCLATURE_GEN!C64="","",NOMENCLATURE_GEN!C64)</f>
        <v/>
      </c>
      <c r="D64" s="4">
        <f>IF(NOMENCLATURE_GEN!D64="","",NOMENCLATURE_GEN!D64)</f>
        <v>150</v>
      </c>
      <c r="E64" s="4" t="str">
        <f ca="1">IF(NOMENCLATURE_GEN!E64="","",NOMENCLATURE_GEN!E64)</f>
        <v>A</v>
      </c>
      <c r="F64" s="4" t="str">
        <f>IF(NOMENCLATURE_GEN!F64="","",NOMENCLATURE_GEN!F64)</f>
        <v>TBE</v>
      </c>
      <c r="G64" s="154" t="str">
        <f>IF(NOMENCLATURE_GEN!G64="","",NOMENCLATURE_GEN!G64)</f>
        <v>Convoyeur de reprise By-pass des refus du liwell</v>
      </c>
      <c r="H64" s="26">
        <f>IF(NOMENCLATURE_GEN!H64="","",NOMENCLATURE_GEN!H64)</f>
        <v>1000</v>
      </c>
      <c r="I64" s="26">
        <f>IF(NOMENCLATURE_GEN!I64="","",NOMENCLATURE_GEN!I64)</f>
        <v>5250</v>
      </c>
      <c r="J64" s="56">
        <f>IF(NOMENCLATURE_GEN!J64="","",NOMENCLATURE_GEN!J64)</f>
        <v>0</v>
      </c>
      <c r="K64" s="158">
        <f>IFERROR(VLOOKUP(F64,données!$B$4:$K$30,9,FALSE),0)</f>
        <v>0</v>
      </c>
      <c r="L64" s="13"/>
      <c r="M64" s="159">
        <f>IFERROR((I64*2-VLOOKUP(F64,données!$B$4:$I$30,4,FALSE)+VLOOKUP(F64,données!$B$4:$I$30,5,FALSE)*NOMENCLATURE_GEN!O64+IF(OR(NOMENCLATURE_GEN!P64="",NOMENCLATURE_GEN!P64=0),0,2250)+0.3*H64+750)*2*K64,0)</f>
        <v>0</v>
      </c>
      <c r="N64" s="164">
        <f t="shared" si="1"/>
        <v>0</v>
      </c>
      <c r="O64" s="49"/>
      <c r="P64" s="49"/>
      <c r="Q64" s="49"/>
      <c r="R64" s="49"/>
    </row>
    <row r="65" spans="1:18" s="8" customFormat="1" ht="39.950000000000003" hidden="1" customHeight="1">
      <c r="A65" s="3"/>
      <c r="B65" s="25" t="str">
        <f>IF(NOMENCLATURE_GEN!B65="","",NOMENCLATURE_GEN!B65)</f>
        <v/>
      </c>
      <c r="C65" s="243" t="str">
        <f>IF(NOMENCLATURE_GEN!C65="","",NOMENCLATURE_GEN!C65)</f>
        <v/>
      </c>
      <c r="D65" s="4">
        <f>IF(NOMENCLATURE_GEN!D65="","",NOMENCLATURE_GEN!D65)</f>
        <v>151</v>
      </c>
      <c r="E65" s="4" t="str">
        <f ca="1">IF(NOMENCLATURE_GEN!E65="","",NOMENCLATURE_GEN!E65)</f>
        <v>A</v>
      </c>
      <c r="F65" s="4" t="str">
        <f>IF(NOMENCLATURE_GEN!F65="","",NOMENCLATURE_GEN!F65)</f>
        <v>TBE</v>
      </c>
      <c r="G65" s="154" t="str">
        <f>IF(NOMENCLATURE_GEN!G65="","",NOMENCLATURE_GEN!G65)</f>
        <v>Convoyeur de reprise By-pass des refus du balistique 1</v>
      </c>
      <c r="H65" s="26">
        <f>IF(NOMENCLATURE_GEN!H65="","",NOMENCLATURE_GEN!H65)</f>
        <v>1000</v>
      </c>
      <c r="I65" s="26">
        <f>IF(NOMENCLATURE_GEN!I65="","",NOMENCLATURE_GEN!I65)</f>
        <v>5250</v>
      </c>
      <c r="J65" s="56">
        <f>IF(NOMENCLATURE_GEN!J65="","",NOMENCLATURE_GEN!J65)</f>
        <v>0</v>
      </c>
      <c r="K65" s="158">
        <f>IFERROR(VLOOKUP(F65,données!$B$4:$K$30,9,FALSE),0)</f>
        <v>0</v>
      </c>
      <c r="L65" s="13"/>
      <c r="M65" s="159">
        <f>IFERROR((I65*2-VLOOKUP(F65,données!$B$4:$I$30,4,FALSE)+VLOOKUP(F65,données!$B$4:$I$30,5,FALSE)*NOMENCLATURE_GEN!O65+IF(OR(NOMENCLATURE_GEN!P65="",NOMENCLATURE_GEN!P65=0),0,2250)+0.3*H65+750)*2*K65,0)</f>
        <v>0</v>
      </c>
      <c r="N65" s="164">
        <f t="shared" si="1"/>
        <v>0</v>
      </c>
      <c r="O65" s="49"/>
      <c r="P65" s="49"/>
      <c r="Q65" s="49"/>
      <c r="R65" s="49"/>
    </row>
    <row r="66" spans="1:18" s="8" customFormat="1" ht="39.950000000000003" hidden="1" customHeight="1">
      <c r="A66" s="3"/>
      <c r="B66" s="25" t="str">
        <f>IF(NOMENCLATURE_GEN!B66="","",NOMENCLATURE_GEN!B66)</f>
        <v/>
      </c>
      <c r="C66" s="243" t="str">
        <f>IF(NOMENCLATURE_GEN!C66="","",NOMENCLATURE_GEN!C66)</f>
        <v/>
      </c>
      <c r="D66" s="4">
        <f>IF(NOMENCLATURE_GEN!D66="","",NOMENCLATURE_GEN!D66)</f>
        <v>152</v>
      </c>
      <c r="E66" s="4" t="str">
        <f ca="1">IF(NOMENCLATURE_GEN!E66="","",NOMENCLATURE_GEN!E66)</f>
        <v>A</v>
      </c>
      <c r="F66" s="4" t="str">
        <f>IF(NOMENCLATURE_GEN!F66="","",NOMENCLATURE_GEN!F66)</f>
        <v>TBE</v>
      </c>
      <c r="G66" s="154" t="str">
        <f>IF(NOMENCLATURE_GEN!G66="","",NOMENCLATURE_GEN!G66)</f>
        <v>Convoyeur de transfert des refus vers module de sur-tri</v>
      </c>
      <c r="H66" s="26">
        <f>IF(NOMENCLATURE_GEN!H66="","",NOMENCLATURE_GEN!H66)</f>
        <v>1000</v>
      </c>
      <c r="I66" s="26">
        <f>IF(NOMENCLATURE_GEN!I66="","",NOMENCLATURE_GEN!I66)</f>
        <v>15000</v>
      </c>
      <c r="J66" s="56">
        <f>IF(NOMENCLATURE_GEN!J66="","",NOMENCLATURE_GEN!J66)</f>
        <v>8</v>
      </c>
      <c r="K66" s="158">
        <f>IFERROR(VLOOKUP(F66,données!$B$4:$K$30,9,FALSE),0)</f>
        <v>0</v>
      </c>
      <c r="L66" s="13"/>
      <c r="M66" s="159">
        <f>IFERROR((I66*2-VLOOKUP(F66,données!$B$4:$I$30,4,FALSE)+VLOOKUP(F66,données!$B$4:$I$30,5,FALSE)*NOMENCLATURE_GEN!O66+IF(OR(NOMENCLATURE_GEN!P66="",NOMENCLATURE_GEN!P66=0),0,2250)+0.3*H66+750)*2*K66,0)</f>
        <v>0</v>
      </c>
      <c r="N66" s="164">
        <f t="shared" si="1"/>
        <v>0</v>
      </c>
      <c r="O66" s="49"/>
      <c r="P66" s="49"/>
      <c r="Q66" s="49"/>
      <c r="R66" s="49"/>
    </row>
    <row r="67" spans="1:18" s="8" customFormat="1" ht="39.950000000000003" hidden="1" customHeight="1">
      <c r="A67" s="3"/>
      <c r="B67" s="25" t="str">
        <f>IF(NOMENCLATURE_GEN!B67="","",NOMENCLATURE_GEN!B67)</f>
        <v/>
      </c>
      <c r="C67" s="243" t="str">
        <f>IF(NOMENCLATURE_GEN!C67="","",NOMENCLATURE_GEN!C67)</f>
        <v/>
      </c>
      <c r="D67" s="4">
        <f>IF(NOMENCLATURE_GEN!D67="","",NOMENCLATURE_GEN!D67)</f>
        <v>153</v>
      </c>
      <c r="E67" s="4" t="str">
        <f ca="1">IF(NOMENCLATURE_GEN!E67="","",NOMENCLATURE_GEN!E67)</f>
        <v>A</v>
      </c>
      <c r="F67" s="4" t="str">
        <f>IF(NOMENCLATURE_GEN!F67="","",NOMENCLATURE_GEN!F67)</f>
        <v>TBE</v>
      </c>
      <c r="G67" s="154" t="str">
        <f>IF(NOMENCLATURE_GEN!G67="","",NOMENCLATURE_GEN!G67)</f>
        <v>Convoyeur de transfert des refus vers module de sur-tri</v>
      </c>
      <c r="H67" s="26">
        <f>IF(NOMENCLATURE_GEN!H67="","",NOMENCLATURE_GEN!H67)</f>
        <v>1000</v>
      </c>
      <c r="I67" s="26">
        <f>IF(NOMENCLATURE_GEN!I67="","",NOMENCLATURE_GEN!I67)</f>
        <v>5000</v>
      </c>
      <c r="J67" s="56">
        <f>IF(NOMENCLATURE_GEN!J67="","",NOMENCLATURE_GEN!J67)</f>
        <v>18</v>
      </c>
      <c r="K67" s="158">
        <f>IFERROR(VLOOKUP(F67,données!$B$4:$K$30,9,FALSE),0)</f>
        <v>0</v>
      </c>
      <c r="L67" s="13"/>
      <c r="M67" s="159">
        <f>IFERROR((I67*2-VLOOKUP(F67,données!$B$4:$I$30,4,FALSE)+VLOOKUP(F67,données!$B$4:$I$30,5,FALSE)*NOMENCLATURE_GEN!O67+IF(OR(NOMENCLATURE_GEN!P67="",NOMENCLATURE_GEN!P67=0),0,2250)+0.3*H67+750)*2*K67,0)</f>
        <v>0</v>
      </c>
      <c r="N67" s="164">
        <f t="shared" si="1"/>
        <v>0</v>
      </c>
      <c r="O67" s="49"/>
      <c r="P67" s="49"/>
      <c r="Q67" s="49"/>
      <c r="R67" s="49"/>
    </row>
    <row r="68" spans="1:18" s="8" customFormat="1" ht="39.950000000000003" hidden="1" customHeight="1">
      <c r="A68" s="3"/>
      <c r="B68" s="25" t="str">
        <f>IF(NOMENCLATURE_GEN!B68="","",NOMENCLATURE_GEN!B68)</f>
        <v/>
      </c>
      <c r="C68" s="243" t="str">
        <f>IF(NOMENCLATURE_GEN!C68="","",NOMENCLATURE_GEN!C68)</f>
        <v/>
      </c>
      <c r="D68" s="4">
        <f>IF(NOMENCLATURE_GEN!D68="","",NOMENCLATURE_GEN!D68)</f>
        <v>154</v>
      </c>
      <c r="E68" s="4" t="str">
        <f ca="1">IF(NOMENCLATURE_GEN!E68="","",NOMENCLATURE_GEN!E68)</f>
        <v>A</v>
      </c>
      <c r="F68" s="4" t="str">
        <f>IF(NOMENCLATURE_GEN!F68="","",NOMENCLATURE_GEN!F68)</f>
        <v>TBE</v>
      </c>
      <c r="G68" s="154" t="str">
        <f>IF(NOMENCLATURE_GEN!G68="","",NOMENCLATURE_GEN!G68)</f>
        <v>Convoyeur de transfert des refus vers module de sur-tri</v>
      </c>
      <c r="H68" s="26">
        <f>IF(NOMENCLATURE_GEN!H68="","",NOMENCLATURE_GEN!H68)</f>
        <v>1000</v>
      </c>
      <c r="I68" s="26">
        <f>IF(NOMENCLATURE_GEN!I68="","",NOMENCLATURE_GEN!I68)</f>
        <v>26250</v>
      </c>
      <c r="J68" s="56">
        <f>IF(NOMENCLATURE_GEN!J68="","",NOMENCLATURE_GEN!J68)</f>
        <v>18</v>
      </c>
      <c r="K68" s="158">
        <f>IFERROR(VLOOKUP(F68,données!$B$4:$K$30,9,FALSE),0)</f>
        <v>0</v>
      </c>
      <c r="L68" s="13"/>
      <c r="M68" s="159">
        <f>IFERROR((I68*2-VLOOKUP(F68,données!$B$4:$I$30,4,FALSE)+VLOOKUP(F68,données!$B$4:$I$30,5,FALSE)*NOMENCLATURE_GEN!O68+IF(OR(NOMENCLATURE_GEN!P68="",NOMENCLATURE_GEN!P68=0),0,2250)+0.3*H68+750)*2*K68,0)</f>
        <v>0</v>
      </c>
      <c r="N68" s="164">
        <f t="shared" si="1"/>
        <v>0</v>
      </c>
      <c r="O68" s="49"/>
      <c r="P68" s="49"/>
      <c r="Q68" s="49"/>
      <c r="R68" s="49"/>
    </row>
    <row r="69" spans="1:18" s="8" customFormat="1" ht="39.950000000000003" hidden="1" customHeight="1">
      <c r="A69" s="3"/>
      <c r="B69" s="25" t="str">
        <f>IF(NOMENCLATURE_GEN!B69="","",NOMENCLATURE_GEN!B69)</f>
        <v/>
      </c>
      <c r="C69" s="243" t="str">
        <f>IF(NOMENCLATURE_GEN!C69="","",NOMENCLATURE_GEN!C69)</f>
        <v/>
      </c>
      <c r="D69" s="4">
        <f>IF(NOMENCLATURE_GEN!D69="","",NOMENCLATURE_GEN!D69)</f>
        <v>155</v>
      </c>
      <c r="E69" s="4" t="str">
        <f ca="1">IF(NOMENCLATURE_GEN!E69="","",NOMENCLATURE_GEN!E69)</f>
        <v>A</v>
      </c>
      <c r="F69" s="4" t="str">
        <f>IF(NOMENCLATURE_GEN!F69="","",NOMENCLATURE_GEN!F69)</f>
        <v>TFM</v>
      </c>
      <c r="G69" s="154" t="str">
        <f>IF(NOMENCLATURE_GEN!G69="","",NOMENCLATURE_GEN!G69)</f>
        <v>Table densimétrique FM150 - Moteur balourd</v>
      </c>
      <c r="H69" s="26" t="str">
        <f>IF(NOMENCLATURE_GEN!H69="","",NOMENCLATURE_GEN!H69)</f>
        <v/>
      </c>
      <c r="I69" s="26" t="str">
        <f>IF(NOMENCLATURE_GEN!I69="","",NOMENCLATURE_GEN!I69)</f>
        <v/>
      </c>
      <c r="J69" s="56" t="str">
        <f>IF(NOMENCLATURE_GEN!J69="","",NOMENCLATURE_GEN!J69)</f>
        <v/>
      </c>
      <c r="K69" s="158">
        <f>IFERROR(VLOOKUP(F69,données!$B$4:$K$30,9,FALSE),0)</f>
        <v>0</v>
      </c>
      <c r="L69" s="13"/>
      <c r="M69" s="159">
        <f>IFERROR((I69*2-VLOOKUP(F69,données!$B$4:$I$30,4,FALSE)+VLOOKUP(F69,données!$B$4:$I$30,5,FALSE)*NOMENCLATURE_GEN!O69+IF(OR(NOMENCLATURE_GEN!P69="",NOMENCLATURE_GEN!P69=0),0,2250)+0.3*H69+750)*2*K69,0)</f>
        <v>0</v>
      </c>
      <c r="N69" s="164">
        <f t="shared" si="1"/>
        <v>0</v>
      </c>
      <c r="O69" s="49"/>
      <c r="P69" s="49"/>
      <c r="Q69" s="49"/>
      <c r="R69" s="49"/>
    </row>
    <row r="70" spans="1:18" s="8" customFormat="1" ht="39.950000000000003" hidden="1" customHeight="1">
      <c r="A70" s="3"/>
      <c r="B70" s="25" t="str">
        <f>IF(NOMENCLATURE_GEN!B70="","",NOMENCLATURE_GEN!B70)</f>
        <v/>
      </c>
      <c r="C70" s="243" t="str">
        <f>IF(NOMENCLATURE_GEN!C70="","",NOMENCLATURE_GEN!C70)</f>
        <v/>
      </c>
      <c r="D70" s="4">
        <f>IF(NOMENCLATURE_GEN!D70="","",NOMENCLATURE_GEN!D70)</f>
        <v>155</v>
      </c>
      <c r="E70" s="4" t="str">
        <f ca="1">IF(NOMENCLATURE_GEN!E70="","",NOMENCLATURE_GEN!E70)</f>
        <v>B</v>
      </c>
      <c r="F70" s="4" t="str">
        <f>IF(NOMENCLATURE_GEN!F70="","",NOMENCLATURE_GEN!F70)</f>
        <v>TFM</v>
      </c>
      <c r="G70" s="154" t="str">
        <f>IF(NOMENCLATURE_GEN!G70="","",NOMENCLATURE_GEN!G70)</f>
        <v>Table densimétrique FM150 - Ventilateur de fluidisation</v>
      </c>
      <c r="H70" s="26" t="str">
        <f>IF(NOMENCLATURE_GEN!H70="","",NOMENCLATURE_GEN!H70)</f>
        <v/>
      </c>
      <c r="I70" s="26" t="str">
        <f>IF(NOMENCLATURE_GEN!I70="","",NOMENCLATURE_GEN!I70)</f>
        <v/>
      </c>
      <c r="J70" s="56" t="str">
        <f>IF(NOMENCLATURE_GEN!J70="","",NOMENCLATURE_GEN!J70)</f>
        <v/>
      </c>
      <c r="K70" s="158">
        <f>IFERROR(VLOOKUP(F70,données!$B$4:$K$30,9,FALSE),0)</f>
        <v>0</v>
      </c>
      <c r="L70" s="13"/>
      <c r="M70" s="159">
        <f>IFERROR((I70*2-VLOOKUP(F70,données!$B$4:$I$30,4,FALSE)+VLOOKUP(F70,données!$B$4:$I$30,5,FALSE)*NOMENCLATURE_GEN!O70+IF(OR(NOMENCLATURE_GEN!P70="",NOMENCLATURE_GEN!P70=0),0,2250)+0.3*H70+750)*2*K70,0)</f>
        <v>0</v>
      </c>
      <c r="N70" s="164">
        <f t="shared" si="1"/>
        <v>0</v>
      </c>
      <c r="O70" s="49"/>
      <c r="P70" s="49"/>
      <c r="Q70" s="49"/>
      <c r="R70" s="49"/>
    </row>
    <row r="71" spans="1:18" s="8" customFormat="1" ht="39.950000000000003" hidden="1" customHeight="1">
      <c r="A71" s="3"/>
      <c r="B71" s="25" t="str">
        <f>IF(NOMENCLATURE_GEN!B71="","",NOMENCLATURE_GEN!B71)</f>
        <v/>
      </c>
      <c r="C71" s="243" t="str">
        <f>IF(NOMENCLATURE_GEN!C71="","",NOMENCLATURE_GEN!C71)</f>
        <v/>
      </c>
      <c r="D71" s="4">
        <f>IF(NOMENCLATURE_GEN!D71="","",NOMENCLATURE_GEN!D71)</f>
        <v>155</v>
      </c>
      <c r="E71" s="4" t="str">
        <f ca="1">IF(NOMENCLATURE_GEN!E71="","",NOMENCLATURE_GEN!E71)</f>
        <v>C</v>
      </c>
      <c r="F71" s="4" t="str">
        <f>IF(NOMENCLATURE_GEN!F71="","",NOMENCLATURE_GEN!F71)</f>
        <v>TFM</v>
      </c>
      <c r="G71" s="154" t="str">
        <f>IF(NOMENCLATURE_GEN!G71="","",NOMENCLATURE_GEN!G71)</f>
        <v>Table densimétrique FM150 - Ecluse utra lourds</v>
      </c>
      <c r="H71" s="26" t="str">
        <f>IF(NOMENCLATURE_GEN!H71="","",NOMENCLATURE_GEN!H71)</f>
        <v/>
      </c>
      <c r="I71" s="26" t="str">
        <f>IF(NOMENCLATURE_GEN!I71="","",NOMENCLATURE_GEN!I71)</f>
        <v/>
      </c>
      <c r="J71" s="56" t="str">
        <f>IF(NOMENCLATURE_GEN!J71="","",NOMENCLATURE_GEN!J71)</f>
        <v/>
      </c>
      <c r="K71" s="158">
        <f>IFERROR(VLOOKUP(F71,données!$B$4:$K$30,9,FALSE),0)</f>
        <v>0</v>
      </c>
      <c r="L71" s="13"/>
      <c r="M71" s="159">
        <f>IFERROR((I71*2-VLOOKUP(F71,données!$B$4:$I$30,4,FALSE)+VLOOKUP(F71,données!$B$4:$I$30,5,FALSE)*NOMENCLATURE_GEN!O71+IF(OR(NOMENCLATURE_GEN!P71="",NOMENCLATURE_GEN!P71=0),0,2250)+0.3*H71+750)*2*K71,0)</f>
        <v>0</v>
      </c>
      <c r="N71" s="164">
        <f t="shared" si="1"/>
        <v>0</v>
      </c>
      <c r="O71" s="49"/>
      <c r="P71" s="49"/>
      <c r="Q71" s="49"/>
      <c r="R71" s="49"/>
    </row>
    <row r="72" spans="1:18" s="8" customFormat="1" ht="39.950000000000003" hidden="1" customHeight="1">
      <c r="A72" s="3"/>
      <c r="B72" s="25" t="str">
        <f>IF(NOMENCLATURE_GEN!B72="","",NOMENCLATURE_GEN!B72)</f>
        <v/>
      </c>
      <c r="C72" s="243" t="str">
        <f>IF(NOMENCLATURE_GEN!C72="","",NOMENCLATURE_GEN!C72)</f>
        <v/>
      </c>
      <c r="D72" s="4">
        <f>IF(NOMENCLATURE_GEN!D72="","",NOMENCLATURE_GEN!D72)</f>
        <v>155</v>
      </c>
      <c r="E72" s="4" t="str">
        <f ca="1">IF(NOMENCLATURE_GEN!E72="","",NOMENCLATURE_GEN!E72)</f>
        <v>D</v>
      </c>
      <c r="F72" s="4" t="str">
        <f>IF(NOMENCLATURE_GEN!F72="","",NOMENCLATURE_GEN!F72)</f>
        <v>TFM</v>
      </c>
      <c r="G72" s="154" t="str">
        <f>IF(NOMENCLATURE_GEN!G72="","",NOMENCLATURE_GEN!G72)</f>
        <v>Table densimétrique FM150 - Clapet motorisé</v>
      </c>
      <c r="H72" s="26" t="str">
        <f>IF(NOMENCLATURE_GEN!H72="","",NOMENCLATURE_GEN!H72)</f>
        <v/>
      </c>
      <c r="I72" s="26" t="str">
        <f>IF(NOMENCLATURE_GEN!I72="","",NOMENCLATURE_GEN!I72)</f>
        <v/>
      </c>
      <c r="J72" s="56" t="str">
        <f>IF(NOMENCLATURE_GEN!J72="","",NOMENCLATURE_GEN!J72)</f>
        <v/>
      </c>
      <c r="K72" s="158">
        <f>IFERROR(VLOOKUP(F72,données!$B$4:$K$30,9,FALSE),0)</f>
        <v>0</v>
      </c>
      <c r="L72" s="13"/>
      <c r="M72" s="159">
        <f>IFERROR((I72*2-VLOOKUP(F72,données!$B$4:$I$30,4,FALSE)+VLOOKUP(F72,données!$B$4:$I$30,5,FALSE)*NOMENCLATURE_GEN!O72+IF(OR(NOMENCLATURE_GEN!P72="",NOMENCLATURE_GEN!P72=0),0,2250)+0.3*H72+750)*2*K72,0)</f>
        <v>0</v>
      </c>
      <c r="N72" s="164">
        <f t="shared" si="1"/>
        <v>0</v>
      </c>
      <c r="O72" s="49"/>
      <c r="P72" s="49"/>
      <c r="Q72" s="49"/>
      <c r="R72" s="49"/>
    </row>
    <row r="73" spans="1:18" s="8" customFormat="1" ht="39.950000000000003" hidden="1" customHeight="1">
      <c r="A73" s="3"/>
      <c r="B73" s="25" t="str">
        <f>IF(NOMENCLATURE_GEN!B73="","",NOMENCLATURE_GEN!B73)</f>
        <v/>
      </c>
      <c r="C73" s="243" t="str">
        <f>IF(NOMENCLATURE_GEN!C73="","",NOMENCLATURE_GEN!C73)</f>
        <v/>
      </c>
      <c r="D73" s="4">
        <f>IF(NOMENCLATURE_GEN!D73="","",NOMENCLATURE_GEN!D73)</f>
        <v>156</v>
      </c>
      <c r="E73" s="4" t="str">
        <f ca="1">IF(NOMENCLATURE_GEN!E73="","",NOMENCLATURE_GEN!E73)</f>
        <v>A</v>
      </c>
      <c r="F73" s="4" t="str">
        <f>IF(NOMENCLATURE_GEN!F73="","",NOMENCLATURE_GEN!F73)</f>
        <v>TBE</v>
      </c>
      <c r="G73" s="154" t="str">
        <f>IF(NOMENCLATURE_GEN!G73="","",NOMENCLATURE_GEN!G73)</f>
        <v>Convoyeur de reprise des refus lourds et transfert vers centralisation</v>
      </c>
      <c r="H73" s="26">
        <f>IF(NOMENCLATURE_GEN!H73="","",NOMENCLATURE_GEN!H73)</f>
        <v>800</v>
      </c>
      <c r="I73" s="26">
        <f>IF(NOMENCLATURE_GEN!I73="","",NOMENCLATURE_GEN!I73)</f>
        <v>3000</v>
      </c>
      <c r="J73" s="56">
        <f>IF(NOMENCLATURE_GEN!J73="","",NOMENCLATURE_GEN!J73)</f>
        <v>0</v>
      </c>
      <c r="K73" s="158">
        <f>IFERROR(VLOOKUP(F73,données!$B$4:$K$30,9,FALSE),0)</f>
        <v>0</v>
      </c>
      <c r="L73" s="13"/>
      <c r="M73" s="159">
        <f>IFERROR((I73*2-VLOOKUP(F73,données!$B$4:$I$30,4,FALSE)+VLOOKUP(F73,données!$B$4:$I$30,5,FALSE)*NOMENCLATURE_GEN!O73+IF(OR(NOMENCLATURE_GEN!P73="",NOMENCLATURE_GEN!P73=0),0,2250)+0.3*H73+750)*2*K73,0)</f>
        <v>0</v>
      </c>
      <c r="N73" s="164">
        <f t="shared" si="1"/>
        <v>0</v>
      </c>
      <c r="O73" s="49"/>
      <c r="P73" s="49"/>
      <c r="Q73" s="49"/>
      <c r="R73" s="49"/>
    </row>
    <row r="74" spans="1:18" s="8" customFormat="1" ht="39.950000000000003" hidden="1" customHeight="1">
      <c r="A74" s="3"/>
      <c r="B74" s="25" t="str">
        <f>IF(NOMENCLATURE_GEN!B74="","",NOMENCLATURE_GEN!B74)</f>
        <v/>
      </c>
      <c r="C74" s="243" t="str">
        <f>IF(NOMENCLATURE_GEN!C74="","",NOMENCLATURE_GEN!C74)</f>
        <v/>
      </c>
      <c r="D74" s="4">
        <f>IF(NOMENCLATURE_GEN!D74="","",NOMENCLATURE_GEN!D74)</f>
        <v>157</v>
      </c>
      <c r="E74" s="4" t="str">
        <f ca="1">IF(NOMENCLATURE_GEN!E74="","",NOMENCLATURE_GEN!E74)</f>
        <v>A</v>
      </c>
      <c r="F74" s="4" t="str">
        <f>IF(NOMENCLATURE_GEN!F74="","",NOMENCLATURE_GEN!F74)</f>
        <v>TBE</v>
      </c>
      <c r="G74" s="154" t="str">
        <f>IF(NOMENCLATURE_GEN!G74="","",NOMENCLATURE_GEN!G74)</f>
        <v>Convoyeur de reprise des refus lourds et transfert vers centralisation</v>
      </c>
      <c r="H74" s="26">
        <f>IF(NOMENCLATURE_GEN!H74="","",NOMENCLATURE_GEN!H74)</f>
        <v>800</v>
      </c>
      <c r="I74" s="26">
        <f>IF(NOMENCLATURE_GEN!I74="","",NOMENCLATURE_GEN!I74)</f>
        <v>10000</v>
      </c>
      <c r="J74" s="56">
        <f>IF(NOMENCLATURE_GEN!J74="","",NOMENCLATURE_GEN!J74)</f>
        <v>6</v>
      </c>
      <c r="K74" s="158">
        <f>IFERROR(VLOOKUP(F74,données!$B$4:$K$30,9,FALSE),0)</f>
        <v>0</v>
      </c>
      <c r="L74" s="13"/>
      <c r="M74" s="159">
        <f>IFERROR((I74*2-VLOOKUP(F74,données!$B$4:$I$30,4,FALSE)+VLOOKUP(F74,données!$B$4:$I$30,5,FALSE)*NOMENCLATURE_GEN!O74+IF(OR(NOMENCLATURE_GEN!P74="",NOMENCLATURE_GEN!P74=0),0,2250)+0.3*H74+750)*2*K74,0)</f>
        <v>0</v>
      </c>
      <c r="N74" s="164">
        <f t="shared" si="1"/>
        <v>0</v>
      </c>
      <c r="O74" s="49"/>
      <c r="P74" s="49"/>
      <c r="Q74" s="49"/>
      <c r="R74" s="49"/>
    </row>
    <row r="75" spans="1:18" s="8" customFormat="1" ht="39.950000000000003" hidden="1" customHeight="1">
      <c r="A75" s="3"/>
      <c r="B75" s="25" t="str">
        <f>IF(NOMENCLATURE_GEN!B75="","",NOMENCLATURE_GEN!B75)</f>
        <v/>
      </c>
      <c r="C75" s="243" t="str">
        <f>IF(NOMENCLATURE_GEN!C75="","",NOMENCLATURE_GEN!C75)</f>
        <v/>
      </c>
      <c r="D75" s="4">
        <f>IF(NOMENCLATURE_GEN!D75="","",NOMENCLATURE_GEN!D75)</f>
        <v>158</v>
      </c>
      <c r="E75" s="4" t="str">
        <f ca="1">IF(NOMENCLATURE_GEN!E75="","",NOMENCLATURE_GEN!E75)</f>
        <v>A</v>
      </c>
      <c r="F75" s="4" t="str">
        <f>IF(NOMENCLATURE_GEN!F75="","",NOMENCLATURE_GEN!F75)</f>
        <v>TBE</v>
      </c>
      <c r="G75" s="154" t="str">
        <f>IF(NOMENCLATURE_GEN!G75="","",NOMENCLATURE_GEN!G75)</f>
        <v>Convoyeur de reprise des lourds 0-8mm</v>
      </c>
      <c r="H75" s="26">
        <f>IF(NOMENCLATURE_GEN!H75="","",NOMENCLATURE_GEN!H75)</f>
        <v>1800</v>
      </c>
      <c r="I75" s="26">
        <f>IF(NOMENCLATURE_GEN!I75="","",NOMENCLATURE_GEN!I75)</f>
        <v>4000</v>
      </c>
      <c r="J75" s="56">
        <f>IF(NOMENCLATURE_GEN!J75="","",NOMENCLATURE_GEN!J75)</f>
        <v>12</v>
      </c>
      <c r="K75" s="158">
        <f>IFERROR(VLOOKUP(F75,données!$B$4:$K$30,9,FALSE),0)</f>
        <v>0</v>
      </c>
      <c r="L75" s="13"/>
      <c r="M75" s="159">
        <f>IFERROR((I75*2-VLOOKUP(F75,données!$B$4:$I$30,4,FALSE)+VLOOKUP(F75,données!$B$4:$I$30,5,FALSE)*NOMENCLATURE_GEN!O75+IF(OR(NOMENCLATURE_GEN!P75="",NOMENCLATURE_GEN!P75=0),0,2250)+0.3*H75+750)*2*K75,0)</f>
        <v>0</v>
      </c>
      <c r="N75" s="164">
        <f t="shared" ref="N75:N123" si="4">(INT((M75/2)/3000)+1)*2*K75</f>
        <v>0</v>
      </c>
      <c r="O75" s="49"/>
      <c r="P75" s="49"/>
      <c r="Q75" s="49"/>
      <c r="R75" s="49"/>
    </row>
    <row r="76" spans="1:18" s="8" customFormat="1" ht="39.950000000000003" hidden="1" customHeight="1">
      <c r="A76" s="3"/>
      <c r="B76" s="25" t="str">
        <f>IF(NOMENCLATURE_GEN!B76="","",NOMENCLATURE_GEN!B76)</f>
        <v>SUP</v>
      </c>
      <c r="C76" s="243" t="str">
        <f>IF(NOMENCLATURE_GEN!C76="","",NOMENCLATURE_GEN!C76)</f>
        <v/>
      </c>
      <c r="D76" s="4">
        <f>IF(NOMENCLATURE_GEN!D76="","",NOMENCLATURE_GEN!D76)</f>
        <v>159</v>
      </c>
      <c r="E76" s="4" t="str">
        <f ca="1">IF(NOMENCLATURE_GEN!E76="","",NOMENCLATURE_GEN!E76)</f>
        <v>A</v>
      </c>
      <c r="F76" s="4" t="str">
        <f>IF(NOMENCLATURE_GEN!F76="","",NOMENCLATURE_GEN!F76)</f>
        <v>GLT</v>
      </c>
      <c r="G76" s="154" t="str">
        <f>IF(NOMENCLATURE_GEN!G76="","",NOMENCLATURE_GEN!G76)</f>
        <v>Goulotte de reprise des légers de la table FM150</v>
      </c>
      <c r="H76" s="26" t="str">
        <f>IF(NOMENCLATURE_GEN!H76="","",NOMENCLATURE_GEN!H76)</f>
        <v/>
      </c>
      <c r="I76" s="26" t="str">
        <f>IF(NOMENCLATURE_GEN!I76="","",NOMENCLATURE_GEN!I76)</f>
        <v/>
      </c>
      <c r="J76" s="56" t="str">
        <f>IF(NOMENCLATURE_GEN!J76="","",NOMENCLATURE_GEN!J76)</f>
        <v/>
      </c>
      <c r="K76" s="158">
        <f>IFERROR(VLOOKUP(F76,données!$B$4:$K$30,9,FALSE),0)</f>
        <v>0</v>
      </c>
      <c r="L76" s="13"/>
      <c r="M76" s="159">
        <f>IFERROR((I76*2-VLOOKUP(F76,données!$B$4:$I$30,4,FALSE)+VLOOKUP(F76,données!$B$4:$I$30,5,FALSE)*NOMENCLATURE_GEN!O76+IF(OR(NOMENCLATURE_GEN!P76="",NOMENCLATURE_GEN!P76=0),0,2250)+0.3*H76+750)*2*K76,0)</f>
        <v>0</v>
      </c>
      <c r="N76" s="164">
        <f t="shared" si="4"/>
        <v>0</v>
      </c>
      <c r="O76" s="49"/>
      <c r="P76" s="49"/>
      <c r="Q76" s="49"/>
      <c r="R76" s="49"/>
    </row>
    <row r="77" spans="1:18" s="8" customFormat="1" ht="39.950000000000003" hidden="1" customHeight="1">
      <c r="A77" s="3"/>
      <c r="B77" s="25" t="str">
        <f>IF(NOMENCLATURE_GEN!B77="","",NOMENCLATURE_GEN!B77)</f>
        <v/>
      </c>
      <c r="C77" s="243" t="str">
        <f>IF(NOMENCLATURE_GEN!C77="","",NOMENCLATURE_GEN!C77)</f>
        <v/>
      </c>
      <c r="D77" s="4">
        <f>IF(NOMENCLATURE_GEN!D77="","",NOMENCLATURE_GEN!D77)</f>
        <v>160</v>
      </c>
      <c r="E77" s="4" t="str">
        <f ca="1">IF(NOMENCLATURE_GEN!E77="","",NOMENCLATURE_GEN!E77)</f>
        <v>A</v>
      </c>
      <c r="F77" s="4" t="str">
        <f>IF(NOMENCLATURE_GEN!F77="","",NOMENCLATURE_GEN!F77)</f>
        <v>TBE</v>
      </c>
      <c r="G77" s="154" t="str">
        <f>IF(NOMENCLATURE_GEN!G77="","",NOMENCLATURE_GEN!G77)</f>
        <v>Convoyeur double sens de remplissage de la benne FFOM</v>
      </c>
      <c r="H77" s="26">
        <f>IF(NOMENCLATURE_GEN!H77="","",NOMENCLATURE_GEN!H77)</f>
        <v>800</v>
      </c>
      <c r="I77" s="26">
        <f>IF(NOMENCLATURE_GEN!I77="","",NOMENCLATURE_GEN!I77)</f>
        <v>5000</v>
      </c>
      <c r="J77" s="56">
        <f>IF(NOMENCLATURE_GEN!J77="","",NOMENCLATURE_GEN!J77)</f>
        <v>0</v>
      </c>
      <c r="K77" s="158">
        <f>IFERROR(VLOOKUP(F77,données!$B$4:$K$30,9,FALSE),0)</f>
        <v>0</v>
      </c>
      <c r="L77" s="13"/>
      <c r="M77" s="159">
        <f>IFERROR((I77*2-VLOOKUP(F77,données!$B$4:$I$30,4,FALSE)+VLOOKUP(F77,données!$B$4:$I$30,5,FALSE)*NOMENCLATURE_GEN!O77+IF(OR(NOMENCLATURE_GEN!P77="",NOMENCLATURE_GEN!P77=0),0,2250)+0.3*H77+750)*2*K77,0)</f>
        <v>0</v>
      </c>
      <c r="N77" s="164">
        <f t="shared" si="4"/>
        <v>0</v>
      </c>
      <c r="O77" s="49"/>
      <c r="P77" s="49"/>
      <c r="Q77" s="49"/>
      <c r="R77" s="49"/>
    </row>
    <row r="78" spans="1:18" s="8" customFormat="1" ht="39.950000000000003" hidden="1" customHeight="1">
      <c r="A78" s="3"/>
      <c r="B78" s="25" t="str">
        <f>IF(NOMENCLATURE_GEN!B78="","",NOMENCLATURE_GEN!B78)</f>
        <v/>
      </c>
      <c r="C78" s="243" t="str">
        <f>IF(NOMENCLATURE_GEN!C78="","",NOMENCLATURE_GEN!C78)</f>
        <v/>
      </c>
      <c r="D78" s="4">
        <f>IF(NOMENCLATURE_GEN!D78="","",NOMENCLATURE_GEN!D78)</f>
        <v>161</v>
      </c>
      <c r="E78" s="4" t="str">
        <f ca="1">IF(NOMENCLATURE_GEN!E78="","",NOMENCLATURE_GEN!E78)</f>
        <v>A</v>
      </c>
      <c r="F78" s="4" t="str">
        <f>IF(NOMENCLATURE_GEN!F78="","",NOMENCLATURE_GEN!F78)</f>
        <v>NAV</v>
      </c>
      <c r="G78" s="154" t="str">
        <f>IF(NOMENCLATURE_GEN!G78="","",NOMENCLATURE_GEN!G78)</f>
        <v>Système navette pour convoyeur double sens</v>
      </c>
      <c r="H78" s="26" t="str">
        <f>IF(NOMENCLATURE_GEN!H78="","",NOMENCLATURE_GEN!H78)</f>
        <v/>
      </c>
      <c r="I78" s="26" t="str">
        <f>IF(NOMENCLATURE_GEN!I78="","",NOMENCLATURE_GEN!I78)</f>
        <v/>
      </c>
      <c r="J78" s="56" t="str">
        <f>IF(NOMENCLATURE_GEN!J78="","",NOMENCLATURE_GEN!J78)</f>
        <v/>
      </c>
      <c r="K78" s="158">
        <f>IFERROR(VLOOKUP(F78,données!$B$4:$K$30,9,FALSE),0)</f>
        <v>0</v>
      </c>
      <c r="L78" s="13"/>
      <c r="M78" s="159">
        <f>IFERROR((I78*2-VLOOKUP(F78,données!$B$4:$I$30,4,FALSE)+VLOOKUP(F78,données!$B$4:$I$30,5,FALSE)*NOMENCLATURE_GEN!O78+IF(OR(NOMENCLATURE_GEN!P78="",NOMENCLATURE_GEN!P78=0),0,2250)+0.3*H78+750)*2*K78,0)</f>
        <v>0</v>
      </c>
      <c r="N78" s="164">
        <f t="shared" si="4"/>
        <v>0</v>
      </c>
      <c r="O78" s="49"/>
      <c r="P78" s="49"/>
      <c r="Q78" s="49"/>
      <c r="R78" s="49"/>
    </row>
    <row r="79" spans="1:18" s="8" customFormat="1" ht="39.950000000000003" hidden="1" customHeight="1">
      <c r="A79" s="3"/>
      <c r="B79" s="25" t="str">
        <f>IF(NOMENCLATURE_GEN!B79="","",NOMENCLATURE_GEN!B79)</f>
        <v/>
      </c>
      <c r="C79" s="243" t="str">
        <f>IF(NOMENCLATURE_GEN!C79="","",NOMENCLATURE_GEN!C79)</f>
        <v/>
      </c>
      <c r="D79" s="4">
        <f>IF(NOMENCLATURE_GEN!D79="","",NOMENCLATURE_GEN!D79)</f>
        <v>162</v>
      </c>
      <c r="E79" s="4" t="str">
        <f ca="1">IF(NOMENCLATURE_GEN!E79="","",NOMENCLATURE_GEN!E79)</f>
        <v>A</v>
      </c>
      <c r="F79" s="4" t="str">
        <f>IF(NOMENCLATURE_GEN!F79="","",NOMENCLATURE_GEN!F79)</f>
        <v>TBE</v>
      </c>
      <c r="G79" s="154" t="str">
        <f>IF(NOMENCLATURE_GEN!G79="","",NOMENCLATURE_GEN!G79)</f>
        <v>Convoyeur de reprise des aciers 0-30 et &gt; 180mm</v>
      </c>
      <c r="H79" s="26">
        <f>IF(NOMENCLATURE_GEN!H79="","",NOMENCLATURE_GEN!H79)</f>
        <v>1000</v>
      </c>
      <c r="I79" s="26">
        <f>IF(NOMENCLATURE_GEN!I79="","",NOMENCLATURE_GEN!I79)</f>
        <v>15500</v>
      </c>
      <c r="J79" s="56">
        <f>IF(NOMENCLATURE_GEN!J79="","",NOMENCLATURE_GEN!J79)</f>
        <v>0</v>
      </c>
      <c r="K79" s="158">
        <f>IFERROR(VLOOKUP(F79,données!$B$4:$K$30,9,FALSE),0)</f>
        <v>0</v>
      </c>
      <c r="L79" s="13"/>
      <c r="M79" s="159">
        <f>IFERROR((I79*2-VLOOKUP(F79,données!$B$4:$I$30,4,FALSE)+VLOOKUP(F79,données!$B$4:$I$30,5,FALSE)*NOMENCLATURE_GEN!O79+IF(OR(NOMENCLATURE_GEN!P79="",NOMENCLATURE_GEN!P79=0),0,2250)+0.3*H79+750)*2*K79,0)</f>
        <v>0</v>
      </c>
      <c r="N79" s="164">
        <f t="shared" si="4"/>
        <v>0</v>
      </c>
      <c r="O79" s="49"/>
      <c r="P79" s="49"/>
      <c r="Q79" s="49"/>
      <c r="R79" s="49"/>
    </row>
    <row r="80" spans="1:18" s="8" customFormat="1" ht="39.950000000000003" hidden="1" customHeight="1">
      <c r="A80" s="3"/>
      <c r="B80" s="25" t="str">
        <f>IF(NOMENCLATURE_GEN!B80="","",NOMENCLATURE_GEN!B80)</f>
        <v/>
      </c>
      <c r="C80" s="243" t="str">
        <f>IF(NOMENCLATURE_GEN!C80="","",NOMENCLATURE_GEN!C80)</f>
        <v/>
      </c>
      <c r="D80" s="4">
        <f>IF(NOMENCLATURE_GEN!D80="","",NOMENCLATURE_GEN!D80)</f>
        <v>163</v>
      </c>
      <c r="E80" s="4" t="str">
        <f ca="1">IF(NOMENCLATURE_GEN!E80="","",NOMENCLATURE_GEN!E80)</f>
        <v>A</v>
      </c>
      <c r="F80" s="4" t="str">
        <f>IF(NOMENCLATURE_GEN!F80="","",NOMENCLATURE_GEN!F80)</f>
        <v>TBE</v>
      </c>
      <c r="G80" s="154" t="str">
        <f>IF(NOMENCLATURE_GEN!G80="","",NOMENCLATURE_GEN!G80)</f>
        <v>Convoyeur de centralisation des aciers</v>
      </c>
      <c r="H80" s="26">
        <f>IF(NOMENCLATURE_GEN!H80="","",NOMENCLATURE_GEN!H80)</f>
        <v>1000</v>
      </c>
      <c r="I80" s="26">
        <f>IF(NOMENCLATURE_GEN!I80="","",NOMENCLATURE_GEN!I80)</f>
        <v>4000</v>
      </c>
      <c r="J80" s="56">
        <f>IF(NOMENCLATURE_GEN!J80="","",NOMENCLATURE_GEN!J80)</f>
        <v>15</v>
      </c>
      <c r="K80" s="158">
        <f>IFERROR(VLOOKUP(F80,données!$B$4:$K$30,9,FALSE),0)</f>
        <v>0</v>
      </c>
      <c r="L80" s="13"/>
      <c r="M80" s="159">
        <f>IFERROR((I80*2-VLOOKUP(F80,données!$B$4:$I$30,4,FALSE)+VLOOKUP(F80,données!$B$4:$I$30,5,FALSE)*NOMENCLATURE_GEN!O80+IF(OR(NOMENCLATURE_GEN!P80="",NOMENCLATURE_GEN!P80=0),0,2250)+0.3*H80+750)*2*K80,0)</f>
        <v>0</v>
      </c>
      <c r="N80" s="164">
        <f t="shared" si="4"/>
        <v>0</v>
      </c>
      <c r="O80" s="49"/>
      <c r="P80" s="49"/>
      <c r="Q80" s="49"/>
      <c r="R80" s="49"/>
    </row>
    <row r="81" spans="1:18" s="8" customFormat="1" ht="39.950000000000003" hidden="1" customHeight="1">
      <c r="A81" s="3"/>
      <c r="B81" s="25" t="str">
        <f>IF(NOMENCLATURE_GEN!B81="","",NOMENCLATURE_GEN!B81)</f>
        <v/>
      </c>
      <c r="C81" s="243" t="str">
        <f>IF(NOMENCLATURE_GEN!C81="","",NOMENCLATURE_GEN!C81)</f>
        <v/>
      </c>
      <c r="D81" s="4">
        <f>IF(NOMENCLATURE_GEN!D81="","",NOMENCLATURE_GEN!D81)</f>
        <v>164</v>
      </c>
      <c r="E81" s="4" t="str">
        <f ca="1">IF(NOMENCLATURE_GEN!E81="","",NOMENCLATURE_GEN!E81)</f>
        <v>A</v>
      </c>
      <c r="F81" s="4" t="str">
        <f>IF(NOMENCLATURE_GEN!F81="","",NOMENCLATURE_GEN!F81)</f>
        <v>TBE</v>
      </c>
      <c r="G81" s="154" t="str">
        <f>IF(NOMENCLATURE_GEN!G81="","",NOMENCLATURE_GEN!G81)</f>
        <v>Convoyeur de transfert des aciers vers benne</v>
      </c>
      <c r="H81" s="26">
        <f>IF(NOMENCLATURE_GEN!H81="","",NOMENCLATURE_GEN!H81)</f>
        <v>1000</v>
      </c>
      <c r="I81" s="26">
        <f>IF(NOMENCLATURE_GEN!I81="","",NOMENCLATURE_GEN!I81)</f>
        <v>11500</v>
      </c>
      <c r="J81" s="56">
        <f>IF(NOMENCLATURE_GEN!J81="","",NOMENCLATURE_GEN!J81)</f>
        <v>25</v>
      </c>
      <c r="K81" s="158">
        <f>IFERROR(VLOOKUP(F81,données!$B$4:$K$30,9,FALSE),0)</f>
        <v>0</v>
      </c>
      <c r="L81" s="13"/>
      <c r="M81" s="159">
        <f>IFERROR((I81*2-VLOOKUP(F81,données!$B$4:$I$30,4,FALSE)+VLOOKUP(F81,données!$B$4:$I$30,5,FALSE)*NOMENCLATURE_GEN!O81+IF(OR(NOMENCLATURE_GEN!P81="",NOMENCLATURE_GEN!P81=0),0,2250)+0.3*H81+750)*2*K81,0)</f>
        <v>0</v>
      </c>
      <c r="N81" s="164">
        <f t="shared" si="4"/>
        <v>0</v>
      </c>
      <c r="O81" s="49"/>
      <c r="P81" s="49"/>
      <c r="Q81" s="49"/>
      <c r="R81" s="49"/>
    </row>
    <row r="82" spans="1:18" s="8" customFormat="1" ht="39.950000000000003" hidden="1" customHeight="1">
      <c r="A82" s="3"/>
      <c r="B82" s="25" t="str">
        <f>IF(NOMENCLATURE_GEN!B82="","",NOMENCLATURE_GEN!B82)</f>
        <v/>
      </c>
      <c r="C82" s="243" t="str">
        <f>IF(NOMENCLATURE_GEN!C82="","",NOMENCLATURE_GEN!C82)</f>
        <v/>
      </c>
      <c r="D82" s="4">
        <f>IF(NOMENCLATURE_GEN!D82="","",NOMENCLATURE_GEN!D82)</f>
        <v>165</v>
      </c>
      <c r="E82" s="4" t="str">
        <f ca="1">IF(NOMENCLATURE_GEN!E82="","",NOMENCLATURE_GEN!E82)</f>
        <v>A</v>
      </c>
      <c r="F82" s="4" t="str">
        <f>IF(NOMENCLATURE_GEN!F82="","",NOMENCLATURE_GEN!F82)</f>
        <v>TBE</v>
      </c>
      <c r="G82" s="154" t="str">
        <f>IF(NOMENCLATURE_GEN!G82="","",NOMENCLATURE_GEN!G82)</f>
        <v>Convoyeur navette double sens de remplissage de la benne acier</v>
      </c>
      <c r="H82" s="26">
        <f>IF(NOMENCLATURE_GEN!H82="","",NOMENCLATURE_GEN!H82)</f>
        <v>1000</v>
      </c>
      <c r="I82" s="26">
        <f>IF(NOMENCLATURE_GEN!I82="","",NOMENCLATURE_GEN!I82)</f>
        <v>3000</v>
      </c>
      <c r="J82" s="56">
        <f>IF(NOMENCLATURE_GEN!J82="","",NOMENCLATURE_GEN!J82)</f>
        <v>0</v>
      </c>
      <c r="K82" s="158">
        <f>IFERROR(VLOOKUP(F82,données!$B$4:$K$30,9,FALSE),0)</f>
        <v>0</v>
      </c>
      <c r="L82" s="13"/>
      <c r="M82" s="159">
        <f>IFERROR((I82*2-VLOOKUP(F82,données!$B$4:$I$30,4,FALSE)+VLOOKUP(F82,données!$B$4:$I$30,5,FALSE)*NOMENCLATURE_GEN!O82+IF(OR(NOMENCLATURE_GEN!P82="",NOMENCLATURE_GEN!P82=0),0,2250)+0.3*H82+750)*2*K82,0)</f>
        <v>0</v>
      </c>
      <c r="N82" s="164">
        <f t="shared" si="4"/>
        <v>0</v>
      </c>
      <c r="O82" s="49"/>
      <c r="P82" s="49"/>
      <c r="Q82" s="49"/>
      <c r="R82" s="49"/>
    </row>
    <row r="83" spans="1:18" s="8" customFormat="1" ht="39.950000000000003" hidden="1" customHeight="1">
      <c r="A83" s="3"/>
      <c r="B83" s="25" t="str">
        <f>IF(NOMENCLATURE_GEN!B83="","",NOMENCLATURE_GEN!B83)</f>
        <v/>
      </c>
      <c r="C83" s="243" t="str">
        <f>IF(NOMENCLATURE_GEN!C83="","",NOMENCLATURE_GEN!C83)</f>
        <v/>
      </c>
      <c r="D83" s="4">
        <f>IF(NOMENCLATURE_GEN!D83="","",NOMENCLATURE_GEN!D83)</f>
        <v>166</v>
      </c>
      <c r="E83" s="4" t="str">
        <f ca="1">IF(NOMENCLATURE_GEN!E83="","",NOMENCLATURE_GEN!E83)</f>
        <v>A</v>
      </c>
      <c r="F83" s="4" t="str">
        <f>IF(NOMENCLATURE_GEN!F83="","",NOMENCLATURE_GEN!F83)</f>
        <v>CYC</v>
      </c>
      <c r="G83" s="154" t="str">
        <f>IF(NOMENCLATURE_GEN!G83="","",NOMENCLATURE_GEN!G83)</f>
        <v>Cyclone &amp; écluse pour table densimétrique  - Ventilateur</v>
      </c>
      <c r="H83" s="26" t="str">
        <f>IF(NOMENCLATURE_GEN!H83="","",NOMENCLATURE_GEN!H83)</f>
        <v/>
      </c>
      <c r="I83" s="26" t="str">
        <f>IF(NOMENCLATURE_GEN!I83="","",NOMENCLATURE_GEN!I83)</f>
        <v/>
      </c>
      <c r="J83" s="56" t="str">
        <f>IF(NOMENCLATURE_GEN!J83="","",NOMENCLATURE_GEN!J83)</f>
        <v/>
      </c>
      <c r="K83" s="158">
        <f>IFERROR(VLOOKUP(F83,données!$B$4:$K$30,9,FALSE),0)</f>
        <v>0</v>
      </c>
      <c r="L83" s="13"/>
      <c r="M83" s="159">
        <f>IFERROR((I83*2-VLOOKUP(F83,données!$B$4:$I$30,4,FALSE)+VLOOKUP(F83,données!$B$4:$I$30,5,FALSE)*NOMENCLATURE_GEN!O83+IF(OR(NOMENCLATURE_GEN!P83="",NOMENCLATURE_GEN!P83=0),0,2250)+0.3*H83+750)*2*K83,0)</f>
        <v>0</v>
      </c>
      <c r="N83" s="164">
        <f t="shared" si="4"/>
        <v>0</v>
      </c>
      <c r="O83" s="49"/>
      <c r="P83" s="49"/>
      <c r="Q83" s="49"/>
      <c r="R83" s="49"/>
    </row>
    <row r="84" spans="1:18" s="8" customFormat="1" ht="39.950000000000003" hidden="1" customHeight="1">
      <c r="A84" s="3"/>
      <c r="B84" s="25" t="str">
        <f>IF(NOMENCLATURE_GEN!B84="","",NOMENCLATURE_GEN!B84)</f>
        <v/>
      </c>
      <c r="C84" s="243" t="str">
        <f>IF(NOMENCLATURE_GEN!C84="","",NOMENCLATURE_GEN!C84)</f>
        <v/>
      </c>
      <c r="D84" s="4">
        <f>IF(NOMENCLATURE_GEN!D84="","",NOMENCLATURE_GEN!D84)</f>
        <v>166</v>
      </c>
      <c r="E84" s="4" t="str">
        <f ca="1">IF(NOMENCLATURE_GEN!E84="","",NOMENCLATURE_GEN!E84)</f>
        <v>B</v>
      </c>
      <c r="F84" s="4" t="str">
        <f>IF(NOMENCLATURE_GEN!F84="","",NOMENCLATURE_GEN!F84)</f>
        <v>CYC</v>
      </c>
      <c r="G84" s="154" t="str">
        <f>IF(NOMENCLATURE_GEN!G84="","",NOMENCLATURE_GEN!G84)</f>
        <v>Cyclone &amp; écluse pour table densimétrique - Ecluse</v>
      </c>
      <c r="H84" s="26" t="str">
        <f>IF(NOMENCLATURE_GEN!H84="","",NOMENCLATURE_GEN!H84)</f>
        <v/>
      </c>
      <c r="I84" s="26" t="str">
        <f>IF(NOMENCLATURE_GEN!I84="","",NOMENCLATURE_GEN!I84)</f>
        <v/>
      </c>
      <c r="J84" s="56" t="str">
        <f>IF(NOMENCLATURE_GEN!J84="","",NOMENCLATURE_GEN!J84)</f>
        <v/>
      </c>
      <c r="K84" s="158">
        <f>IFERROR(VLOOKUP(F84,données!$B$4:$K$30,9,FALSE),0)</f>
        <v>0</v>
      </c>
      <c r="L84" s="13"/>
      <c r="M84" s="159">
        <f>IFERROR((I84*2-VLOOKUP(F84,données!$B$4:$I$30,4,FALSE)+VLOOKUP(F84,données!$B$4:$I$30,5,FALSE)*NOMENCLATURE_GEN!O84+IF(OR(NOMENCLATURE_GEN!P84="",NOMENCLATURE_GEN!P84=0),0,2250)+0.3*H84+750)*2*K84,0)</f>
        <v>0</v>
      </c>
      <c r="N84" s="164">
        <f t="shared" si="4"/>
        <v>0</v>
      </c>
      <c r="O84" s="49"/>
      <c r="P84" s="49"/>
      <c r="Q84" s="49"/>
      <c r="R84" s="49"/>
    </row>
    <row r="85" spans="1:18" s="8" customFormat="1" ht="39.950000000000003" hidden="1" customHeight="1">
      <c r="A85" s="3"/>
      <c r="B85" s="25" t="str">
        <f>IF(NOMENCLATURE_GEN!B85="","",NOMENCLATURE_GEN!B85)</f>
        <v/>
      </c>
      <c r="C85" s="243" t="str">
        <f>IF(NOMENCLATURE_GEN!C85="","",NOMENCLATURE_GEN!C85)</f>
        <v/>
      </c>
      <c r="D85" s="4">
        <f>IF(NOMENCLATURE_GEN!D85="","",NOMENCLATURE_GEN!D85)</f>
        <v>166</v>
      </c>
      <c r="E85" s="4" t="str">
        <f ca="1">IF(NOMENCLATURE_GEN!E85="","",NOMENCLATURE_GEN!E85)</f>
        <v>C</v>
      </c>
      <c r="F85" s="4" t="str">
        <f>IF(NOMENCLATURE_GEN!F85="","",NOMENCLATURE_GEN!F85)</f>
        <v>CYC</v>
      </c>
      <c r="G85" s="154" t="str">
        <f>IF(NOMENCLATURE_GEN!G85="","",NOMENCLATURE_GEN!G85)</f>
        <v>Cyclone &amp; écluse pour table densimétrique - Clapet motorisé</v>
      </c>
      <c r="H85" s="26" t="str">
        <f>IF(NOMENCLATURE_GEN!H85="","",NOMENCLATURE_GEN!H85)</f>
        <v/>
      </c>
      <c r="I85" s="26" t="str">
        <f>IF(NOMENCLATURE_GEN!I85="","",NOMENCLATURE_GEN!I85)</f>
        <v/>
      </c>
      <c r="J85" s="56" t="str">
        <f>IF(NOMENCLATURE_GEN!J85="","",NOMENCLATURE_GEN!J85)</f>
        <v/>
      </c>
      <c r="K85" s="158">
        <f>IFERROR(VLOOKUP(F85,données!$B$4:$K$30,9,FALSE),0)</f>
        <v>0</v>
      </c>
      <c r="L85" s="13"/>
      <c r="M85" s="159">
        <f>IFERROR((I85*2-VLOOKUP(F85,données!$B$4:$I$30,4,FALSE)+VLOOKUP(F85,données!$B$4:$I$30,5,FALSE)*NOMENCLATURE_GEN!O85+IF(OR(NOMENCLATURE_GEN!P85="",NOMENCLATURE_GEN!P85=0),0,2250)+0.3*H85+750)*2*K85,0)</f>
        <v>0</v>
      </c>
      <c r="N85" s="164">
        <f t="shared" si="4"/>
        <v>0</v>
      </c>
      <c r="O85" s="49"/>
      <c r="P85" s="49"/>
      <c r="Q85" s="49"/>
      <c r="R85" s="49"/>
    </row>
    <row r="86" spans="1:18" s="8" customFormat="1" ht="39.950000000000003" hidden="1" customHeight="1">
      <c r="A86" s="3"/>
      <c r="B86" s="25" t="str">
        <f>IF(NOMENCLATURE_GEN!B86="","",NOMENCLATURE_GEN!B86)</f>
        <v/>
      </c>
      <c r="C86" s="243" t="str">
        <f>IF(NOMENCLATURE_GEN!C86="","",NOMENCLATURE_GEN!C86)</f>
        <v/>
      </c>
      <c r="D86" s="4">
        <f>IF(NOMENCLATURE_GEN!D86="","",NOMENCLATURE_GEN!D86)</f>
        <v>167</v>
      </c>
      <c r="E86" s="4" t="str">
        <f ca="1">IF(NOMENCLATURE_GEN!E86="","",NOMENCLATURE_GEN!E86)</f>
        <v>A</v>
      </c>
      <c r="F86" s="4" t="str">
        <f>IF(NOMENCLATURE_GEN!F86="","",NOMENCLATURE_GEN!F86)</f>
        <v>HYD</v>
      </c>
      <c r="G86" s="154" t="str">
        <f>IF(NOMENCLATURE_GEN!G86="","",NOMENCLATURE_GEN!G86)</f>
        <v>Centrale hydraulique de pilotage des FMA</v>
      </c>
      <c r="H86" s="26" t="str">
        <f>IF(NOMENCLATURE_GEN!H86="","",NOMENCLATURE_GEN!H86)</f>
        <v/>
      </c>
      <c r="I86" s="26" t="str">
        <f>IF(NOMENCLATURE_GEN!I86="","",NOMENCLATURE_GEN!I86)</f>
        <v/>
      </c>
      <c r="J86" s="56" t="str">
        <f>IF(NOMENCLATURE_GEN!J86="","",NOMENCLATURE_GEN!J86)</f>
        <v/>
      </c>
      <c r="K86" s="158">
        <f>IFERROR(VLOOKUP(F86,données!$B$4:$K$30,9,FALSE),0)</f>
        <v>0</v>
      </c>
      <c r="L86" s="13"/>
      <c r="M86" s="159">
        <f>IFERROR((I86*2-VLOOKUP(F86,données!$B$4:$I$30,4,FALSE)+VLOOKUP(F86,données!$B$4:$I$30,5,FALSE)*NOMENCLATURE_GEN!O86+IF(OR(NOMENCLATURE_GEN!P86="",NOMENCLATURE_GEN!P86=0),0,2250)+0.3*H86+750)*2*K86,0)</f>
        <v>0</v>
      </c>
      <c r="N86" s="164">
        <f t="shared" si="4"/>
        <v>0</v>
      </c>
      <c r="O86" s="49"/>
      <c r="P86" s="49"/>
      <c r="Q86" s="49"/>
      <c r="R86" s="49"/>
    </row>
    <row r="87" spans="1:18" s="8" customFormat="1" ht="39.950000000000003" hidden="1" customHeight="1">
      <c r="A87" s="3"/>
      <c r="B87" s="25" t="str">
        <f>IF(NOMENCLATURE_GEN!B87="","",NOMENCLATURE_GEN!B87)</f>
        <v>SUP</v>
      </c>
      <c r="C87" s="243" t="str">
        <f>IF(NOMENCLATURE_GEN!C87="","",NOMENCLATURE_GEN!C87)</f>
        <v/>
      </c>
      <c r="D87" s="4">
        <f>IF(NOMENCLATURE_GEN!D87="","",NOMENCLATURE_GEN!D87)</f>
        <v>168</v>
      </c>
      <c r="E87" s="4" t="str">
        <f ca="1">IF(NOMENCLATURE_GEN!E87="","",NOMENCLATURE_GEN!E87)</f>
        <v>A</v>
      </c>
      <c r="F87" s="4" t="str">
        <f>IF(NOMENCLATURE_GEN!F87="","",NOMENCLATURE_GEN!F87)</f>
        <v>FMA</v>
      </c>
      <c r="G87" s="154" t="str">
        <f>IF(NOMENCLATURE_GEN!G87="","",NOMENCLATURE_GEN!G87)</f>
        <v>Guide roue des FMA</v>
      </c>
      <c r="H87" s="26" t="str">
        <f>IF(NOMENCLATURE_GEN!H87="","",NOMENCLATURE_GEN!H87)</f>
        <v/>
      </c>
      <c r="I87" s="26" t="str">
        <f>IF(NOMENCLATURE_GEN!I87="","",NOMENCLATURE_GEN!I87)</f>
        <v/>
      </c>
      <c r="J87" s="56" t="str">
        <f>IF(NOMENCLATURE_GEN!J87="","",NOMENCLATURE_GEN!J87)</f>
        <v/>
      </c>
      <c r="K87" s="158">
        <f>IFERROR(VLOOKUP(F87,données!$B$4:$K$30,9,FALSE),0)</f>
        <v>0</v>
      </c>
      <c r="L87" s="13"/>
      <c r="M87" s="159">
        <f>IFERROR((I87*2-VLOOKUP(F87,données!$B$4:$I$30,4,FALSE)+VLOOKUP(F87,données!$B$4:$I$30,5,FALSE)*NOMENCLATURE_GEN!O87+IF(OR(NOMENCLATURE_GEN!P87="",NOMENCLATURE_GEN!P87=0),0,2250)+0.3*H87+750)*2*K87,0)</f>
        <v>0</v>
      </c>
      <c r="N87" s="164">
        <f t="shared" si="4"/>
        <v>0</v>
      </c>
      <c r="O87" s="49"/>
      <c r="P87" s="49"/>
      <c r="Q87" s="49"/>
      <c r="R87" s="49"/>
    </row>
    <row r="88" spans="1:18" s="8" customFormat="1" ht="39.950000000000003" hidden="1" customHeight="1">
      <c r="A88" s="3"/>
      <c r="B88" s="25" t="str">
        <f>IF(NOMENCLATURE_GEN!B88="","",NOMENCLATURE_GEN!B88)</f>
        <v>SUP</v>
      </c>
      <c r="C88" s="243" t="str">
        <f>IF(NOMENCLATURE_GEN!C88="","",NOMENCLATURE_GEN!C88)</f>
        <v/>
      </c>
      <c r="D88" s="4">
        <f>IF(NOMENCLATURE_GEN!D88="","",NOMENCLATURE_GEN!D88)</f>
        <v>169</v>
      </c>
      <c r="E88" s="4" t="str">
        <f ca="1">IF(NOMENCLATURE_GEN!E88="","",NOMENCLATURE_GEN!E88)</f>
        <v>A</v>
      </c>
      <c r="F88" s="4" t="str">
        <f>IF(NOMENCLATURE_GEN!F88="","",NOMENCLATURE_GEN!F88)</f>
        <v>FMA</v>
      </c>
      <c r="G88" s="154" t="str">
        <f>IF(NOMENCLATURE_GEN!G88="","",NOMENCLATURE_GEN!G88)</f>
        <v>Bloc roue des FMA</v>
      </c>
      <c r="H88" s="26" t="str">
        <f>IF(NOMENCLATURE_GEN!H88="","",NOMENCLATURE_GEN!H88)</f>
        <v/>
      </c>
      <c r="I88" s="26" t="str">
        <f>IF(NOMENCLATURE_GEN!I88="","",NOMENCLATURE_GEN!I88)</f>
        <v/>
      </c>
      <c r="J88" s="56" t="str">
        <f>IF(NOMENCLATURE_GEN!J88="","",NOMENCLATURE_GEN!J88)</f>
        <v/>
      </c>
      <c r="K88" s="158">
        <f>IFERROR(VLOOKUP(F88,données!$B$4:$K$30,9,FALSE),0)</f>
        <v>0</v>
      </c>
      <c r="L88" s="13"/>
      <c r="M88" s="159">
        <f>IFERROR((I88*2-VLOOKUP(F88,données!$B$4:$I$30,4,FALSE)+VLOOKUP(F88,données!$B$4:$I$30,5,FALSE)*NOMENCLATURE_GEN!O88+IF(OR(NOMENCLATURE_GEN!P88="",NOMENCLATURE_GEN!P88=0),0,2250)+0.3*H88+750)*2*K88,0)</f>
        <v>0</v>
      </c>
      <c r="N88" s="164">
        <f t="shared" si="4"/>
        <v>0</v>
      </c>
      <c r="O88" s="49"/>
      <c r="P88" s="49"/>
      <c r="Q88" s="49"/>
      <c r="R88" s="49"/>
    </row>
    <row r="89" spans="1:18" s="8" customFormat="1" ht="39.950000000000003" hidden="1" customHeight="1">
      <c r="A89" s="3"/>
      <c r="B89" s="25" t="str">
        <f>IF(NOMENCLATURE_GEN!B89="","",NOMENCLATURE_GEN!B89)</f>
        <v/>
      </c>
      <c r="C89" s="243" t="str">
        <f>IF(NOMENCLATURE_GEN!C89="","",NOMENCLATURE_GEN!C89)</f>
        <v/>
      </c>
      <c r="D89" s="4">
        <f>IF(NOMENCLATURE_GEN!D89="","",NOMENCLATURE_GEN!D89)</f>
        <v>170</v>
      </c>
      <c r="E89" s="4" t="str">
        <f ca="1">IF(NOMENCLATURE_GEN!E89="","",NOMENCLATURE_GEN!E89)</f>
        <v>A</v>
      </c>
      <c r="F89" s="4" t="str">
        <f>IF(NOMENCLATURE_GEN!F89="","",NOMENCLATURE_GEN!F89)</f>
        <v>COM</v>
      </c>
      <c r="G89" s="154" t="str">
        <f>IF(NOMENCLATURE_GEN!G89="","",NOMENCLATURE_GEN!G89)</f>
        <v>Compresseur + sécheur pour nettoyage trommel</v>
      </c>
      <c r="H89" s="26" t="str">
        <f>IF(NOMENCLATURE_GEN!H89="","",NOMENCLATURE_GEN!H89)</f>
        <v/>
      </c>
      <c r="I89" s="26" t="str">
        <f>IF(NOMENCLATURE_GEN!I89="","",NOMENCLATURE_GEN!I89)</f>
        <v/>
      </c>
      <c r="J89" s="56" t="str">
        <f>IF(NOMENCLATURE_GEN!J89="","",NOMENCLATURE_GEN!J89)</f>
        <v/>
      </c>
      <c r="K89" s="158">
        <f>IFERROR(VLOOKUP(F89,données!$B$4:$K$30,9,FALSE),0)</f>
        <v>0</v>
      </c>
      <c r="L89" s="13"/>
      <c r="M89" s="159">
        <f>IFERROR((I89*2-VLOOKUP(F89,données!$B$4:$I$30,4,FALSE)+VLOOKUP(F89,données!$B$4:$I$30,5,FALSE)*NOMENCLATURE_GEN!O89+IF(OR(NOMENCLATURE_GEN!P89="",NOMENCLATURE_GEN!P89=0),0,2250)+0.3*H89+750)*2*K89,0)</f>
        <v>0</v>
      </c>
      <c r="N89" s="164">
        <f t="shared" si="4"/>
        <v>0</v>
      </c>
      <c r="O89" s="49"/>
      <c r="P89" s="49"/>
      <c r="Q89" s="49"/>
      <c r="R89" s="49"/>
    </row>
    <row r="90" spans="1:18" s="8" customFormat="1" ht="39.950000000000003" hidden="1" customHeight="1">
      <c r="A90" s="3"/>
      <c r="B90" s="25" t="str">
        <f>IF(NOMENCLATURE_GEN!B90="","",NOMENCLATURE_GEN!B90)</f>
        <v/>
      </c>
      <c r="C90" s="243" t="str">
        <f>IF(NOMENCLATURE_GEN!C90="","",NOMENCLATURE_GEN!C90)</f>
        <v/>
      </c>
      <c r="D90" s="4">
        <f>IF(NOMENCLATURE_GEN!D90="","",NOMENCLATURE_GEN!D90)</f>
        <v>172</v>
      </c>
      <c r="E90" s="4" t="str">
        <f ca="1">IF(NOMENCLATURE_GEN!E90="","",NOMENCLATURE_GEN!E90)</f>
        <v>A</v>
      </c>
      <c r="F90" s="4" t="str">
        <f>IF(NOMENCLATURE_GEN!F90="","",NOMENCLATURE_GEN!F90)</f>
        <v>CBA</v>
      </c>
      <c r="G90" s="154" t="str">
        <f>IF(NOMENCLATURE_GEN!G90="","",NOMENCLATURE_GEN!G90)</f>
        <v>Convoyeur de reprise des légers 0-8mm by-pass (tampon ou métha)</v>
      </c>
      <c r="H90" s="26">
        <f>IF(NOMENCLATURE_GEN!H90="","",NOMENCLATURE_GEN!H90)</f>
        <v>1000</v>
      </c>
      <c r="I90" s="26">
        <f>IF(NOMENCLATURE_GEN!I90="","",NOMENCLATURE_GEN!I90)</f>
        <v>18250</v>
      </c>
      <c r="J90" s="56">
        <f>IF(NOMENCLATURE_GEN!J90="","",NOMENCLATURE_GEN!J90)</f>
        <v>12</v>
      </c>
      <c r="K90" s="158">
        <f>IFERROR(VLOOKUP(F90,données!$B$4:$K$30,9,FALSE),0)</f>
        <v>0</v>
      </c>
      <c r="L90" s="13"/>
      <c r="M90" s="159">
        <f>IFERROR((I90*2-VLOOKUP(F90,données!$B$4:$I$30,4,FALSE)+VLOOKUP(F90,données!$B$4:$I$30,5,FALSE)*NOMENCLATURE_GEN!O90+IF(OR(NOMENCLATURE_GEN!P90="",NOMENCLATURE_GEN!P90=0),0,2250)+0.3*H90+750)*2*K90,0)</f>
        <v>0</v>
      </c>
      <c r="N90" s="164">
        <f t="shared" si="4"/>
        <v>0</v>
      </c>
      <c r="O90" s="49"/>
      <c r="P90" s="49"/>
      <c r="Q90" s="49"/>
      <c r="R90" s="49"/>
    </row>
    <row r="91" spans="1:18" s="8" customFormat="1" ht="39.950000000000003" hidden="1" customHeight="1">
      <c r="A91" s="3"/>
      <c r="B91" s="25" t="str">
        <f>IF(NOMENCLATURE_GEN!B91="","",NOMENCLATURE_GEN!B91)</f>
        <v/>
      </c>
      <c r="C91" s="243" t="str">
        <f>IF(NOMENCLATURE_GEN!C91="","",NOMENCLATURE_GEN!C91)</f>
        <v/>
      </c>
      <c r="D91" s="4">
        <f>IF(NOMENCLATURE_GEN!D91="","",NOMENCLATURE_GEN!D91)</f>
        <v>173</v>
      </c>
      <c r="E91" s="4" t="str">
        <f ca="1">IF(NOMENCLATURE_GEN!E91="","",NOMENCLATURE_GEN!E91)</f>
        <v>A</v>
      </c>
      <c r="F91" s="4" t="str">
        <f>IF(NOMENCLATURE_GEN!F91="","",NOMENCLATURE_GEN!F91)</f>
        <v>CBA</v>
      </c>
      <c r="G91" s="154" t="str">
        <f>IF(NOMENCLATURE_GEN!G91="","",NOMENCLATURE_GEN!G91)</f>
        <v>Convoyeur de transfert des légers 0-8mm vers métha</v>
      </c>
      <c r="H91" s="26">
        <f>IF(NOMENCLATURE_GEN!H91="","",NOMENCLATURE_GEN!H91)</f>
        <v>1000</v>
      </c>
      <c r="I91" s="26">
        <f>IF(NOMENCLATURE_GEN!I91="","",NOMENCLATURE_GEN!I91)</f>
        <v>12750</v>
      </c>
      <c r="J91" s="56">
        <f>IF(NOMENCLATURE_GEN!J91="","",NOMENCLATURE_GEN!J91)</f>
        <v>18</v>
      </c>
      <c r="K91" s="158">
        <f>IFERROR(VLOOKUP(F91,données!$B$4:$K$30,9,FALSE),0)</f>
        <v>0</v>
      </c>
      <c r="L91" s="13"/>
      <c r="M91" s="159">
        <f>IFERROR((I91*2-VLOOKUP(F91,données!$B$4:$I$30,4,FALSE)+VLOOKUP(F91,données!$B$4:$I$30,5,FALSE)*NOMENCLATURE_GEN!O91+IF(OR(NOMENCLATURE_GEN!P91="",NOMENCLATURE_GEN!P91=0),0,2250)+0.3*H91+750)*2*K91,0)</f>
        <v>0</v>
      </c>
      <c r="N91" s="164">
        <f t="shared" si="4"/>
        <v>0</v>
      </c>
      <c r="O91" s="49"/>
      <c r="P91" s="49"/>
      <c r="Q91" s="49"/>
      <c r="R91" s="49"/>
    </row>
    <row r="92" spans="1:18" s="8" customFormat="1" ht="39.950000000000003" hidden="1" customHeight="1">
      <c r="A92" s="3"/>
      <c r="B92" s="25" t="str">
        <f>IF(NOMENCLATURE_GEN!B92="","",NOMENCLATURE_GEN!B92)</f>
        <v/>
      </c>
      <c r="C92" s="243" t="str">
        <f>IF(NOMENCLATURE_GEN!C92="","",NOMENCLATURE_GEN!C92)</f>
        <v/>
      </c>
      <c r="D92" s="4">
        <f>IF(NOMENCLATURE_GEN!D92="","",NOMENCLATURE_GEN!D92)</f>
        <v>174</v>
      </c>
      <c r="E92" s="4" t="str">
        <f ca="1">IF(NOMENCLATURE_GEN!E92="","",NOMENCLATURE_GEN!E92)</f>
        <v>A</v>
      </c>
      <c r="F92" s="4" t="str">
        <f>IF(NOMENCLATURE_GEN!F92="","",NOMENCLATURE_GEN!F92)</f>
        <v>CBA</v>
      </c>
      <c r="G92" s="154" t="str">
        <f>IF(NOMENCLATURE_GEN!G92="","",NOMENCLATURE_GEN!G92)</f>
        <v>Convoyeur de transfert vers tampon (casier de stockage ou trémie tampon)</v>
      </c>
      <c r="H92" s="26">
        <f>IF(NOMENCLATURE_GEN!H92="","",NOMENCLATURE_GEN!H92)</f>
        <v>1000</v>
      </c>
      <c r="I92" s="26">
        <f>IF(NOMENCLATURE_GEN!I92="","",NOMENCLATURE_GEN!I92)</f>
        <v>7250</v>
      </c>
      <c r="J92" s="56">
        <f>IF(NOMENCLATURE_GEN!J92="","",NOMENCLATURE_GEN!J92)</f>
        <v>15</v>
      </c>
      <c r="K92" s="158">
        <f>IFERROR(VLOOKUP(F92,données!$B$4:$K$30,9,FALSE),0)</f>
        <v>0</v>
      </c>
      <c r="L92" s="13"/>
      <c r="M92" s="159">
        <f>IFERROR((I92*2-VLOOKUP(F92,données!$B$4:$I$30,4,FALSE)+VLOOKUP(F92,données!$B$4:$I$30,5,FALSE)*NOMENCLATURE_GEN!O92+IF(OR(NOMENCLATURE_GEN!P92="",NOMENCLATURE_GEN!P92=0),0,2250)+0.3*H92+750)*2*K92,0)</f>
        <v>0</v>
      </c>
      <c r="N92" s="164">
        <f t="shared" si="4"/>
        <v>0</v>
      </c>
      <c r="O92" s="49"/>
      <c r="P92" s="49"/>
      <c r="Q92" s="49"/>
      <c r="R92" s="49"/>
    </row>
    <row r="93" spans="1:18" s="8" customFormat="1" ht="39.950000000000003" hidden="1" customHeight="1">
      <c r="A93" s="3"/>
      <c r="B93" s="25" t="str">
        <f>IF(NOMENCLATURE_GEN!B93="","",NOMENCLATURE_GEN!B93)</f>
        <v/>
      </c>
      <c r="C93" s="243" t="str">
        <f>IF(NOMENCLATURE_GEN!C93="","",NOMENCLATURE_GEN!C93)</f>
        <v/>
      </c>
      <c r="D93" s="4">
        <f>IF(NOMENCLATURE_GEN!D93="","",NOMENCLATURE_GEN!D93)</f>
        <v>175</v>
      </c>
      <c r="E93" s="4" t="str">
        <f ca="1">IF(NOMENCLATURE_GEN!E93="","",NOMENCLATURE_GEN!E93)</f>
        <v>A</v>
      </c>
      <c r="F93" s="4" t="str">
        <f>IF(NOMENCLATURE_GEN!F93="","",NOMENCLATURE_GEN!F93)</f>
        <v>GLT</v>
      </c>
      <c r="G93" s="154" t="str">
        <f>IF(NOMENCLATURE_GEN!G93="","",NOMENCLATURE_GEN!G93)</f>
        <v>Goulotte by-pass (casier ou trémie tampon)</v>
      </c>
      <c r="H93" s="26" t="str">
        <f>IF(NOMENCLATURE_GEN!H93="","",NOMENCLATURE_GEN!H93)</f>
        <v/>
      </c>
      <c r="I93" s="26" t="str">
        <f>IF(NOMENCLATURE_GEN!I93="","",NOMENCLATURE_GEN!I93)</f>
        <v/>
      </c>
      <c r="J93" s="56" t="str">
        <f>IF(NOMENCLATURE_GEN!J93="","",NOMENCLATURE_GEN!J93)</f>
        <v/>
      </c>
      <c r="K93" s="158">
        <f>IFERROR(VLOOKUP(F93,données!$B$4:$K$30,9,FALSE),0)</f>
        <v>0</v>
      </c>
      <c r="L93" s="13"/>
      <c r="M93" s="159">
        <f>IFERROR((I93*2-VLOOKUP(F93,données!$B$4:$I$30,4,FALSE)+VLOOKUP(F93,données!$B$4:$I$30,5,FALSE)*NOMENCLATURE_GEN!O93+IF(OR(NOMENCLATURE_GEN!P93="",NOMENCLATURE_GEN!P93=0),0,2250)+0.3*H93+750)*2*K93,0)</f>
        <v>0</v>
      </c>
      <c r="N93" s="164">
        <f t="shared" si="4"/>
        <v>0</v>
      </c>
      <c r="O93" s="49"/>
      <c r="P93" s="49"/>
      <c r="Q93" s="49"/>
      <c r="R93" s="49"/>
    </row>
    <row r="94" spans="1:18" s="8" customFormat="1" ht="39.950000000000003" hidden="1" customHeight="1">
      <c r="A94" s="3"/>
      <c r="B94" s="25" t="str">
        <f>IF(NOMENCLATURE_GEN!B94="","",NOMENCLATURE_GEN!B94)</f>
        <v>SUP</v>
      </c>
      <c r="C94" s="243" t="str">
        <f>IF(NOMENCLATURE_GEN!C94="","",NOMENCLATURE_GEN!C94)</f>
        <v/>
      </c>
      <c r="D94" s="4">
        <f>IF(NOMENCLATURE_GEN!D94="","",NOMENCLATURE_GEN!D94)</f>
        <v>176</v>
      </c>
      <c r="E94" s="4" t="str">
        <f ca="1">IF(NOMENCLATURE_GEN!E94="","",NOMENCLATURE_GEN!E94)</f>
        <v>A</v>
      </c>
      <c r="F94" s="4" t="str">
        <f>IF(NOMENCLATURE_GEN!F94="","",NOMENCLATURE_GEN!F94)</f>
        <v>TRE</v>
      </c>
      <c r="G94" s="154" t="str">
        <f>IF(NOMENCLATURE_GEN!G94="","",NOMENCLATURE_GEN!G94)</f>
        <v>Trémie de chargement</v>
      </c>
      <c r="H94" s="26" t="str">
        <f>IF(NOMENCLATURE_GEN!H94="","",NOMENCLATURE_GEN!H94)</f>
        <v/>
      </c>
      <c r="I94" s="26" t="str">
        <f>IF(NOMENCLATURE_GEN!I94="","",NOMENCLATURE_GEN!I94)</f>
        <v/>
      </c>
      <c r="J94" s="56" t="str">
        <f>IF(NOMENCLATURE_GEN!J94="","",NOMENCLATURE_GEN!J94)</f>
        <v/>
      </c>
      <c r="K94" s="158">
        <f>IFERROR(VLOOKUP(F94,données!$B$4:$K$30,9,FALSE),0)</f>
        <v>0</v>
      </c>
      <c r="L94" s="13"/>
      <c r="M94" s="159">
        <f>IFERROR((I94*2-VLOOKUP(F94,données!$B$4:$I$30,4,FALSE)+VLOOKUP(F94,données!$B$4:$I$30,5,FALSE)*NOMENCLATURE_GEN!O94+IF(OR(NOMENCLATURE_GEN!P94="",NOMENCLATURE_GEN!P94=0),0,2250)+0.3*H94+750)*2*K94,0)</f>
        <v>0</v>
      </c>
      <c r="N94" s="164">
        <f t="shared" si="4"/>
        <v>0</v>
      </c>
      <c r="O94" s="49"/>
      <c r="P94" s="49"/>
      <c r="Q94" s="49"/>
      <c r="R94" s="49"/>
    </row>
    <row r="95" spans="1:18" s="8" customFormat="1" ht="39.950000000000003" customHeight="1">
      <c r="A95" s="3"/>
      <c r="B95" s="25" t="str">
        <f>IF(NOMENCLATURE_GEN!B95="","",NOMENCLATURE_GEN!B95)</f>
        <v/>
      </c>
      <c r="C95" s="243" t="str">
        <f>IF(NOMENCLATURE_GEN!C95="","",NOMENCLATURE_GEN!C95)</f>
        <v/>
      </c>
      <c r="D95" s="4">
        <f>IF(NOMENCLATURE_GEN!D95="","",NOMENCLATURE_GEN!D95)</f>
        <v>177</v>
      </c>
      <c r="E95" s="4" t="str">
        <f ca="1">IF(NOMENCLATURE_GEN!E95="","",NOMENCLATURE_GEN!E95)</f>
        <v>A</v>
      </c>
      <c r="F95" s="4" t="str">
        <f>IF(NOMENCLATURE_GEN!F95="","",NOMENCLATURE_GEN!F95)</f>
        <v>EAB</v>
      </c>
      <c r="G95" s="154" t="str">
        <f>IF(NOMENCLATURE_GEN!G95="","",NOMENCLATURE_GEN!G95)</f>
        <v>Convoyeur alimentateur</v>
      </c>
      <c r="H95" s="26">
        <f>IF(NOMENCLATURE_GEN!H95="","",NOMENCLATURE_GEN!H95)</f>
        <v>1600</v>
      </c>
      <c r="I95" s="26">
        <f>IF(NOMENCLATURE_GEN!I95="","",NOMENCLATURE_GEN!I95)</f>
        <v>11500</v>
      </c>
      <c r="J95" s="56">
        <f>IF(NOMENCLATURE_GEN!J95="","",NOMENCLATURE_GEN!J95)</f>
        <v>8</v>
      </c>
      <c r="K95" s="158">
        <f>IFERROR(VLOOKUP(F95,données!$B$4:$K$30,9,FALSE),0)</f>
        <v>1</v>
      </c>
      <c r="L95" s="13" t="s">
        <v>306</v>
      </c>
      <c r="M95" s="159">
        <f>IFERROR((I95*2-VLOOKUP(F95,données!$B$4:$I$30,4,FALSE)+VLOOKUP(F95,données!$B$4:$I$30,5,FALSE)*NOMENCLATURE_GEN!O95+IF(OR(NOMENCLATURE_GEN!P95="",NOMENCLATURE_GEN!P95=0),0,2250)+0.3*H95+750)*2*K95,0)</f>
        <v>48260</v>
      </c>
      <c r="N95" s="164">
        <f t="shared" si="4"/>
        <v>18</v>
      </c>
      <c r="O95" s="49"/>
      <c r="P95" s="49"/>
      <c r="Q95" s="49"/>
      <c r="R95" s="49"/>
    </row>
    <row r="96" spans="1:18" s="8" customFormat="1" ht="39.950000000000003" hidden="1" customHeight="1">
      <c r="A96" s="3"/>
      <c r="B96" s="25" t="str">
        <f>IF(NOMENCLATURE_GEN!B96="","",NOMENCLATURE_GEN!B96)</f>
        <v/>
      </c>
      <c r="C96" s="243" t="str">
        <f>IF(NOMENCLATURE_GEN!C96="","",NOMENCLATURE_GEN!C96)</f>
        <v/>
      </c>
      <c r="D96" s="4">
        <f>IF(NOMENCLATURE_GEN!D96="","",NOMENCLATURE_GEN!D96)</f>
        <v>177</v>
      </c>
      <c r="E96" s="4" t="str">
        <f ca="1">IF(NOMENCLATURE_GEN!E96="","",NOMENCLATURE_GEN!E96)</f>
        <v>B</v>
      </c>
      <c r="F96" s="4" t="str">
        <f>IF(NOMENCLATURE_GEN!F96="","",NOMENCLATURE_GEN!F96)</f>
        <v>GRA</v>
      </c>
      <c r="G96" s="154" t="str">
        <f>IF(NOMENCLATURE_GEN!G96="","",NOMENCLATURE_GEN!G96)</f>
        <v>Convoyeur à bande et chaines - Centrale de graissage</v>
      </c>
      <c r="H96" s="26" t="str">
        <f>IF(NOMENCLATURE_GEN!H96="","",NOMENCLATURE_GEN!H96)</f>
        <v/>
      </c>
      <c r="I96" s="26" t="str">
        <f>IF(NOMENCLATURE_GEN!I96="","",NOMENCLATURE_GEN!I96)</f>
        <v/>
      </c>
      <c r="J96" s="56" t="str">
        <f>IF(NOMENCLATURE_GEN!J96="","",NOMENCLATURE_GEN!J96)</f>
        <v/>
      </c>
      <c r="K96" s="158">
        <f>IFERROR(VLOOKUP(F96,données!$B$4:$K$30,9,FALSE),0)</f>
        <v>0</v>
      </c>
      <c r="L96" s="13"/>
      <c r="M96" s="159">
        <f>IFERROR((I96*2-VLOOKUP(F96,données!$B$4:$I$30,4,FALSE)+VLOOKUP(F96,données!$B$4:$I$30,5,FALSE)*NOMENCLATURE_GEN!O96+IF(OR(NOMENCLATURE_GEN!P96="",NOMENCLATURE_GEN!P96=0),0,2250)+0.3*H96+750)*2*K96,0)</f>
        <v>0</v>
      </c>
      <c r="N96" s="164">
        <f t="shared" si="4"/>
        <v>0</v>
      </c>
      <c r="O96" s="49"/>
      <c r="P96" s="49"/>
      <c r="Q96" s="49"/>
      <c r="R96" s="49"/>
    </row>
    <row r="97" spans="1:18" s="8" customFormat="1" ht="39.950000000000003" hidden="1" customHeight="1">
      <c r="A97" s="3"/>
      <c r="B97" s="25" t="str">
        <f>IF(NOMENCLATURE_GEN!B97="","",NOMENCLATURE_GEN!B97)</f>
        <v/>
      </c>
      <c r="C97" s="243" t="str">
        <f>IF(NOMENCLATURE_GEN!C97="","",NOMENCLATURE_GEN!C97)</f>
        <v/>
      </c>
      <c r="D97" s="4">
        <f>IF(NOMENCLATURE_GEN!D97="","",NOMENCLATURE_GEN!D97)</f>
        <v>178</v>
      </c>
      <c r="E97" s="4" t="str">
        <f ca="1">IF(NOMENCLATURE_GEN!E97="","",NOMENCLATURE_GEN!E97)</f>
        <v>A</v>
      </c>
      <c r="F97" s="4" t="str">
        <f>IF(NOMENCLATURE_GEN!F97="","",NOMENCLATURE_GEN!F97)</f>
        <v>REG</v>
      </c>
      <c r="G97" s="154" t="str">
        <f>IF(NOMENCLATURE_GEN!G97="","",NOMENCLATURE_GEN!G97)</f>
        <v>Ebouleur</v>
      </c>
      <c r="H97" s="26">
        <f>IF(NOMENCLATURE_GEN!H97="","",NOMENCLATURE_GEN!H97)</f>
        <v>1600</v>
      </c>
      <c r="I97" s="26" t="str">
        <f>IF(NOMENCLATURE_GEN!I97="","",NOMENCLATURE_GEN!I97)</f>
        <v>Ø450</v>
      </c>
      <c r="J97" s="56" t="str">
        <f>IF(NOMENCLATURE_GEN!J97="","",NOMENCLATURE_GEN!J97)</f>
        <v/>
      </c>
      <c r="K97" s="158">
        <f>IFERROR(VLOOKUP(F97,données!$B$4:$K$30,9,FALSE),0)</f>
        <v>0</v>
      </c>
      <c r="L97" s="13"/>
      <c r="M97" s="159">
        <f>IFERROR((I97*2-VLOOKUP(F97,données!$B$4:$I$30,4,FALSE)+VLOOKUP(F97,données!$B$4:$I$30,5,FALSE)*NOMENCLATURE_GEN!O97+IF(OR(NOMENCLATURE_GEN!P97="",NOMENCLATURE_GEN!P97=0),0,2250)+0.3*H97+750)*2*K97,0)</f>
        <v>0</v>
      </c>
      <c r="N97" s="164">
        <f t="shared" si="4"/>
        <v>0</v>
      </c>
      <c r="O97" s="49"/>
      <c r="P97" s="49"/>
      <c r="Q97" s="49"/>
      <c r="R97" s="49"/>
    </row>
    <row r="98" spans="1:18" s="8" customFormat="1" ht="39.950000000000003" hidden="1" customHeight="1">
      <c r="A98" s="3"/>
      <c r="B98" s="25" t="str">
        <f>IF(NOMENCLATURE_GEN!B98="","",NOMENCLATURE_GEN!B98)</f>
        <v/>
      </c>
      <c r="C98" s="243" t="str">
        <f>IF(NOMENCLATURE_GEN!C98="","",NOMENCLATURE_GEN!C98)</f>
        <v/>
      </c>
      <c r="D98" s="4">
        <f>IF(NOMENCLATURE_GEN!D98="","",NOMENCLATURE_GEN!D98)</f>
        <v>178</v>
      </c>
      <c r="E98" s="4" t="str">
        <f ca="1">IF(NOMENCLATURE_GEN!E98="","",NOMENCLATURE_GEN!E98)</f>
        <v>B</v>
      </c>
      <c r="F98" s="4" t="str">
        <f>IF(NOMENCLATURE_GEN!F98="","",NOMENCLATURE_GEN!F98)</f>
        <v>REG</v>
      </c>
      <c r="G98" s="154" t="str">
        <f>IF(NOMENCLATURE_GEN!G98="","",NOMENCLATURE_GEN!G98)</f>
        <v>Ebouleur</v>
      </c>
      <c r="H98" s="26">
        <f>IF(NOMENCLATURE_GEN!H98="","",NOMENCLATURE_GEN!H98)</f>
        <v>1600</v>
      </c>
      <c r="I98" s="26" t="str">
        <f>IF(NOMENCLATURE_GEN!I98="","",NOMENCLATURE_GEN!I98)</f>
        <v>Ø450</v>
      </c>
      <c r="J98" s="56" t="str">
        <f>IF(NOMENCLATURE_GEN!J98="","",NOMENCLATURE_GEN!J98)</f>
        <v/>
      </c>
      <c r="K98" s="158">
        <f>IFERROR(VLOOKUP(F98,données!$B$4:$K$30,9,FALSE),0)</f>
        <v>0</v>
      </c>
      <c r="L98" s="13"/>
      <c r="M98" s="159">
        <f>IFERROR((I98*2-VLOOKUP(F98,données!$B$4:$I$30,4,FALSE)+VLOOKUP(F98,données!$B$4:$I$30,5,FALSE)*NOMENCLATURE_GEN!O98+IF(OR(NOMENCLATURE_GEN!P98="",NOMENCLATURE_GEN!P98=0),0,2250)+0.3*H98+750)*2*K98,0)</f>
        <v>0</v>
      </c>
      <c r="N98" s="164">
        <f t="shared" si="4"/>
        <v>0</v>
      </c>
      <c r="O98" s="49"/>
      <c r="P98" s="49"/>
      <c r="Q98" s="49"/>
      <c r="R98" s="49"/>
    </row>
    <row r="99" spans="1:18" s="8" customFormat="1" ht="39.950000000000003" hidden="1" customHeight="1">
      <c r="A99" s="3"/>
      <c r="B99" s="25" t="str">
        <f>IF(NOMENCLATURE_GEN!B99="","",NOMENCLATURE_GEN!B99)</f>
        <v/>
      </c>
      <c r="C99" s="243" t="str">
        <f>IF(NOMENCLATURE_GEN!C99="","",NOMENCLATURE_GEN!C99)</f>
        <v/>
      </c>
      <c r="D99" s="4">
        <f>IF(NOMENCLATURE_GEN!D99="","",NOMENCLATURE_GEN!D99)</f>
        <v>179</v>
      </c>
      <c r="E99" s="4" t="str">
        <f ca="1">IF(NOMENCLATURE_GEN!E99="","",NOMENCLATURE_GEN!E99)</f>
        <v>A</v>
      </c>
      <c r="F99" s="4" t="str">
        <f>IF(NOMENCLATURE_GEN!F99="","",NOMENCLATURE_GEN!F99)</f>
        <v>CBA</v>
      </c>
      <c r="G99" s="154" t="str">
        <f>IF(NOMENCLATURE_GEN!G99="","",NOMENCLATURE_GEN!G99)</f>
        <v>Convoyeur de transfert des légers 0-8mm vers métha</v>
      </c>
      <c r="H99" s="26">
        <f>IF(NOMENCLATURE_GEN!H99="","",NOMENCLATURE_GEN!H99)</f>
        <v>1000</v>
      </c>
      <c r="I99" s="26">
        <f>IF(NOMENCLATURE_GEN!I99="","",NOMENCLATURE_GEN!I99)</f>
        <v>18250</v>
      </c>
      <c r="J99" s="56">
        <f>IF(NOMENCLATURE_GEN!J99="","",NOMENCLATURE_GEN!J99)</f>
        <v>9</v>
      </c>
      <c r="K99" s="158">
        <f>IFERROR(VLOOKUP(F99,données!$B$4:$K$30,9,FALSE),0)</f>
        <v>0</v>
      </c>
      <c r="L99" s="13"/>
      <c r="M99" s="159">
        <f>IFERROR((I99*2-VLOOKUP(F99,données!$B$4:$I$30,4,FALSE)+VLOOKUP(F99,données!$B$4:$I$30,5,FALSE)*NOMENCLATURE_GEN!O99+IF(OR(NOMENCLATURE_GEN!P99="",NOMENCLATURE_GEN!P99=0),0,2250)+0.3*H99+750)*2*K99,0)</f>
        <v>0</v>
      </c>
      <c r="N99" s="164">
        <f t="shared" si="4"/>
        <v>0</v>
      </c>
      <c r="O99" s="49"/>
      <c r="P99" s="49"/>
      <c r="Q99" s="49"/>
      <c r="R99" s="49"/>
    </row>
    <row r="100" spans="1:18" s="8" customFormat="1" ht="39.950000000000003" hidden="1" customHeight="1">
      <c r="A100" s="3"/>
      <c r="B100" s="25" t="str">
        <f>IF(NOMENCLATURE_GEN!B100="","",NOMENCLATURE_GEN!B100)</f>
        <v/>
      </c>
      <c r="C100" s="243" t="str">
        <f>IF(NOMENCLATURE_GEN!C100="","",NOMENCLATURE_GEN!C100)</f>
        <v/>
      </c>
      <c r="D100" s="4">
        <f>IF(NOMENCLATURE_GEN!D100="","",NOMENCLATURE_GEN!D100)</f>
        <v>180</v>
      </c>
      <c r="E100" s="4" t="str">
        <f ca="1">IF(NOMENCLATURE_GEN!E100="","",NOMENCLATURE_GEN!E100)</f>
        <v>A</v>
      </c>
      <c r="F100" s="4" t="str">
        <f>IF(NOMENCLATURE_GEN!F100="","",NOMENCLATURE_GEN!F100)</f>
        <v>CBA</v>
      </c>
      <c r="G100" s="154" t="str">
        <f>IF(NOMENCLATURE_GEN!G100="","",NOMENCLATURE_GEN!G100)</f>
        <v>Convoyeur de transfert des légers 0-8mm vers métha</v>
      </c>
      <c r="H100" s="26">
        <f>IF(NOMENCLATURE_GEN!H100="","",NOMENCLATURE_GEN!H100)</f>
        <v>1000</v>
      </c>
      <c r="I100" s="26">
        <f>IF(NOMENCLATURE_GEN!I100="","",NOMENCLATURE_GEN!I100)</f>
        <v>6250</v>
      </c>
      <c r="J100" s="56">
        <f>IF(NOMENCLATURE_GEN!J100="","",NOMENCLATURE_GEN!J100)</f>
        <v>18</v>
      </c>
      <c r="K100" s="158">
        <f>IFERROR(VLOOKUP(F100,données!$B$4:$K$30,9,FALSE),0)</f>
        <v>0</v>
      </c>
      <c r="L100" s="13"/>
      <c r="M100" s="159">
        <f>IFERROR((I100*2-VLOOKUP(F100,données!$B$4:$I$30,4,FALSE)+VLOOKUP(F100,données!$B$4:$I$30,5,FALSE)*NOMENCLATURE_GEN!O100+IF(OR(NOMENCLATURE_GEN!P100="",NOMENCLATURE_GEN!P100=0),0,2250)+0.3*H100+750)*2*K100,0)</f>
        <v>0</v>
      </c>
      <c r="N100" s="164">
        <f t="shared" si="4"/>
        <v>0</v>
      </c>
      <c r="O100" s="49"/>
      <c r="P100" s="49"/>
      <c r="Q100" s="49"/>
      <c r="R100" s="49"/>
    </row>
    <row r="101" spans="1:18" s="8" customFormat="1" ht="39.950000000000003" hidden="1" customHeight="1">
      <c r="A101" s="3"/>
      <c r="B101" s="25" t="str">
        <f>IF(NOMENCLATURE_GEN!B101="","",NOMENCLATURE_GEN!B101)</f>
        <v/>
      </c>
      <c r="C101" s="243" t="str">
        <f>IF(NOMENCLATURE_GEN!C101="","",NOMENCLATURE_GEN!C101)</f>
        <v/>
      </c>
      <c r="D101" s="4">
        <f>IF(NOMENCLATURE_GEN!D101="","",NOMENCLATURE_GEN!D101)</f>
        <v>181</v>
      </c>
      <c r="E101" s="4" t="str">
        <f ca="1">IF(NOMENCLATURE_GEN!E101="","",NOMENCLATURE_GEN!E101)</f>
        <v>A</v>
      </c>
      <c r="F101" s="4" t="str">
        <f>IF(NOMENCLATURE_GEN!F101="","",NOMENCLATURE_GEN!F101)</f>
        <v>CBA</v>
      </c>
      <c r="G101" s="154" t="str">
        <f>IF(NOMENCLATURE_GEN!G101="","",NOMENCLATURE_GEN!G101)</f>
        <v>Convoyeur de transfert des légers 0-8mm vers métha</v>
      </c>
      <c r="H101" s="26">
        <f>IF(NOMENCLATURE_GEN!H101="","",NOMENCLATURE_GEN!H101)</f>
        <v>1000</v>
      </c>
      <c r="I101" s="26">
        <f>IF(NOMENCLATURE_GEN!I101="","",NOMENCLATURE_GEN!I101)</f>
        <v>22250</v>
      </c>
      <c r="J101" s="56">
        <f>IF(NOMENCLATURE_GEN!J101="","",NOMENCLATURE_GEN!J101)</f>
        <v>19</v>
      </c>
      <c r="K101" s="158">
        <f>IFERROR(VLOOKUP(F101,données!$B$4:$K$30,9,FALSE),0)</f>
        <v>0</v>
      </c>
      <c r="L101" s="13"/>
      <c r="M101" s="159">
        <f>IFERROR((I101*2-VLOOKUP(F101,données!$B$4:$I$30,4,FALSE)+VLOOKUP(F101,données!$B$4:$I$30,5,FALSE)*NOMENCLATURE_GEN!O101+IF(OR(NOMENCLATURE_GEN!P101="",NOMENCLATURE_GEN!P101=0),0,2250)+0.3*H101+750)*2*K101,0)</f>
        <v>0</v>
      </c>
      <c r="N101" s="164">
        <f t="shared" si="4"/>
        <v>0</v>
      </c>
      <c r="O101" s="49"/>
      <c r="P101" s="49"/>
      <c r="Q101" s="49"/>
      <c r="R101" s="49"/>
    </row>
    <row r="102" spans="1:18" s="8" customFormat="1" ht="39.950000000000003" hidden="1" customHeight="1">
      <c r="A102" s="3"/>
      <c r="B102" s="27" t="str">
        <f>IF(NOMENCLATURE_GEN!B102="","",NOMENCLATURE_GEN!B102)</f>
        <v/>
      </c>
      <c r="C102" s="243" t="str">
        <f>IF(NOMENCLATURE_GEN!C102="","",NOMENCLATURE_GEN!C102)</f>
        <v/>
      </c>
      <c r="D102" s="28">
        <f>IF(NOMENCLATURE_GEN!D102="","",NOMENCLATURE_GEN!D102)</f>
        <v>182</v>
      </c>
      <c r="E102" s="28" t="str">
        <f ca="1">IF(NOMENCLATURE_GEN!E102="","",NOMENCLATURE_GEN!E102)</f>
        <v>A</v>
      </c>
      <c r="F102" s="28" t="str">
        <f>IF(NOMENCLATURE_GEN!F102="","",NOMENCLATURE_GEN!F102)</f>
        <v>NAV</v>
      </c>
      <c r="G102" s="396" t="str">
        <f>IF(NOMENCLATURE_GEN!G102="","",NOMENCLATURE_GEN!G102)</f>
        <v>Système navette pour convoyeur mobile remplissage REPERE 165 benne métaux</v>
      </c>
      <c r="H102" s="29" t="str">
        <f>IF(NOMENCLATURE_GEN!H102="","",NOMENCLATURE_GEN!H102)</f>
        <v/>
      </c>
      <c r="I102" s="29" t="str">
        <f>IF(NOMENCLATURE_GEN!I102="","",NOMENCLATURE_GEN!I102)</f>
        <v/>
      </c>
      <c r="J102" s="57" t="str">
        <f>IF(NOMENCLATURE_GEN!J102="","",NOMENCLATURE_GEN!J102)</f>
        <v/>
      </c>
      <c r="K102" s="158">
        <f>IFERROR(VLOOKUP(F102,données!$B$4:$K$30,9,FALSE),0)</f>
        <v>0</v>
      </c>
      <c r="L102" s="13"/>
      <c r="M102" s="159">
        <f>IFERROR((I102*2-VLOOKUP(F102,données!$B$4:$I$30,4,FALSE)+VLOOKUP(F102,données!$B$4:$I$30,5,FALSE)*NOMENCLATURE_GEN!O102+IF(OR(NOMENCLATURE_GEN!P102="",NOMENCLATURE_GEN!P102=0),0,2250)+0.3*H102+750)*2*K102,0)</f>
        <v>0</v>
      </c>
      <c r="N102" s="164">
        <f t="shared" si="4"/>
        <v>0</v>
      </c>
      <c r="O102" s="49"/>
      <c r="P102" s="49"/>
      <c r="Q102" s="49"/>
      <c r="R102" s="49"/>
    </row>
    <row r="103" spans="1:18" s="8" customFormat="1" ht="39.950000000000003" hidden="1" customHeight="1">
      <c r="A103" s="3"/>
      <c r="B103" s="27" t="str">
        <f>IF(NOMENCLATURE_GEN!B103="","",NOMENCLATURE_GEN!B103)</f>
        <v/>
      </c>
      <c r="C103" s="243" t="str">
        <f>IF(NOMENCLATURE_GEN!C103="","",NOMENCLATURE_GEN!C103)</f>
        <v/>
      </c>
      <c r="D103" s="28">
        <f>IF(NOMENCLATURE_GEN!D103="","",NOMENCLATURE_GEN!D103)</f>
        <v>184</v>
      </c>
      <c r="E103" s="28" t="str">
        <f ca="1">IF(NOMENCLATURE_GEN!E103="","",NOMENCLATURE_GEN!E103)</f>
        <v>A</v>
      </c>
      <c r="F103" s="28" t="str">
        <f>IF(NOMENCLATURE_GEN!F103="","",NOMENCLATURE_GEN!F103)</f>
        <v>CHA</v>
      </c>
      <c r="G103" s="396" t="str">
        <f>IF(NOMENCLATURE_GEN!G103="","",NOMENCLATURE_GEN!G103)</f>
        <v>Charpente support trommel primaire &amp; passerelle d'accès maintenance</v>
      </c>
      <c r="H103" s="29" t="str">
        <f>IF(NOMENCLATURE_GEN!H103="","",NOMENCLATURE_GEN!H103)</f>
        <v/>
      </c>
      <c r="I103" s="29" t="str">
        <f>IF(NOMENCLATURE_GEN!I103="","",NOMENCLATURE_GEN!I103)</f>
        <v/>
      </c>
      <c r="J103" s="57" t="str">
        <f>IF(NOMENCLATURE_GEN!J103="","",NOMENCLATURE_GEN!J103)</f>
        <v/>
      </c>
      <c r="K103" s="158">
        <f>IFERROR(VLOOKUP(F103,données!$B$4:$K$30,9,FALSE),0)</f>
        <v>0</v>
      </c>
      <c r="L103" s="13"/>
      <c r="M103" s="159">
        <f>IFERROR((I103*2-VLOOKUP(F103,données!$B$4:$I$30,4,FALSE)+VLOOKUP(F103,données!$B$4:$I$30,5,FALSE)*NOMENCLATURE_GEN!O103+IF(OR(NOMENCLATURE_GEN!P103="",NOMENCLATURE_GEN!P103=0),0,2250)+0.3*H103+750)*2*K103,0)</f>
        <v>0</v>
      </c>
      <c r="N103" s="164">
        <f t="shared" si="4"/>
        <v>0</v>
      </c>
      <c r="O103" s="49"/>
      <c r="P103" s="49"/>
      <c r="Q103" s="49"/>
      <c r="R103" s="49"/>
    </row>
    <row r="104" spans="1:18" s="8" customFormat="1" ht="39.950000000000003" hidden="1" customHeight="1">
      <c r="A104" s="3"/>
      <c r="B104" s="27" t="str">
        <f>IF(NOMENCLATURE_GEN!B104="","",NOMENCLATURE_GEN!B104)</f>
        <v/>
      </c>
      <c r="C104" s="243" t="str">
        <f>IF(NOMENCLATURE_GEN!C104="","",NOMENCLATURE_GEN!C104)</f>
        <v/>
      </c>
      <c r="D104" s="28">
        <f>IF(NOMENCLATURE_GEN!D104="","",NOMENCLATURE_GEN!D104)</f>
        <v>185</v>
      </c>
      <c r="E104" s="28" t="str">
        <f ca="1">IF(NOMENCLATURE_GEN!E104="","",NOMENCLATURE_GEN!E104)</f>
        <v>A</v>
      </c>
      <c r="F104" s="28" t="str">
        <f>IF(NOMENCLATURE_GEN!F104="","",NOMENCLATURE_GEN!F104)</f>
        <v>CHA</v>
      </c>
      <c r="G104" s="396" t="str">
        <f>IF(NOMENCLATURE_GEN!G104="","",NOMENCLATURE_GEN!G104)</f>
        <v>Charpente support trommel secondaire &amp; passerelle d'accès maintenance</v>
      </c>
      <c r="H104" s="29" t="str">
        <f>IF(NOMENCLATURE_GEN!H104="","",NOMENCLATURE_GEN!H104)</f>
        <v/>
      </c>
      <c r="I104" s="29" t="str">
        <f>IF(NOMENCLATURE_GEN!I104="","",NOMENCLATURE_GEN!I104)</f>
        <v/>
      </c>
      <c r="J104" s="57" t="str">
        <f>IF(NOMENCLATURE_GEN!J104="","",NOMENCLATURE_GEN!J104)</f>
        <v/>
      </c>
      <c r="K104" s="158">
        <f>IFERROR(VLOOKUP(F104,données!$B$4:$K$30,9,FALSE),0)</f>
        <v>0</v>
      </c>
      <c r="L104" s="13"/>
      <c r="M104" s="159">
        <f>IFERROR((I104*2-VLOOKUP(F104,données!$B$4:$I$30,4,FALSE)+VLOOKUP(F104,données!$B$4:$I$30,5,FALSE)*NOMENCLATURE_GEN!O104+IF(OR(NOMENCLATURE_GEN!P104="",NOMENCLATURE_GEN!P104=0),0,2250)+0.3*H104+750)*2*K104,0)</f>
        <v>0</v>
      </c>
      <c r="N104" s="164">
        <f t="shared" si="4"/>
        <v>0</v>
      </c>
      <c r="O104" s="49"/>
      <c r="P104" s="49"/>
      <c r="Q104" s="49"/>
      <c r="R104" s="49"/>
    </row>
    <row r="105" spans="1:18" s="8" customFormat="1" ht="39.950000000000003" hidden="1" customHeight="1">
      <c r="A105" s="3"/>
      <c r="B105" s="27" t="str">
        <f>IF(NOMENCLATURE_GEN!B105="","",NOMENCLATURE_GEN!B105)</f>
        <v/>
      </c>
      <c r="C105" s="243" t="str">
        <f>IF(NOMENCLATURE_GEN!C105="","",NOMENCLATURE_GEN!C105)</f>
        <v/>
      </c>
      <c r="D105" s="28">
        <f>IF(NOMENCLATURE_GEN!D105="","",NOMENCLATURE_GEN!D105)</f>
        <v>186</v>
      </c>
      <c r="E105" s="28" t="str">
        <f ca="1">IF(NOMENCLATURE_GEN!E105="","",NOMENCLATURE_GEN!E105)</f>
        <v>A</v>
      </c>
      <c r="F105" s="28" t="str">
        <f>IF(NOMENCLATURE_GEN!F105="","",NOMENCLATURE_GEN!F105)</f>
        <v>CHA</v>
      </c>
      <c r="G105" s="396" t="str">
        <f>IF(NOMENCLATURE_GEN!G105="","",NOMENCLATURE_GEN!G105)</f>
        <v>Plateforme accès maintenancepour les SNF</v>
      </c>
      <c r="H105" s="29">
        <f>IF(NOMENCLATURE_GEN!H105="","",NOMENCLATURE_GEN!H105)</f>
        <v>12000</v>
      </c>
      <c r="I105" s="29">
        <f>IF(NOMENCLATURE_GEN!I105="","",NOMENCLATURE_GEN!I105)</f>
        <v>10000</v>
      </c>
      <c r="J105" s="57" t="str">
        <f>IF(NOMENCLATURE_GEN!J105="","",NOMENCLATURE_GEN!J105)</f>
        <v/>
      </c>
      <c r="K105" s="158">
        <f>IFERROR(VLOOKUP(F105,données!$B$4:$K$30,9,FALSE),0)</f>
        <v>0</v>
      </c>
      <c r="L105" s="13"/>
      <c r="M105" s="159">
        <f>IFERROR((I105*2-VLOOKUP(F105,données!$B$4:$I$30,4,FALSE)+VLOOKUP(F105,données!$B$4:$I$30,5,FALSE)*NOMENCLATURE_GEN!O105+IF(OR(NOMENCLATURE_GEN!P105="",NOMENCLATURE_GEN!P105=0),0,2250)+0.3*H105+750)*2*K105,0)</f>
        <v>0</v>
      </c>
      <c r="N105" s="164">
        <f t="shared" si="4"/>
        <v>0</v>
      </c>
      <c r="O105" s="49"/>
      <c r="P105" s="49"/>
      <c r="Q105" s="49"/>
      <c r="R105" s="49"/>
    </row>
    <row r="106" spans="1:18" s="8" customFormat="1" ht="39.950000000000003" hidden="1" customHeight="1">
      <c r="A106" s="3"/>
      <c r="B106" s="27" t="str">
        <f>IF(NOMENCLATURE_GEN!B106="","",NOMENCLATURE_GEN!B106)</f>
        <v/>
      </c>
      <c r="C106" s="243" t="str">
        <f>IF(NOMENCLATURE_GEN!C106="","",NOMENCLATURE_GEN!C106)</f>
        <v/>
      </c>
      <c r="D106" s="28">
        <f>IF(NOMENCLATURE_GEN!D106="","",NOMENCLATURE_GEN!D106)</f>
        <v>187</v>
      </c>
      <c r="E106" s="28" t="str">
        <f ca="1">IF(NOMENCLATURE_GEN!E106="","",NOMENCLATURE_GEN!E106)</f>
        <v>A</v>
      </c>
      <c r="F106" s="28" t="str">
        <f>IF(NOMENCLATURE_GEN!F106="","",NOMENCLATURE_GEN!F106)</f>
        <v>CHA</v>
      </c>
      <c r="G106" s="396" t="str">
        <f>IF(NOMENCLATURE_GEN!G106="","",NOMENCLATURE_GEN!G106)</f>
        <v>Charpente support pour OVB y compris goulotte inox et protection</v>
      </c>
      <c r="H106" s="29" t="str">
        <f>IF(NOMENCLATURE_GEN!H106="","",NOMENCLATURE_GEN!H106)</f>
        <v/>
      </c>
      <c r="I106" s="29" t="str">
        <f>IF(NOMENCLATURE_GEN!I106="","",NOMENCLATURE_GEN!I106)</f>
        <v/>
      </c>
      <c r="J106" s="57" t="str">
        <f>IF(NOMENCLATURE_GEN!J106="","",NOMENCLATURE_GEN!J106)</f>
        <v/>
      </c>
      <c r="K106" s="158">
        <f>IFERROR(VLOOKUP(F106,données!$B$4:$K$30,9,FALSE),0)</f>
        <v>0</v>
      </c>
      <c r="L106" s="13"/>
      <c r="M106" s="159">
        <f>IFERROR((I106*2-VLOOKUP(F106,données!$B$4:$I$30,4,FALSE)+VLOOKUP(F106,données!$B$4:$I$30,5,FALSE)*NOMENCLATURE_GEN!O106+IF(OR(NOMENCLATURE_GEN!P106="",NOMENCLATURE_GEN!P106=0),0,2250)+0.3*H106+750)*2*K106,0)</f>
        <v>0</v>
      </c>
      <c r="N106" s="164">
        <f t="shared" si="4"/>
        <v>0</v>
      </c>
      <c r="O106" s="49"/>
      <c r="P106" s="49"/>
      <c r="Q106" s="49"/>
      <c r="R106" s="49"/>
    </row>
    <row r="107" spans="1:18" s="8" customFormat="1" ht="39.950000000000003" hidden="1" customHeight="1">
      <c r="A107" s="3"/>
      <c r="B107" s="27" t="str">
        <f>IF(NOMENCLATURE_GEN!B107="","",NOMENCLATURE_GEN!B107)</f>
        <v/>
      </c>
      <c r="C107" s="243" t="str">
        <f>IF(NOMENCLATURE_GEN!C107="","",NOMENCLATURE_GEN!C107)</f>
        <v/>
      </c>
      <c r="D107" s="28">
        <f>IF(NOMENCLATURE_GEN!D107="","",NOMENCLATURE_GEN!D107)</f>
        <v>188</v>
      </c>
      <c r="E107" s="28" t="str">
        <f ca="1">IF(NOMENCLATURE_GEN!E107="","",NOMENCLATURE_GEN!E107)</f>
        <v>A</v>
      </c>
      <c r="F107" s="28" t="str">
        <f>IF(NOMENCLATURE_GEN!F107="","",NOMENCLATURE_GEN!F107)</f>
        <v>CHA</v>
      </c>
      <c r="G107" s="396" t="str">
        <f>IF(NOMENCLATURE_GEN!G107="","",NOMENCLATURE_GEN!G107)</f>
        <v>Plateforme accès maintenance NIV1 pour balistiques &amp; crible trampoline</v>
      </c>
      <c r="H107" s="29">
        <f>IF(NOMENCLATURE_GEN!H107="","",NOMENCLATURE_GEN!H107)</f>
        <v>5200</v>
      </c>
      <c r="I107" s="29">
        <f>IF(NOMENCLATURE_GEN!I107="","",NOMENCLATURE_GEN!I107)</f>
        <v>26500</v>
      </c>
      <c r="J107" s="57" t="str">
        <f>IF(NOMENCLATURE_GEN!J107="","",NOMENCLATURE_GEN!J107)</f>
        <v/>
      </c>
      <c r="K107" s="158">
        <f>IFERROR(VLOOKUP(F107,données!$B$4:$K$30,9,FALSE),0)</f>
        <v>0</v>
      </c>
      <c r="L107" s="13"/>
      <c r="M107" s="159">
        <f>IFERROR((I107*2-VLOOKUP(F107,données!$B$4:$I$30,4,FALSE)+VLOOKUP(F107,données!$B$4:$I$30,5,FALSE)*NOMENCLATURE_GEN!O107+IF(OR(NOMENCLATURE_GEN!P107="",NOMENCLATURE_GEN!P107=0),0,2250)+0.3*H107+750)*2*K107,0)</f>
        <v>0</v>
      </c>
      <c r="N107" s="164">
        <f t="shared" si="4"/>
        <v>0</v>
      </c>
      <c r="O107" s="49"/>
      <c r="P107" s="49"/>
      <c r="Q107" s="49"/>
      <c r="R107" s="49"/>
    </row>
    <row r="108" spans="1:18" s="8" customFormat="1" ht="39.950000000000003" hidden="1" customHeight="1">
      <c r="A108" s="3"/>
      <c r="B108" s="27" t="str">
        <f>IF(NOMENCLATURE_GEN!B108="","",NOMENCLATURE_GEN!B108)</f>
        <v/>
      </c>
      <c r="C108" s="243" t="str">
        <f>IF(NOMENCLATURE_GEN!C108="","",NOMENCLATURE_GEN!C108)</f>
        <v/>
      </c>
      <c r="D108" s="28">
        <f>IF(NOMENCLATURE_GEN!D108="","",NOMENCLATURE_GEN!D108)</f>
        <v>189</v>
      </c>
      <c r="E108" s="28" t="str">
        <f ca="1">IF(NOMENCLATURE_GEN!E108="","",NOMENCLATURE_GEN!E108)</f>
        <v>A</v>
      </c>
      <c r="F108" s="28" t="str">
        <f>IF(NOMENCLATURE_GEN!F108="","",NOMENCLATURE_GEN!F108)</f>
        <v>CHA</v>
      </c>
      <c r="G108" s="396" t="str">
        <f>IF(NOMENCLATURE_GEN!G108="","",NOMENCLATURE_GEN!G108)</f>
        <v>Plateforme accès maintenance NIV2 pour balistiques &amp; crible trampoline</v>
      </c>
      <c r="H108" s="29">
        <f>IF(NOMENCLATURE_GEN!H108="","",NOMENCLATURE_GEN!H108)</f>
        <v>5200</v>
      </c>
      <c r="I108" s="29">
        <f>IF(NOMENCLATURE_GEN!I108="","",NOMENCLATURE_GEN!I108)</f>
        <v>23000</v>
      </c>
      <c r="J108" s="57" t="str">
        <f>IF(NOMENCLATURE_GEN!J108="","",NOMENCLATURE_GEN!J108)</f>
        <v/>
      </c>
      <c r="K108" s="158">
        <f>IFERROR(VLOOKUP(F108,données!$B$4:$K$30,9,FALSE),0)</f>
        <v>0</v>
      </c>
      <c r="L108" s="13"/>
      <c r="M108" s="159">
        <f>IFERROR((I108*2-VLOOKUP(F108,données!$B$4:$I$30,4,FALSE)+VLOOKUP(F108,données!$B$4:$I$30,5,FALSE)*NOMENCLATURE_GEN!O108+IF(OR(NOMENCLATURE_GEN!P108="",NOMENCLATURE_GEN!P108=0),0,2250)+0.3*H108+750)*2*K108,0)</f>
        <v>0</v>
      </c>
      <c r="N108" s="164">
        <f t="shared" si="4"/>
        <v>0</v>
      </c>
      <c r="O108" s="49"/>
      <c r="P108" s="49"/>
      <c r="Q108" s="49"/>
      <c r="R108" s="49"/>
    </row>
    <row r="109" spans="1:18" s="8" customFormat="1" ht="39.950000000000003" hidden="1" customHeight="1">
      <c r="A109" s="3"/>
      <c r="B109" s="27" t="str">
        <f>IF(NOMENCLATURE_GEN!B109="","",NOMENCLATURE_GEN!B109)</f>
        <v/>
      </c>
      <c r="C109" s="243" t="str">
        <f>IF(NOMENCLATURE_GEN!C109="","",NOMENCLATURE_GEN!C109)</f>
        <v/>
      </c>
      <c r="D109" s="28">
        <f>IF(NOMENCLATURE_GEN!D109="","",NOMENCLATURE_GEN!D109)</f>
        <v>190</v>
      </c>
      <c r="E109" s="28" t="str">
        <f ca="1">IF(NOMENCLATURE_GEN!E109="","",NOMENCLATURE_GEN!E109)</f>
        <v>A</v>
      </c>
      <c r="F109" s="28" t="str">
        <f>IF(NOMENCLATURE_GEN!F109="","",NOMENCLATURE_GEN!F109)</f>
        <v>CHA</v>
      </c>
      <c r="G109" s="396" t="str">
        <f>IF(NOMENCLATURE_GEN!G109="","",NOMENCLATURE_GEN!G109)</f>
        <v>Plateforme accès maintenance pour crible trampoline + charpente</v>
      </c>
      <c r="H109" s="29" t="str">
        <f>IF(NOMENCLATURE_GEN!H109="","",NOMENCLATURE_GEN!H109)</f>
        <v/>
      </c>
      <c r="I109" s="29" t="str">
        <f>IF(NOMENCLATURE_GEN!I109="","",NOMENCLATURE_GEN!I109)</f>
        <v/>
      </c>
      <c r="J109" s="57" t="str">
        <f>IF(NOMENCLATURE_GEN!J109="","",NOMENCLATURE_GEN!J109)</f>
        <v/>
      </c>
      <c r="K109" s="158">
        <f>IFERROR(VLOOKUP(F109,données!$B$4:$K$30,9,FALSE),0)</f>
        <v>0</v>
      </c>
      <c r="L109" s="13"/>
      <c r="M109" s="159">
        <f>IFERROR((I109*2-VLOOKUP(F109,données!$B$4:$I$30,4,FALSE)+VLOOKUP(F109,données!$B$4:$I$30,5,FALSE)*NOMENCLATURE_GEN!O109+IF(OR(NOMENCLATURE_GEN!P109="",NOMENCLATURE_GEN!P109=0),0,2250)+0.3*H109+750)*2*K109,0)</f>
        <v>0</v>
      </c>
      <c r="N109" s="164">
        <f t="shared" si="4"/>
        <v>0</v>
      </c>
      <c r="O109" s="49"/>
      <c r="P109" s="49"/>
      <c r="Q109" s="49"/>
      <c r="R109" s="49"/>
    </row>
    <row r="110" spans="1:18" s="8" customFormat="1" ht="39.950000000000003" hidden="1" customHeight="1">
      <c r="A110" s="3"/>
      <c r="B110" s="27" t="str">
        <f>IF(NOMENCLATURE_GEN!B110="","",NOMENCLATURE_GEN!B110)</f>
        <v/>
      </c>
      <c r="C110" s="243" t="str">
        <f>IF(NOMENCLATURE_GEN!C110="","",NOMENCLATURE_GEN!C110)</f>
        <v/>
      </c>
      <c r="D110" s="28">
        <f>IF(NOMENCLATURE_GEN!D110="","",NOMENCLATURE_GEN!D110)</f>
        <v>191</v>
      </c>
      <c r="E110" s="28" t="str">
        <f ca="1">IF(NOMENCLATURE_GEN!E110="","",NOMENCLATURE_GEN!E110)</f>
        <v>A</v>
      </c>
      <c r="F110" s="28" t="str">
        <f>IF(NOMENCLATURE_GEN!F110="","",NOMENCLATURE_GEN!F110)</f>
        <v>CHA</v>
      </c>
      <c r="G110" s="396" t="str">
        <f>IF(NOMENCLATURE_GEN!G110="","",NOMENCLATURE_GEN!G110)</f>
        <v>Plateforme accès maintenance table TF &amp; cyclone</v>
      </c>
      <c r="H110" s="29">
        <f>IF(NOMENCLATURE_GEN!H110="","",NOMENCLATURE_GEN!H110)</f>
        <v>5500</v>
      </c>
      <c r="I110" s="29">
        <f>IF(NOMENCLATURE_GEN!I110="","",NOMENCLATURE_GEN!I110)</f>
        <v>9600</v>
      </c>
      <c r="J110" s="57" t="str">
        <f>IF(NOMENCLATURE_GEN!J110="","",NOMENCLATURE_GEN!J110)</f>
        <v/>
      </c>
      <c r="K110" s="158">
        <f>IFERROR(VLOOKUP(F110,données!$B$4:$K$30,9,FALSE),0)</f>
        <v>0</v>
      </c>
      <c r="L110" s="13"/>
      <c r="M110" s="159">
        <f>IFERROR((I110*2-VLOOKUP(F110,données!$B$4:$I$30,4,FALSE)+VLOOKUP(F110,données!$B$4:$I$30,5,FALSE)*NOMENCLATURE_GEN!O110+IF(OR(NOMENCLATURE_GEN!P110="",NOMENCLATURE_GEN!P110=0),0,2250)+0.3*H110+750)*2*K110,0)</f>
        <v>0</v>
      </c>
      <c r="N110" s="164">
        <f t="shared" si="4"/>
        <v>0</v>
      </c>
      <c r="O110" s="49"/>
      <c r="P110" s="49"/>
      <c r="Q110" s="49"/>
      <c r="R110" s="49"/>
    </row>
    <row r="111" spans="1:18" s="8" customFormat="1" ht="39.950000000000003" hidden="1" customHeight="1">
      <c r="A111" s="3"/>
      <c r="B111" s="27" t="str">
        <f>IF(NOMENCLATURE_GEN!B111="","",NOMENCLATURE_GEN!B111)</f>
        <v/>
      </c>
      <c r="C111" s="243" t="str">
        <f>IF(NOMENCLATURE_GEN!C111="","",NOMENCLATURE_GEN!C111)</f>
        <v/>
      </c>
      <c r="D111" s="28">
        <f>IF(NOMENCLATURE_GEN!D111="","",NOMENCLATURE_GEN!D111)</f>
        <v>192</v>
      </c>
      <c r="E111" s="28" t="str">
        <f ca="1">IF(NOMENCLATURE_GEN!E111="","",NOMENCLATURE_GEN!E111)</f>
        <v>A</v>
      </c>
      <c r="F111" s="28" t="str">
        <f>IF(NOMENCLATURE_GEN!F111="","",NOMENCLATURE_GEN!F111)</f>
        <v>CHA</v>
      </c>
      <c r="G111" s="396" t="str">
        <f>IF(NOMENCLATURE_GEN!G111="","",NOMENCLATURE_GEN!G111)</f>
        <v>Ensemble des passerelles d'accès maintenance tête &amp; pied CVY</v>
      </c>
      <c r="H111" s="29">
        <f>IF(NOMENCLATURE_GEN!H111="","",NOMENCLATURE_GEN!H111)</f>
        <v>4500</v>
      </c>
      <c r="I111" s="29">
        <f>IF(NOMENCLATURE_GEN!I111="","",NOMENCLATURE_GEN!I111)</f>
        <v>4500</v>
      </c>
      <c r="J111" s="57" t="str">
        <f>IF(NOMENCLATURE_GEN!J111="","",NOMENCLATURE_GEN!J111)</f>
        <v/>
      </c>
      <c r="K111" s="158">
        <f>IFERROR(VLOOKUP(F111,données!$B$4:$K$30,9,FALSE),0)</f>
        <v>0</v>
      </c>
      <c r="L111" s="13"/>
      <c r="M111" s="159">
        <f>IFERROR((I111*2-VLOOKUP(F111,données!$B$4:$I$30,4,FALSE)+VLOOKUP(F111,données!$B$4:$I$30,5,FALSE)*NOMENCLATURE_GEN!O111+IF(OR(NOMENCLATURE_GEN!P111="",NOMENCLATURE_GEN!P111=0),0,2250)+0.3*H111+750)*2*K111,0)</f>
        <v>0</v>
      </c>
      <c r="N111" s="164">
        <f t="shared" si="4"/>
        <v>0</v>
      </c>
      <c r="O111" s="49"/>
      <c r="P111" s="49"/>
      <c r="Q111" s="49"/>
      <c r="R111" s="49"/>
    </row>
    <row r="112" spans="1:18" s="8" customFormat="1" ht="39.950000000000003" hidden="1" customHeight="1">
      <c r="A112" s="3"/>
      <c r="B112" s="27" t="str">
        <f>IF(NOMENCLATURE_GEN!B112="","",NOMENCLATURE_GEN!B112)</f>
        <v/>
      </c>
      <c r="C112" s="243" t="str">
        <f>IF(NOMENCLATURE_GEN!C112="","",NOMENCLATURE_GEN!C112)</f>
        <v/>
      </c>
      <c r="D112" s="28">
        <f>IF(NOMENCLATURE_GEN!D112="","",NOMENCLATURE_GEN!D112)</f>
        <v>193</v>
      </c>
      <c r="E112" s="28" t="str">
        <f ca="1">IF(NOMENCLATURE_GEN!E112="","",NOMENCLATURE_GEN!E112)</f>
        <v>A</v>
      </c>
      <c r="F112" s="28" t="str">
        <f>IF(NOMENCLATURE_GEN!F112="","",NOMENCLATURE_GEN!F112)</f>
        <v>CHA</v>
      </c>
      <c r="G112" s="396" t="str">
        <f>IF(NOMENCLATURE_GEN!G112="","",NOMENCLATURE_GEN!G112)</f>
        <v>Ensemble des passerelles de liaison</v>
      </c>
      <c r="H112" s="29">
        <f>IF(NOMENCLATURE_GEN!H112="","",NOMENCLATURE_GEN!H112)</f>
        <v>900</v>
      </c>
      <c r="I112" s="29">
        <f>IF(NOMENCLATURE_GEN!I112="","",NOMENCLATURE_GEN!I112)</f>
        <v>50000</v>
      </c>
      <c r="J112" s="57" t="str">
        <f>IF(NOMENCLATURE_GEN!J112="","",NOMENCLATURE_GEN!J112)</f>
        <v/>
      </c>
      <c r="K112" s="158">
        <f>IFERROR(VLOOKUP(F112,données!$B$4:$K$30,9,FALSE),0)</f>
        <v>0</v>
      </c>
      <c r="L112" s="13"/>
      <c r="M112" s="159">
        <f>IFERROR((I112*2-VLOOKUP(F112,données!$B$4:$I$30,4,FALSE)+VLOOKUP(F112,données!$B$4:$I$30,5,FALSE)*NOMENCLATURE_GEN!O112+IF(OR(NOMENCLATURE_GEN!P112="",NOMENCLATURE_GEN!P112=0),0,2250)+0.3*H112+750)*2*K112,0)</f>
        <v>0</v>
      </c>
      <c r="N112" s="164">
        <f t="shared" si="4"/>
        <v>0</v>
      </c>
      <c r="O112" s="49"/>
      <c r="P112" s="49"/>
      <c r="Q112" s="49"/>
      <c r="R112" s="49"/>
    </row>
    <row r="113" spans="1:18" s="8" customFormat="1" ht="39.950000000000003" hidden="1" customHeight="1">
      <c r="A113" s="3"/>
      <c r="B113" s="27" t="str">
        <f>IF(NOMENCLATURE_GEN!B113="","",NOMENCLATURE_GEN!B113)</f>
        <v/>
      </c>
      <c r="C113" s="243" t="str">
        <f>IF(NOMENCLATURE_GEN!C113="","",NOMENCLATURE_GEN!C113)</f>
        <v/>
      </c>
      <c r="D113" s="28">
        <f>IF(NOMENCLATURE_GEN!D113="","",NOMENCLATURE_GEN!D113)</f>
        <v>194</v>
      </c>
      <c r="E113" s="28" t="str">
        <f ca="1">IF(NOMENCLATURE_GEN!E113="","",NOMENCLATURE_GEN!E113)</f>
        <v>A</v>
      </c>
      <c r="F113" s="28" t="str">
        <f>IF(NOMENCLATURE_GEN!F113="","",NOMENCLATURE_GEN!F113)</f>
        <v>CHA</v>
      </c>
      <c r="G113" s="396" t="str">
        <f>IF(NOMENCLATURE_GEN!G113="","",NOMENCLATURE_GEN!G113)</f>
        <v>Ensemble des escaliers d'accès maintenance</v>
      </c>
      <c r="H113" s="29">
        <f>IF(NOMENCLATURE_GEN!H113="","",NOMENCLATURE_GEN!H113)</f>
        <v>900</v>
      </c>
      <c r="I113" s="29">
        <f>IF(NOMENCLATURE_GEN!I113="","",NOMENCLATURE_GEN!I113)</f>
        <v>4500</v>
      </c>
      <c r="J113" s="57" t="str">
        <f>IF(NOMENCLATURE_GEN!J113="","",NOMENCLATURE_GEN!J113)</f>
        <v/>
      </c>
      <c r="K113" s="158">
        <f>IFERROR(VLOOKUP(F113,données!$B$4:$K$30,9,FALSE),0)</f>
        <v>0</v>
      </c>
      <c r="L113" s="13"/>
      <c r="M113" s="159">
        <f>IFERROR((I113*2-VLOOKUP(F113,données!$B$4:$I$30,4,FALSE)+VLOOKUP(F113,données!$B$4:$I$30,5,FALSE)*NOMENCLATURE_GEN!O113+IF(OR(NOMENCLATURE_GEN!P113="",NOMENCLATURE_GEN!P113=0),0,2250)+0.3*H113+750)*2*K113,0)</f>
        <v>0</v>
      </c>
      <c r="N113" s="164">
        <f t="shared" si="4"/>
        <v>0</v>
      </c>
      <c r="O113" s="49"/>
      <c r="P113" s="49"/>
      <c r="Q113" s="49"/>
      <c r="R113" s="49"/>
    </row>
    <row r="114" spans="1:18" s="8" customFormat="1" ht="39.950000000000003" hidden="1" customHeight="1">
      <c r="A114" s="3"/>
      <c r="B114" s="27" t="str">
        <f>IF(NOMENCLATURE_GEN!B114="","",NOMENCLATURE_GEN!B114)</f>
        <v/>
      </c>
      <c r="C114" s="243" t="str">
        <f>IF(NOMENCLATURE_GEN!C114="","",NOMENCLATURE_GEN!C114)</f>
        <v/>
      </c>
      <c r="D114" s="28">
        <f>IF(NOMENCLATURE_GEN!D114="","",NOMENCLATURE_GEN!D114)</f>
        <v>195</v>
      </c>
      <c r="E114" s="28" t="str">
        <f ca="1">IF(NOMENCLATURE_GEN!E114="","",NOMENCLATURE_GEN!E114)</f>
        <v>A</v>
      </c>
      <c r="F114" s="28" t="str">
        <f>IF(NOMENCLATURE_GEN!F114="","",NOMENCLATURE_GEN!F114)</f>
        <v>CHA</v>
      </c>
      <c r="G114" s="396" t="str">
        <f>IF(NOMENCLATURE_GEN!G114="","",NOMENCLATURE_GEN!G114)</f>
        <v>Ensemble des potences et rails de maintenance + 2 portiques</v>
      </c>
      <c r="H114" s="29" t="str">
        <f>IF(NOMENCLATURE_GEN!H114="","",NOMENCLATURE_GEN!H114)</f>
        <v/>
      </c>
      <c r="I114" s="29" t="str">
        <f>IF(NOMENCLATURE_GEN!I114="","",NOMENCLATURE_GEN!I114)</f>
        <v/>
      </c>
      <c r="J114" s="57" t="str">
        <f>IF(NOMENCLATURE_GEN!J114="","",NOMENCLATURE_GEN!J114)</f>
        <v/>
      </c>
      <c r="K114" s="158">
        <f>IFERROR(VLOOKUP(F114,données!$B$4:$K$30,9,FALSE),0)</f>
        <v>0</v>
      </c>
      <c r="L114" s="13"/>
      <c r="M114" s="159">
        <f>IFERROR((I114*2-VLOOKUP(F114,données!$B$4:$I$30,4,FALSE)+VLOOKUP(F114,données!$B$4:$I$30,5,FALSE)*NOMENCLATURE_GEN!O114+IF(OR(NOMENCLATURE_GEN!P114="",NOMENCLATURE_GEN!P114=0),0,2250)+0.3*H114+750)*2*K114,0)</f>
        <v>0</v>
      </c>
      <c r="N114" s="164">
        <f t="shared" si="4"/>
        <v>0</v>
      </c>
      <c r="O114" s="49"/>
      <c r="P114" s="49"/>
      <c r="Q114" s="49"/>
      <c r="R114" s="49"/>
    </row>
    <row r="115" spans="1:18" s="8" customFormat="1" ht="39.950000000000003" hidden="1" customHeight="1">
      <c r="A115" s="3"/>
      <c r="B115" s="27" t="str">
        <f>IF(NOMENCLATURE_GEN!B115="","",NOMENCLATURE_GEN!B115)</f>
        <v/>
      </c>
      <c r="C115" s="243" t="str">
        <f>IF(NOMENCLATURE_GEN!C115="","",NOMENCLATURE_GEN!C115)</f>
        <v/>
      </c>
      <c r="D115" s="28">
        <f>IF(NOMENCLATURE_GEN!D115="","",NOMENCLATURE_GEN!D115)</f>
        <v>196</v>
      </c>
      <c r="E115" s="28" t="str">
        <f ca="1">IF(NOMENCLATURE_GEN!E115="","",NOMENCLATURE_GEN!E115)</f>
        <v>A</v>
      </c>
      <c r="F115" s="28" t="str">
        <f>IF(NOMENCLATURE_GEN!F115="","",NOMENCLATURE_GEN!F115)</f>
        <v>CHA</v>
      </c>
      <c r="G115" s="396" t="str">
        <f>IF(NOMENCLATURE_GEN!G115="","",NOMENCLATURE_GEN!G115)</f>
        <v>Ensemble passerelles et rails pour convoyeur navettes refus légers</v>
      </c>
      <c r="H115" s="29">
        <f>IF(NOMENCLATURE_GEN!H115="","",NOMENCLATURE_GEN!H115)</f>
        <v>8150</v>
      </c>
      <c r="I115" s="29">
        <f>IF(NOMENCLATURE_GEN!I115="","",NOMENCLATURE_GEN!I115)</f>
        <v>15600</v>
      </c>
      <c r="J115" s="57" t="str">
        <f>IF(NOMENCLATURE_GEN!J115="","",NOMENCLATURE_GEN!J115)</f>
        <v/>
      </c>
      <c r="K115" s="158">
        <f>IFERROR(VLOOKUP(F115,données!$B$4:$K$30,9,FALSE),0)</f>
        <v>0</v>
      </c>
      <c r="L115" s="13"/>
      <c r="M115" s="159">
        <f>IFERROR((I115*2-VLOOKUP(F115,données!$B$4:$I$30,4,FALSE)+VLOOKUP(F115,données!$B$4:$I$30,5,FALSE)*NOMENCLATURE_GEN!O115+IF(OR(NOMENCLATURE_GEN!P115="",NOMENCLATURE_GEN!P115=0),0,2250)+0.3*H115+750)*2*K115,0)</f>
        <v>0</v>
      </c>
      <c r="N115" s="164">
        <f t="shared" si="4"/>
        <v>0</v>
      </c>
      <c r="O115" s="49"/>
      <c r="P115" s="49"/>
      <c r="Q115" s="49"/>
      <c r="R115" s="49"/>
    </row>
    <row r="116" spans="1:18" s="8" customFormat="1" ht="39.950000000000003" hidden="1" customHeight="1">
      <c r="A116" s="3"/>
      <c r="B116" s="27" t="str">
        <f>IF(NOMENCLATURE_GEN!B116="","",NOMENCLATURE_GEN!B116)</f>
        <v/>
      </c>
      <c r="C116" s="243" t="str">
        <f>IF(NOMENCLATURE_GEN!C116="","",NOMENCLATURE_GEN!C116)</f>
        <v/>
      </c>
      <c r="D116" s="28">
        <f>IF(NOMENCLATURE_GEN!D116="","",NOMENCLATURE_GEN!D116)</f>
        <v>197</v>
      </c>
      <c r="E116" s="28" t="str">
        <f ca="1">IF(NOMENCLATURE_GEN!E116="","",NOMENCLATURE_GEN!E116)</f>
        <v>A</v>
      </c>
      <c r="F116" s="28" t="str">
        <f>IF(NOMENCLATURE_GEN!F116="","",NOMENCLATURE_GEN!F116)</f>
        <v>CHA</v>
      </c>
      <c r="G116" s="396" t="str">
        <f>IF(NOMENCLATURE_GEN!G116="","",NOMENCLATURE_GEN!G116)</f>
        <v>Ensemble passerelles et rails pour convoyeurs navettes métaux</v>
      </c>
      <c r="H116" s="29">
        <f>IF(NOMENCLATURE_GEN!H116="","",NOMENCLATURE_GEN!H116)</f>
        <v>8150</v>
      </c>
      <c r="I116" s="29">
        <f>IF(NOMENCLATURE_GEN!I116="","",NOMENCLATURE_GEN!I116)</f>
        <v>7000</v>
      </c>
      <c r="J116" s="57" t="str">
        <f>IF(NOMENCLATURE_GEN!J116="","",NOMENCLATURE_GEN!J116)</f>
        <v/>
      </c>
      <c r="K116" s="158">
        <f>IFERROR(VLOOKUP(F116,données!$B$4:$K$30,9,FALSE),0)</f>
        <v>0</v>
      </c>
      <c r="L116" s="13"/>
      <c r="M116" s="159">
        <f>IFERROR((I116*2-VLOOKUP(F116,données!$B$4:$I$30,4,FALSE)+VLOOKUP(F116,données!$B$4:$I$30,5,FALSE)*NOMENCLATURE_GEN!O116+IF(OR(NOMENCLATURE_GEN!P116="",NOMENCLATURE_GEN!P116=0),0,2250)+0.3*H116+750)*2*K116,0)</f>
        <v>0</v>
      </c>
      <c r="N116" s="164">
        <f t="shared" si="4"/>
        <v>0</v>
      </c>
      <c r="O116" s="49"/>
      <c r="P116" s="49"/>
      <c r="Q116" s="49"/>
      <c r="R116" s="49"/>
    </row>
    <row r="117" spans="1:18" s="8" customFormat="1" ht="39.950000000000003" hidden="1" customHeight="1">
      <c r="A117" s="3"/>
      <c r="B117" s="27" t="str">
        <f>IF(NOMENCLATURE_GEN!B117="","",NOMENCLATURE_GEN!B117)</f>
        <v/>
      </c>
      <c r="C117" s="243" t="str">
        <f>IF(NOMENCLATURE_GEN!C117="","",NOMENCLATURE_GEN!C117)</f>
        <v/>
      </c>
      <c r="D117" s="28">
        <f>IF(NOMENCLATURE_GEN!D117="","",NOMENCLATURE_GEN!D117)</f>
        <v>199</v>
      </c>
      <c r="E117" s="28" t="str">
        <f ca="1">IF(NOMENCLATURE_GEN!E117="","",NOMENCLATURE_GEN!E117)</f>
        <v>A</v>
      </c>
      <c r="F117" s="28" t="str">
        <f>IF(NOMENCLATURE_GEN!F117="","",NOMENCLATURE_GEN!F117)</f>
        <v>BRO</v>
      </c>
      <c r="G117" s="396" t="str">
        <f>IF(NOMENCLATURE_GEN!G117="","",NOMENCLATURE_GEN!G117)</f>
        <v>Broyeur pour métaux 30-180mm</v>
      </c>
      <c r="H117" s="29" t="str">
        <f>IF(NOMENCLATURE_GEN!H117="","",NOMENCLATURE_GEN!H117)</f>
        <v/>
      </c>
      <c r="I117" s="29" t="str">
        <f>IF(NOMENCLATURE_GEN!I117="","",NOMENCLATURE_GEN!I117)</f>
        <v/>
      </c>
      <c r="J117" s="57" t="str">
        <f>IF(NOMENCLATURE_GEN!J117="","",NOMENCLATURE_GEN!J117)</f>
        <v/>
      </c>
      <c r="K117" s="158">
        <f>IFERROR(VLOOKUP(F117,données!$B$4:$K$30,9,FALSE),0)</f>
        <v>0</v>
      </c>
      <c r="L117" s="13"/>
      <c r="M117" s="159">
        <f>IFERROR((I117*2-VLOOKUP(F117,données!$B$4:$I$30,4,FALSE)+VLOOKUP(F117,données!$B$4:$I$30,5,FALSE)*NOMENCLATURE_GEN!O117+IF(OR(NOMENCLATURE_GEN!P117="",NOMENCLATURE_GEN!P117=0),0,2250)+0.3*H117+750)*2*K117,0)</f>
        <v>0</v>
      </c>
      <c r="N117" s="164">
        <f t="shared" si="4"/>
        <v>0</v>
      </c>
      <c r="O117" s="49"/>
      <c r="P117" s="49"/>
      <c r="Q117" s="49"/>
      <c r="R117" s="49"/>
    </row>
    <row r="118" spans="1:18" s="8" customFormat="1" ht="39.950000000000003" hidden="1" customHeight="1">
      <c r="A118" s="3"/>
      <c r="B118" s="27" t="str">
        <f>IF(NOMENCLATURE_GEN!B118="","",NOMENCLATURE_GEN!B118)</f>
        <v/>
      </c>
      <c r="C118" s="243" t="str">
        <f>IF(NOMENCLATURE_GEN!C118="","",NOMENCLATURE_GEN!C118)</f>
        <v/>
      </c>
      <c r="D118" s="28">
        <f>IF(NOMENCLATURE_GEN!D118="","",NOMENCLATURE_GEN!D118)</f>
        <v>200</v>
      </c>
      <c r="E118" s="28" t="str">
        <f ca="1">IF(NOMENCLATURE_GEN!E118="","",NOMENCLATURE_GEN!E118)</f>
        <v>A</v>
      </c>
      <c r="F118" s="28" t="str">
        <f>IF(NOMENCLATURE_GEN!F118="","",NOMENCLATURE_GEN!F118)</f>
        <v>TBE</v>
      </c>
      <c r="G118" s="396" t="str">
        <f>IF(NOMENCLATURE_GEN!G118="","",NOMENCLATURE_GEN!G118)</f>
        <v>Convoyeur de reprise sous broyeur des aciers 30-180mm</v>
      </c>
      <c r="H118" s="29">
        <f>IF(NOMENCLATURE_GEN!H118="","",NOMENCLATURE_GEN!H118)</f>
        <v>1000</v>
      </c>
      <c r="I118" s="29">
        <f>IF(NOMENCLATURE_GEN!I118="","",NOMENCLATURE_GEN!I118)</f>
        <v>6000</v>
      </c>
      <c r="J118" s="57">
        <f>IF(NOMENCLATURE_GEN!J118="","",NOMENCLATURE_GEN!J118)</f>
        <v>13</v>
      </c>
      <c r="K118" s="158">
        <f>IFERROR(VLOOKUP(F118,données!$B$4:$K$30,9,FALSE),0)</f>
        <v>0</v>
      </c>
      <c r="L118" s="13"/>
      <c r="M118" s="159">
        <f>IFERROR((I118*2-VLOOKUP(F118,données!$B$4:$I$30,4,FALSE)+VLOOKUP(F118,données!$B$4:$I$30,5,FALSE)*NOMENCLATURE_GEN!O118+IF(OR(NOMENCLATURE_GEN!P118="",NOMENCLATURE_GEN!P118=0),0,2250)+0.3*H118+750)*2*K118,0)</f>
        <v>0</v>
      </c>
      <c r="N118" s="164">
        <f t="shared" si="4"/>
        <v>0</v>
      </c>
      <c r="O118" s="49"/>
      <c r="P118" s="49"/>
      <c r="Q118" s="49"/>
      <c r="R118" s="49"/>
    </row>
    <row r="119" spans="1:18" s="8" customFormat="1" ht="39.950000000000003" hidden="1" customHeight="1">
      <c r="A119" s="3"/>
      <c r="B119" s="27" t="str">
        <f>IF(NOMENCLATURE_GEN!B119="","",NOMENCLATURE_GEN!B119)</f>
        <v/>
      </c>
      <c r="C119" s="243" t="str">
        <f>IF(NOMENCLATURE_GEN!C119="","",NOMENCLATURE_GEN!C119)</f>
        <v/>
      </c>
      <c r="D119" s="28">
        <f>IF(NOMENCLATURE_GEN!D119="","",NOMENCLATURE_GEN!D119)</f>
        <v>201</v>
      </c>
      <c r="E119" s="28" t="str">
        <f ca="1">IF(NOMENCLATURE_GEN!E119="","",NOMENCLATURE_GEN!E119)</f>
        <v>A</v>
      </c>
      <c r="F119" s="28" t="str">
        <f>IF(NOMENCLATURE_GEN!F119="","",NOMENCLATURE_GEN!F119)</f>
        <v>TBE</v>
      </c>
      <c r="G119" s="396" t="str">
        <f>IF(NOMENCLATURE_GEN!G119="","",NOMENCLATURE_GEN!G119)</f>
        <v>Convoyeur de transfert des aciers 30-180mm vers OVB</v>
      </c>
      <c r="H119" s="29">
        <f>IF(NOMENCLATURE_GEN!H119="","",NOMENCLATURE_GEN!H119)</f>
        <v>1000</v>
      </c>
      <c r="I119" s="29">
        <f>IF(NOMENCLATURE_GEN!I119="","",NOMENCLATURE_GEN!I119)</f>
        <v>14750</v>
      </c>
      <c r="J119" s="57">
        <f>IF(NOMENCLATURE_GEN!J119="","",NOMENCLATURE_GEN!J119)</f>
        <v>19</v>
      </c>
      <c r="K119" s="158">
        <f>IFERROR(VLOOKUP(F119,données!$B$4:$K$30,9,FALSE),0)</f>
        <v>0</v>
      </c>
      <c r="L119" s="13"/>
      <c r="M119" s="159">
        <f>IFERROR((I119*2-VLOOKUP(F119,données!$B$4:$I$30,4,FALSE)+VLOOKUP(F119,données!$B$4:$I$30,5,FALSE)*NOMENCLATURE_GEN!O119+IF(OR(NOMENCLATURE_GEN!P119="",NOMENCLATURE_GEN!P119=0),0,2250)+0.3*H119+750)*2*K119,0)</f>
        <v>0</v>
      </c>
      <c r="N119" s="164">
        <f t="shared" si="4"/>
        <v>0</v>
      </c>
      <c r="O119" s="49"/>
      <c r="P119" s="49"/>
      <c r="Q119" s="49"/>
      <c r="R119" s="49"/>
    </row>
    <row r="120" spans="1:18" s="8" customFormat="1" ht="39.950000000000003" hidden="1" customHeight="1">
      <c r="A120" s="3"/>
      <c r="B120" s="27" t="str">
        <f>IF(NOMENCLATURE_GEN!B120="","",NOMENCLATURE_GEN!B120)</f>
        <v/>
      </c>
      <c r="C120" s="243" t="str">
        <f>IF(NOMENCLATURE_GEN!C120="","",NOMENCLATURE_GEN!C120)</f>
        <v/>
      </c>
      <c r="D120" s="28">
        <f>IF(NOMENCLATURE_GEN!D120="","",NOMENCLATURE_GEN!D120)</f>
        <v>202</v>
      </c>
      <c r="E120" s="28" t="str">
        <f ca="1">IF(NOMENCLATURE_GEN!E120="","",NOMENCLATURE_GEN!E120)</f>
        <v>A</v>
      </c>
      <c r="F120" s="28" t="str">
        <f>IF(NOMENCLATURE_GEN!F120="","",NOMENCLATURE_GEN!F120)</f>
        <v>TBE</v>
      </c>
      <c r="G120" s="396" t="str">
        <f>IF(NOMENCLATURE_GEN!G120="","",NOMENCLATURE_GEN!G120)</f>
        <v>Convoyeur d'alimentation du séparateur de ferreux</v>
      </c>
      <c r="H120" s="29">
        <f>IF(NOMENCLATURE_GEN!H120="","",NOMENCLATURE_GEN!H120)</f>
        <v>1000</v>
      </c>
      <c r="I120" s="29">
        <f>IF(NOMENCLATURE_GEN!I120="","",NOMENCLATURE_GEN!I120)</f>
        <v>7500</v>
      </c>
      <c r="J120" s="57">
        <f>IF(NOMENCLATURE_GEN!J120="","",NOMENCLATURE_GEN!J120)</f>
        <v>19</v>
      </c>
      <c r="K120" s="158">
        <f>IFERROR(VLOOKUP(F120,données!$B$4:$K$30,9,FALSE),0)</f>
        <v>0</v>
      </c>
      <c r="L120" s="13"/>
      <c r="M120" s="159">
        <f>IFERROR((I120*2-VLOOKUP(F120,données!$B$4:$I$30,4,FALSE)+VLOOKUP(F120,données!$B$4:$I$30,5,FALSE)*NOMENCLATURE_GEN!O120+IF(OR(NOMENCLATURE_GEN!P120="",NOMENCLATURE_GEN!P120=0),0,2250)+0.3*H120+750)*2*K120,0)</f>
        <v>0</v>
      </c>
      <c r="N120" s="164">
        <f t="shared" si="4"/>
        <v>0</v>
      </c>
      <c r="O120" s="49"/>
      <c r="P120" s="49"/>
      <c r="Q120" s="49"/>
      <c r="R120" s="49"/>
    </row>
    <row r="121" spans="1:18" s="8" customFormat="1" ht="39.950000000000003" hidden="1" customHeight="1">
      <c r="A121" s="3"/>
      <c r="B121" s="27" t="str">
        <f>IF(NOMENCLATURE_GEN!B121="","",NOMENCLATURE_GEN!B121)</f>
        <v/>
      </c>
      <c r="C121" s="243" t="str">
        <f>IF(NOMENCLATURE_GEN!C121="","",NOMENCLATURE_GEN!C121)</f>
        <v/>
      </c>
      <c r="D121" s="28">
        <f>IF(NOMENCLATURE_GEN!D121="","",NOMENCLATURE_GEN!D121)</f>
        <v>203</v>
      </c>
      <c r="E121" s="28" t="str">
        <f ca="1">IF(NOMENCLATURE_GEN!E121="","",NOMENCLATURE_GEN!E121)</f>
        <v>A</v>
      </c>
      <c r="F121" s="28" t="str">
        <f>IF(NOMENCLATURE_GEN!F121="","",NOMENCLATURE_GEN!F121)</f>
        <v>OVB</v>
      </c>
      <c r="G121" s="396" t="str">
        <f>IF(NOMENCLATURE_GEN!G121="","",NOMENCLATURE_GEN!G121)</f>
        <v>Séparateur magnétique à aimant permament</v>
      </c>
      <c r="H121" s="29">
        <f>IF(NOMENCLATURE_GEN!H121="","",NOMENCLATURE_GEN!H121)</f>
        <v>1000</v>
      </c>
      <c r="I121" s="29">
        <f>IF(NOMENCLATURE_GEN!I121="","",NOMENCLATURE_GEN!I121)</f>
        <v>2500</v>
      </c>
      <c r="J121" s="57" t="str">
        <f>IF(NOMENCLATURE_GEN!J121="","",NOMENCLATURE_GEN!J121)</f>
        <v/>
      </c>
      <c r="K121" s="158">
        <f>IFERROR(VLOOKUP(F121,données!$B$4:$K$30,9,FALSE),0)</f>
        <v>0</v>
      </c>
      <c r="L121" s="13"/>
      <c r="M121" s="159">
        <f>IFERROR((I121*2-VLOOKUP(F121,données!$B$4:$I$30,4,FALSE)+VLOOKUP(F121,données!$B$4:$I$30,5,FALSE)*NOMENCLATURE_GEN!O121+IF(OR(NOMENCLATURE_GEN!P121="",NOMENCLATURE_GEN!P121=0),0,2250)+0.3*H121+750)*2*K121,0)</f>
        <v>0</v>
      </c>
      <c r="N121" s="164">
        <f t="shared" si="4"/>
        <v>0</v>
      </c>
      <c r="O121" s="49"/>
      <c r="P121" s="49"/>
      <c r="Q121" s="49"/>
      <c r="R121" s="49"/>
    </row>
    <row r="122" spans="1:18" s="8" customFormat="1" ht="39.950000000000003" hidden="1" customHeight="1">
      <c r="A122" s="3"/>
      <c r="B122" s="27" t="str">
        <f>IF(NOMENCLATURE_GEN!B122="","",NOMENCLATURE_GEN!B122)</f>
        <v/>
      </c>
      <c r="C122" s="243" t="str">
        <f>IF(NOMENCLATURE_GEN!C122="","",NOMENCLATURE_GEN!C122)</f>
        <v/>
      </c>
      <c r="D122" s="28">
        <f>IF(NOMENCLATURE_GEN!D122="","",NOMENCLATURE_GEN!D122)</f>
        <v>203</v>
      </c>
      <c r="E122" s="28" t="str">
        <f ca="1">IF(NOMENCLATURE_GEN!E122="","",NOMENCLATURE_GEN!E122)</f>
        <v>B</v>
      </c>
      <c r="F122" s="28" t="str">
        <f>IF(NOMENCLATURE_GEN!F122="","",NOMENCLATURE_GEN!F122)</f>
        <v>GLT</v>
      </c>
      <c r="G122" s="396" t="str">
        <f>IF(NOMENCLATURE_GEN!G122="","",NOMENCLATURE_GEN!G122)</f>
        <v>GOULOTTE AVEC VERIN</v>
      </c>
      <c r="H122" s="29" t="str">
        <f>IF(NOMENCLATURE_GEN!H122="","",NOMENCLATURE_GEN!H122)</f>
        <v/>
      </c>
      <c r="I122" s="29" t="str">
        <f>IF(NOMENCLATURE_GEN!I122="","",NOMENCLATURE_GEN!I122)</f>
        <v/>
      </c>
      <c r="J122" s="57" t="str">
        <f>IF(NOMENCLATURE_GEN!J122="","",NOMENCLATURE_GEN!J122)</f>
        <v/>
      </c>
      <c r="K122" s="158">
        <f>IFERROR(VLOOKUP(F122,données!$B$4:$K$30,9,FALSE),0)</f>
        <v>0</v>
      </c>
      <c r="L122" s="13"/>
      <c r="M122" s="159">
        <f>IFERROR((I122*2-VLOOKUP(F122,données!$B$4:$I$30,4,FALSE)+VLOOKUP(F122,données!$B$4:$I$30,5,FALSE)*NOMENCLATURE_GEN!O122+IF(OR(NOMENCLATURE_GEN!P122="",NOMENCLATURE_GEN!P122=0),0,2250)+0.3*H122+750)*2*K122,0)</f>
        <v>0</v>
      </c>
      <c r="N122" s="164">
        <f t="shared" ref="N122" si="5">(INT((M122/2)/3000)+1)*2*K122</f>
        <v>0</v>
      </c>
      <c r="O122" s="49"/>
      <c r="P122" s="49"/>
      <c r="Q122" s="49"/>
      <c r="R122" s="49"/>
    </row>
    <row r="123" spans="1:18" s="8" customFormat="1" ht="39.950000000000003" hidden="1" customHeight="1">
      <c r="A123" s="3"/>
      <c r="B123" s="27" t="str">
        <f>IF(NOMENCLATURE_GEN!B123="","",NOMENCLATURE_GEN!B123)</f>
        <v>SUP</v>
      </c>
      <c r="C123" s="243" t="str">
        <f>IF(NOMENCLATURE_GEN!C123="","",NOMENCLATURE_GEN!C123)</f>
        <v/>
      </c>
      <c r="D123" s="28">
        <f>IF(NOMENCLATURE_GEN!D123="","",NOMENCLATURE_GEN!D123)</f>
        <v>204</v>
      </c>
      <c r="E123" s="28" t="str">
        <f ca="1">IF(NOMENCLATURE_GEN!E123="","",NOMENCLATURE_GEN!E123)</f>
        <v>A</v>
      </c>
      <c r="F123" s="28" t="str">
        <f>IF(NOMENCLATURE_GEN!F123="","",NOMENCLATURE_GEN!F123)</f>
        <v>CHA</v>
      </c>
      <c r="G123" s="396" t="str">
        <f>IF(NOMENCLATURE_GEN!G123="","",NOMENCLATURE_GEN!G123)</f>
        <v>Charpente support OVB + protection grillagée et goulotte inox</v>
      </c>
      <c r="H123" s="29" t="str">
        <f>IF(NOMENCLATURE_GEN!H123="","",NOMENCLATURE_GEN!H123)</f>
        <v/>
      </c>
      <c r="I123" s="29" t="str">
        <f>IF(NOMENCLATURE_GEN!I123="","",NOMENCLATURE_GEN!I123)</f>
        <v/>
      </c>
      <c r="J123" s="57" t="str">
        <f>IF(NOMENCLATURE_GEN!J123="","",NOMENCLATURE_GEN!J123)</f>
        <v/>
      </c>
      <c r="K123" s="158">
        <f>IFERROR(VLOOKUP(F123,données!$B$4:$K$30,9,FALSE),0)</f>
        <v>0</v>
      </c>
      <c r="L123" s="13"/>
      <c r="M123" s="159">
        <f>IFERROR((I123*2-VLOOKUP(F123,données!$B$4:$I$30,4,FALSE)+VLOOKUP(F123,données!$B$4:$I$30,5,FALSE)*NOMENCLATURE_GEN!O123+IF(OR(NOMENCLATURE_GEN!P123="",NOMENCLATURE_GEN!P123=0),0,2250)+0.3*H123+750)*2*K123,0)</f>
        <v>0</v>
      </c>
      <c r="N123" s="164">
        <f t="shared" si="4"/>
        <v>0</v>
      </c>
      <c r="O123" s="49"/>
      <c r="P123" s="49"/>
      <c r="Q123" s="49"/>
      <c r="R123" s="49"/>
    </row>
    <row r="124" spans="1:18" s="8" customFormat="1" ht="39.950000000000003" hidden="1" customHeight="1">
      <c r="A124" s="3"/>
      <c r="B124" s="27" t="str">
        <f>IF(NOMENCLATURE_GEN!B124="","",NOMENCLATURE_GEN!B124)</f>
        <v>SUP</v>
      </c>
      <c r="C124" s="243" t="str">
        <f>IF(NOMENCLATURE_GEN!C124="","",NOMENCLATURE_GEN!C124)</f>
        <v/>
      </c>
      <c r="D124" s="28">
        <f>IF(NOMENCLATURE_GEN!D124="","",NOMENCLATURE_GEN!D124)</f>
        <v>205</v>
      </c>
      <c r="E124" s="28" t="str">
        <f ca="1">IF(NOMENCLATURE_GEN!E124="","",NOMENCLATURE_GEN!E124)</f>
        <v>A</v>
      </c>
      <c r="F124" s="28" t="str">
        <f>IF(NOMENCLATURE_GEN!F124="","",NOMENCLATURE_GEN!F124)</f>
        <v>CHA</v>
      </c>
      <c r="G124" s="396" t="str">
        <f>IF(NOMENCLATURE_GEN!G124="","",NOMENCLATURE_GEN!G124)</f>
        <v>Charpente support et accès maintenance broyeur</v>
      </c>
      <c r="H124" s="29">
        <f>IF(NOMENCLATURE_GEN!H124="","",NOMENCLATURE_GEN!H124)</f>
        <v>3500</v>
      </c>
      <c r="I124" s="29">
        <f>IF(NOMENCLATURE_GEN!I124="","",NOMENCLATURE_GEN!I124)</f>
        <v>4000</v>
      </c>
      <c r="J124" s="57" t="str">
        <f>IF(NOMENCLATURE_GEN!J124="","",NOMENCLATURE_GEN!J124)</f>
        <v/>
      </c>
      <c r="K124" s="158">
        <f>IFERROR(VLOOKUP(F124,données!$B$4:$K$30,9,FALSE),0)</f>
        <v>0</v>
      </c>
      <c r="L124" s="13"/>
      <c r="M124" s="159">
        <f>IFERROR((I124*2-VLOOKUP(F124,données!$B$4:$I$30,4,FALSE)+VLOOKUP(F124,données!$B$4:$I$30,5,FALSE)*NOMENCLATURE_GEN!O124+IF(OR(NOMENCLATURE_GEN!P124="",NOMENCLATURE_GEN!P124=0),0,2250)+0.3*H124+750)*2*K124,0)</f>
        <v>0</v>
      </c>
      <c r="N124" s="164">
        <f t="shared" ref="N124:N139" si="6">(INT((M124/2)/3000)+1)*2*K124</f>
        <v>0</v>
      </c>
      <c r="O124" s="49"/>
      <c r="P124" s="49"/>
      <c r="Q124" s="49"/>
      <c r="R124" s="49"/>
    </row>
    <row r="125" spans="1:18" s="8" customFormat="1" ht="39.950000000000003" hidden="1" customHeight="1">
      <c r="A125" s="3"/>
      <c r="B125" s="27" t="str">
        <f>IF(NOMENCLATURE_GEN!B125="","",NOMENCLATURE_GEN!B125)</f>
        <v/>
      </c>
      <c r="C125" s="243" t="str">
        <f>IF(NOMENCLATURE_GEN!C125="","",NOMENCLATURE_GEN!C125)</f>
        <v/>
      </c>
      <c r="D125" s="28">
        <f>IF(NOMENCLATURE_GEN!D125="","",NOMENCLATURE_GEN!D125)</f>
        <v>207</v>
      </c>
      <c r="E125" s="28" t="str">
        <f ca="1">IF(NOMENCLATURE_GEN!E125="","",NOMENCLATURE_GEN!E125)</f>
        <v>A</v>
      </c>
      <c r="F125" s="28" t="str">
        <f>IF(NOMENCLATURE_GEN!F125="","",NOMENCLATURE_GEN!F125)</f>
        <v>TBE</v>
      </c>
      <c r="G125" s="396" t="str">
        <f>IF(NOMENCLATURE_GEN!G125="","",NOMENCLATURE_GEN!G125)</f>
        <v>Convoyeur by-pass presse à paquets</v>
      </c>
      <c r="H125" s="29">
        <f>IF(NOMENCLATURE_GEN!H125="","",NOMENCLATURE_GEN!H125)</f>
        <v>800</v>
      </c>
      <c r="I125" s="29">
        <f>IF(NOMENCLATURE_GEN!I125="","",NOMENCLATURE_GEN!I125)</f>
        <v>3500</v>
      </c>
      <c r="J125" s="57">
        <f>IF(NOMENCLATURE_GEN!J125="","",NOMENCLATURE_GEN!J125)</f>
        <v>0</v>
      </c>
      <c r="K125" s="158">
        <f>IFERROR(VLOOKUP(F125,données!$B$4:$K$30,9,FALSE),0)</f>
        <v>0</v>
      </c>
      <c r="L125" s="13"/>
      <c r="M125" s="159">
        <f>IFERROR((I125*2-VLOOKUP(F125,données!$B$4:$I$30,4,FALSE)+VLOOKUP(F125,données!$B$4:$I$30,5,FALSE)*NOMENCLATURE_GEN!O125+IF(OR(NOMENCLATURE_GEN!P125="",NOMENCLATURE_GEN!P125=0),0,2250)+0.3*H125+750)*2*K125,0)</f>
        <v>0</v>
      </c>
      <c r="N125" s="164">
        <f t="shared" si="6"/>
        <v>0</v>
      </c>
      <c r="O125" s="49"/>
      <c r="P125" s="49"/>
      <c r="Q125" s="49"/>
      <c r="R125" s="49"/>
    </row>
    <row r="126" spans="1:18" s="8" customFormat="1" ht="39.950000000000003" hidden="1" customHeight="1">
      <c r="A126" s="3"/>
      <c r="B126" s="27" t="str">
        <f>IF(NOMENCLATURE_GEN!B126="","",NOMENCLATURE_GEN!B126)</f>
        <v/>
      </c>
      <c r="C126" s="243" t="str">
        <f>IF(NOMENCLATURE_GEN!C126="","",NOMENCLATURE_GEN!C126)</f>
        <v/>
      </c>
      <c r="D126" s="28">
        <f>IF(NOMENCLATURE_GEN!D126="","",NOMENCLATURE_GEN!D126)</f>
        <v>208</v>
      </c>
      <c r="E126" s="28" t="str">
        <f ca="1">IF(NOMENCLATURE_GEN!E126="","",NOMENCLATURE_GEN!E126)</f>
        <v>A</v>
      </c>
      <c r="F126" s="28" t="str">
        <f>IF(NOMENCLATURE_GEN!F126="","",NOMENCLATURE_GEN!F126)</f>
        <v>SOL</v>
      </c>
      <c r="G126" s="396" t="str">
        <f>IF(NOMENCLATURE_GEN!G126="","",NOMENCLATURE_GEN!G126)</f>
        <v>RLX séparateur objets longs SUR CVY 162</v>
      </c>
      <c r="H126" s="29" t="str">
        <f>IF(NOMENCLATURE_GEN!H126="","",NOMENCLATURE_GEN!H126)</f>
        <v/>
      </c>
      <c r="I126" s="29" t="str">
        <f>IF(NOMENCLATURE_GEN!I126="","",NOMENCLATURE_GEN!I126)</f>
        <v/>
      </c>
      <c r="J126" s="57" t="str">
        <f>IF(NOMENCLATURE_GEN!J126="","",NOMENCLATURE_GEN!J126)</f>
        <v/>
      </c>
      <c r="K126" s="158">
        <f>IFERROR(VLOOKUP(F126,données!$B$4:$K$30,9,FALSE),0)</f>
        <v>0</v>
      </c>
      <c r="L126" s="13"/>
      <c r="M126" s="159">
        <f>IFERROR((I126*2-VLOOKUP(F126,données!$B$4:$I$30,4,FALSE)+VLOOKUP(F126,données!$B$4:$I$30,5,FALSE)*NOMENCLATURE_GEN!O126+IF(OR(NOMENCLATURE_GEN!P126="",NOMENCLATURE_GEN!P126=0),0,2250)+0.3*H126+750)*2*K126,0)</f>
        <v>0</v>
      </c>
      <c r="N126" s="164">
        <f t="shared" si="6"/>
        <v>0</v>
      </c>
      <c r="O126" s="49"/>
      <c r="P126" s="49"/>
      <c r="Q126" s="49"/>
      <c r="R126" s="49"/>
    </row>
    <row r="127" spans="1:18" s="8" customFormat="1" ht="39.950000000000003" hidden="1" customHeight="1">
      <c r="A127" s="3"/>
      <c r="B127" s="27" t="str">
        <f>IF(NOMENCLATURE_GEN!B127="","",NOMENCLATURE_GEN!B127)</f>
        <v/>
      </c>
      <c r="C127" s="243" t="str">
        <f>IF(NOMENCLATURE_GEN!C127="","",NOMENCLATURE_GEN!C127)</f>
        <v/>
      </c>
      <c r="D127" s="28">
        <f>IF(NOMENCLATURE_GEN!D127="","",NOMENCLATURE_GEN!D127)</f>
        <v>209</v>
      </c>
      <c r="E127" s="28" t="str">
        <f ca="1">IF(NOMENCLATURE_GEN!E127="","",NOMENCLATURE_GEN!E127)</f>
        <v>A</v>
      </c>
      <c r="F127" s="28" t="str">
        <f>IF(NOMENCLATURE_GEN!F127="","",NOMENCLATURE_GEN!F127)</f>
        <v>PRP</v>
      </c>
      <c r="G127" s="396" t="str">
        <f>IF(NOMENCLATURE_GEN!G127="","",NOMENCLATURE_GEN!G127)</f>
        <v>Fourniture et pose d'une presse à paquets PP11</v>
      </c>
      <c r="H127" s="29" t="str">
        <f>IF(NOMENCLATURE_GEN!H127="","",NOMENCLATURE_GEN!H127)</f>
        <v/>
      </c>
      <c r="I127" s="29" t="str">
        <f>IF(NOMENCLATURE_GEN!I127="","",NOMENCLATURE_GEN!I127)</f>
        <v/>
      </c>
      <c r="J127" s="57" t="str">
        <f>IF(NOMENCLATURE_GEN!J127="","",NOMENCLATURE_GEN!J127)</f>
        <v/>
      </c>
      <c r="K127" s="158">
        <f>IFERROR(VLOOKUP(F127,données!$B$4:$K$30,9,FALSE),0)</f>
        <v>0</v>
      </c>
      <c r="L127" s="13"/>
      <c r="M127" s="159">
        <f>IFERROR((I127*2-VLOOKUP(F127,données!$B$4:$I$30,4,FALSE)+VLOOKUP(F127,données!$B$4:$I$30,5,FALSE)*NOMENCLATURE_GEN!O127+IF(OR(NOMENCLATURE_GEN!P127="",NOMENCLATURE_GEN!P127=0),0,2250)+0.3*H127+750)*2*K127,0)</f>
        <v>0</v>
      </c>
      <c r="N127" s="164">
        <f t="shared" si="6"/>
        <v>0</v>
      </c>
      <c r="O127" s="49"/>
      <c r="P127" s="49"/>
      <c r="Q127" s="49"/>
      <c r="R127" s="49"/>
    </row>
    <row r="128" spans="1:18" s="8" customFormat="1" ht="39.950000000000003" hidden="1" customHeight="1">
      <c r="A128" s="3"/>
      <c r="B128" s="27" t="str">
        <f>IF(NOMENCLATURE_GEN!B128="","",NOMENCLATURE_GEN!B128)</f>
        <v>SUP</v>
      </c>
      <c r="C128" s="243" t="str">
        <f>IF(NOMENCLATURE_GEN!C128="","",NOMENCLATURE_GEN!C128)</f>
        <v/>
      </c>
      <c r="D128" s="28">
        <f>IF(NOMENCLATURE_GEN!D128="","",NOMENCLATURE_GEN!D128)</f>
        <v>210</v>
      </c>
      <c r="E128" s="28" t="str">
        <f ca="1">IF(NOMENCLATURE_GEN!E128="","",NOMENCLATURE_GEN!E128)</f>
        <v>A</v>
      </c>
      <c r="F128" s="28" t="str">
        <f>IF(NOMENCLATURE_GEN!F128="","",NOMENCLATURE_GEN!F128)</f>
        <v>COU</v>
      </c>
      <c r="G128" s="396" t="str">
        <f>IF(NOMENCLATURE_GEN!G128="","",NOMENCLATURE_GEN!G128)</f>
        <v>Moins value pour suppressions Couronne rotatif pour convoyeur de mise en tas FFOM</v>
      </c>
      <c r="H128" s="29" t="str">
        <f>IF(NOMENCLATURE_GEN!H128="","",NOMENCLATURE_GEN!H128)</f>
        <v/>
      </c>
      <c r="I128" s="29" t="str">
        <f>IF(NOMENCLATURE_GEN!I128="","",NOMENCLATURE_GEN!I128)</f>
        <v/>
      </c>
      <c r="J128" s="57" t="str">
        <f>IF(NOMENCLATURE_GEN!J128="","",NOMENCLATURE_GEN!J128)</f>
        <v/>
      </c>
      <c r="K128" s="158">
        <f>IFERROR(VLOOKUP(F128,données!$B$4:$K$30,9,FALSE),0)</f>
        <v>0</v>
      </c>
      <c r="L128" s="13"/>
      <c r="M128" s="159">
        <f>IFERROR((I128*2-VLOOKUP(F128,données!$B$4:$I$30,4,FALSE)+VLOOKUP(F128,données!$B$4:$I$30,5,FALSE)*NOMENCLATURE_GEN!O128+IF(OR(NOMENCLATURE_GEN!P128="",NOMENCLATURE_GEN!P128=0),0,2250)+0.3*H128+750)*2*K128,0)</f>
        <v>0</v>
      </c>
      <c r="N128" s="164">
        <f t="shared" si="6"/>
        <v>0</v>
      </c>
      <c r="O128" s="49"/>
      <c r="P128" s="49"/>
      <c r="Q128" s="49"/>
      <c r="R128" s="49"/>
    </row>
    <row r="129" spans="1:22" s="8" customFormat="1" ht="39.950000000000003" hidden="1" customHeight="1">
      <c r="A129" s="3"/>
      <c r="B129" s="27" t="str">
        <f>IF(NOMENCLATURE_GEN!B129="","",NOMENCLATURE_GEN!B129)</f>
        <v/>
      </c>
      <c r="C129" s="243" t="str">
        <f>IF(NOMENCLATURE_GEN!C129="","",NOMENCLATURE_GEN!C129)</f>
        <v/>
      </c>
      <c r="D129" s="28">
        <f>IF(NOMENCLATURE_GEN!D129="","",NOMENCLATURE_GEN!D129)</f>
        <v>211</v>
      </c>
      <c r="E129" s="28" t="str">
        <f ca="1">IF(NOMENCLATURE_GEN!E129="","",NOMENCLATURE_GEN!E129)</f>
        <v>A</v>
      </c>
      <c r="F129" s="28" t="str">
        <f>IF(NOMENCLATURE_GEN!F129="","",NOMENCLATURE_GEN!F129)</f>
        <v>NAV</v>
      </c>
      <c r="G129" s="396" t="str">
        <f>IF(NOMENCLATURE_GEN!G129="","",NOMENCLATURE_GEN!G129)</f>
        <v>Navette pour convoyeur mobile remplissage benne FFOM TBE 160</v>
      </c>
      <c r="H129" s="29" t="str">
        <f>IF(NOMENCLATURE_GEN!H129="","",NOMENCLATURE_GEN!H129)</f>
        <v/>
      </c>
      <c r="I129" s="29" t="str">
        <f>IF(NOMENCLATURE_GEN!I129="","",NOMENCLATURE_GEN!I129)</f>
        <v/>
      </c>
      <c r="J129" s="57" t="str">
        <f>IF(NOMENCLATURE_GEN!J129="","",NOMENCLATURE_GEN!J129)</f>
        <v/>
      </c>
      <c r="K129" s="158">
        <f>IFERROR(VLOOKUP(F129,données!$B$4:$K$30,9,FALSE),0)</f>
        <v>0</v>
      </c>
      <c r="L129" s="13"/>
      <c r="M129" s="159">
        <f>IFERROR((I129*2-VLOOKUP(F129,données!$B$4:$I$30,4,FALSE)+VLOOKUP(F129,données!$B$4:$I$30,5,FALSE)*NOMENCLATURE_GEN!O129+IF(OR(NOMENCLATURE_GEN!P129="",NOMENCLATURE_GEN!P129=0),0,2250)+0.3*H129+750)*2*K129,0)</f>
        <v>0</v>
      </c>
      <c r="N129" s="164">
        <f t="shared" si="6"/>
        <v>0</v>
      </c>
      <c r="O129" s="49"/>
      <c r="P129" s="49"/>
      <c r="Q129" s="49"/>
      <c r="R129" s="49"/>
    </row>
    <row r="130" spans="1:22" s="8" customFormat="1" ht="39.950000000000003" hidden="1" customHeight="1">
      <c r="A130" s="3"/>
      <c r="B130" s="27" t="str">
        <f>IF(NOMENCLATURE_GEN!B130="","",NOMENCLATURE_GEN!B130)</f>
        <v/>
      </c>
      <c r="C130" s="243" t="str">
        <f>IF(NOMENCLATURE_GEN!C130="","",NOMENCLATURE_GEN!C130)</f>
        <v/>
      </c>
      <c r="D130" s="28">
        <f>IF(NOMENCLATURE_GEN!D130="","",NOMENCLATURE_GEN!D130)</f>
        <v>212</v>
      </c>
      <c r="E130" s="28" t="str">
        <f ca="1">IF(NOMENCLATURE_GEN!E130="","",NOMENCLATURE_GEN!E130)</f>
        <v>A</v>
      </c>
      <c r="F130" s="28" t="str">
        <f>IF(NOMENCLATURE_GEN!F130="","",NOMENCLATURE_GEN!F130)</f>
        <v>CHA</v>
      </c>
      <c r="G130" s="396" t="str">
        <f>IF(NOMENCLATURE_GEN!G130="","",NOMENCLATURE_GEN!G130)</f>
        <v>Ensemble passerelle pour convoyeur navette FFOM</v>
      </c>
      <c r="H130" s="29" t="str">
        <f>IF(NOMENCLATURE_GEN!H130="","",NOMENCLATURE_GEN!H130)</f>
        <v/>
      </c>
      <c r="I130" s="29" t="str">
        <f>IF(NOMENCLATURE_GEN!I130="","",NOMENCLATURE_GEN!I130)</f>
        <v/>
      </c>
      <c r="J130" s="57" t="str">
        <f>IF(NOMENCLATURE_GEN!J130="","",NOMENCLATURE_GEN!J130)</f>
        <v/>
      </c>
      <c r="K130" s="158">
        <f>IFERROR(VLOOKUP(F130,données!$B$4:$K$30,9,FALSE),0)</f>
        <v>0</v>
      </c>
      <c r="L130" s="13"/>
      <c r="M130" s="159">
        <f>IFERROR((I130*2-VLOOKUP(F130,données!$B$4:$I$30,4,FALSE)+VLOOKUP(F130,données!$B$4:$I$30,5,FALSE)*NOMENCLATURE_GEN!O130+IF(OR(NOMENCLATURE_GEN!P130="",NOMENCLATURE_GEN!P130=0),0,2250)+0.3*H130+750)*2*K130,0)</f>
        <v>0</v>
      </c>
      <c r="N130" s="164">
        <f t="shared" si="6"/>
        <v>0</v>
      </c>
      <c r="O130" s="49"/>
      <c r="P130" s="49"/>
      <c r="Q130" s="49"/>
      <c r="R130" s="49"/>
    </row>
    <row r="131" spans="1:22" s="8" customFormat="1" ht="39.950000000000003" hidden="1" customHeight="1">
      <c r="A131" s="3"/>
      <c r="B131" s="27" t="str">
        <f>IF(NOMENCLATURE_GEN!B131="","",NOMENCLATURE_GEN!B131)</f>
        <v/>
      </c>
      <c r="C131" s="243" t="str">
        <f>IF(NOMENCLATURE_GEN!C131="","",NOMENCLATURE_GEN!C131)</f>
        <v/>
      </c>
      <c r="D131" s="28">
        <f>IF(NOMENCLATURE_GEN!D131="","",NOMENCLATURE_GEN!D131)</f>
        <v>213</v>
      </c>
      <c r="E131" s="28" t="str">
        <f ca="1">IF(NOMENCLATURE_GEN!E131="","",NOMENCLATURE_GEN!E131)</f>
        <v>A</v>
      </c>
      <c r="F131" s="28" t="str">
        <f>IF(NOMENCLATURE_GEN!F131="","",NOMENCLATURE_GEN!F131)</f>
        <v>PES</v>
      </c>
      <c r="G131" s="396" t="str">
        <f>IF(NOMENCLATURE_GEN!G131="","",NOMENCLATURE_GEN!G131)</f>
        <v>Pesage des paquets d'aciers en sortie</v>
      </c>
      <c r="H131" s="29" t="str">
        <f>IF(NOMENCLATURE_GEN!H131="","",NOMENCLATURE_GEN!H131)</f>
        <v/>
      </c>
      <c r="I131" s="29" t="str">
        <f>IF(NOMENCLATURE_GEN!I131="","",NOMENCLATURE_GEN!I131)</f>
        <v/>
      </c>
      <c r="J131" s="57" t="str">
        <f>IF(NOMENCLATURE_GEN!J131="","",NOMENCLATURE_GEN!J131)</f>
        <v/>
      </c>
      <c r="K131" s="158">
        <f>IFERROR(VLOOKUP(F131,données!$B$4:$K$30,9,FALSE),0)</f>
        <v>0</v>
      </c>
      <c r="L131" s="13"/>
      <c r="M131" s="159">
        <f>IFERROR((I131*2-VLOOKUP(F131,données!$B$4:$I$30,4,FALSE)+VLOOKUP(F131,données!$B$4:$I$30,5,FALSE)*NOMENCLATURE_GEN!O131+IF(OR(NOMENCLATURE_GEN!P131="",NOMENCLATURE_GEN!P131=0),0,2250)+0.3*H131+750)*2*K131,0)</f>
        <v>0</v>
      </c>
      <c r="N131" s="164">
        <f t="shared" si="6"/>
        <v>0</v>
      </c>
      <c r="O131" s="49"/>
      <c r="P131" s="49"/>
      <c r="Q131" s="49"/>
      <c r="R131" s="49"/>
    </row>
    <row r="132" spans="1:22" s="8" customFormat="1" ht="39.950000000000003" hidden="1" customHeight="1">
      <c r="A132" s="3"/>
      <c r="B132" s="27" t="str">
        <f>IF(NOMENCLATURE_GEN!B132="","",NOMENCLATURE_GEN!B132)</f>
        <v/>
      </c>
      <c r="C132" s="243" t="str">
        <f>IF(NOMENCLATURE_GEN!C132="","",NOMENCLATURE_GEN!C132)</f>
        <v/>
      </c>
      <c r="D132" s="28">
        <f>IF(NOMENCLATURE_GEN!D132="","",NOMENCLATURE_GEN!D132)</f>
        <v>215</v>
      </c>
      <c r="E132" s="28" t="str">
        <f ca="1">IF(NOMENCLATURE_GEN!E132="","",NOMENCLATURE_GEN!E132)</f>
        <v>A</v>
      </c>
      <c r="F132" s="28" t="str">
        <f>IF(NOMENCLATURE_GEN!F132="","",NOMENCLATURE_GEN!F132)</f>
        <v>ELEC</v>
      </c>
      <c r="G132" s="396" t="str">
        <f>IF(NOMENCLATURE_GEN!G132="","",NOMENCLATURE_GEN!G132)</f>
        <v>Cablage électrique + capteurs</v>
      </c>
      <c r="H132" s="29" t="str">
        <f>IF(NOMENCLATURE_GEN!H132="","",NOMENCLATURE_GEN!H132)</f>
        <v/>
      </c>
      <c r="I132" s="29" t="str">
        <f>IF(NOMENCLATURE_GEN!I132="","",NOMENCLATURE_GEN!I132)</f>
        <v/>
      </c>
      <c r="J132" s="57" t="str">
        <f>IF(NOMENCLATURE_GEN!J132="","",NOMENCLATURE_GEN!J132)</f>
        <v/>
      </c>
      <c r="K132" s="158">
        <f>IFERROR(VLOOKUP(F132,données!$B$4:$K$30,9,FALSE),0)</f>
        <v>0</v>
      </c>
      <c r="L132" s="13"/>
      <c r="M132" s="159">
        <f>IFERROR((I132*2-VLOOKUP(F132,données!$B$4:$I$30,4,FALSE)+VLOOKUP(F132,données!$B$4:$I$30,5,FALSE)*NOMENCLATURE_GEN!O132+IF(OR(NOMENCLATURE_GEN!P132="",NOMENCLATURE_GEN!P132=0),0,2250)+0.3*H132+750)*2*K132,0)</f>
        <v>0</v>
      </c>
      <c r="N132" s="164">
        <f t="shared" si="6"/>
        <v>0</v>
      </c>
      <c r="O132" s="49"/>
      <c r="P132" s="49"/>
      <c r="Q132" s="49"/>
      <c r="R132" s="49"/>
    </row>
    <row r="133" spans="1:22" s="8" customFormat="1" ht="39.950000000000003" hidden="1" customHeight="1">
      <c r="A133" s="3"/>
      <c r="B133" s="27" t="str">
        <f>IF(NOMENCLATURE_GEN!B133="","",NOMENCLATURE_GEN!B133)</f>
        <v/>
      </c>
      <c r="C133" s="243" t="str">
        <f>IF(NOMENCLATURE_GEN!C133="","",NOMENCLATURE_GEN!C133)</f>
        <v/>
      </c>
      <c r="D133" s="28">
        <f>IF(NOMENCLATURE_GEN!D133="","",NOMENCLATURE_GEN!D133)</f>
        <v>219</v>
      </c>
      <c r="E133" s="28" t="str">
        <f ca="1">IF(NOMENCLATURE_GEN!E133="","",NOMENCLATURE_GEN!E133)</f>
        <v>A</v>
      </c>
      <c r="F133" s="28" t="str">
        <f>IF(NOMENCLATURE_GEN!F133="","",NOMENCLATURE_GEN!F133)</f>
        <v>PES</v>
      </c>
      <c r="G133" s="396" t="str">
        <f>IF(NOMENCLATURE_GEN!G133="","",NOMENCLATURE_GEN!G133)</f>
        <v>Station de pesage dynamique sur CBA 199 fraction FFOM vers métha</v>
      </c>
      <c r="H133" s="29" t="str">
        <f>IF(NOMENCLATURE_GEN!H133="","",NOMENCLATURE_GEN!H133)</f>
        <v/>
      </c>
      <c r="I133" s="29" t="str">
        <f>IF(NOMENCLATURE_GEN!I133="","",NOMENCLATURE_GEN!I133)</f>
        <v/>
      </c>
      <c r="J133" s="57" t="str">
        <f>IF(NOMENCLATURE_GEN!J133="","",NOMENCLATURE_GEN!J133)</f>
        <v/>
      </c>
      <c r="K133" s="158">
        <f>IFERROR(VLOOKUP(F133,données!$B$4:$K$30,9,FALSE),0)</f>
        <v>0</v>
      </c>
      <c r="L133" s="13"/>
      <c r="M133" s="159">
        <f>IFERROR((I133*2-VLOOKUP(F133,données!$B$4:$I$30,4,FALSE)+VLOOKUP(F133,données!$B$4:$I$30,5,FALSE)*NOMENCLATURE_GEN!O133+IF(OR(NOMENCLATURE_GEN!P133="",NOMENCLATURE_GEN!P133=0),0,2250)+0.3*H133+750)*2*K133,0)</f>
        <v>0</v>
      </c>
      <c r="N133" s="164">
        <f t="shared" si="6"/>
        <v>0</v>
      </c>
      <c r="O133" s="49"/>
      <c r="P133" s="49"/>
      <c r="Q133" s="49"/>
      <c r="R133" s="49"/>
    </row>
    <row r="134" spans="1:22" s="8" customFormat="1" ht="39.950000000000003" hidden="1" customHeight="1">
      <c r="A134" s="3"/>
      <c r="B134" s="27" t="str">
        <f>IF(NOMENCLATURE_GEN!B134="","",NOMENCLATURE_GEN!B134)</f>
        <v>SUP</v>
      </c>
      <c r="C134" s="243" t="str">
        <f>IF(NOMENCLATURE_GEN!C134="","",NOMENCLATURE_GEN!C134)</f>
        <v/>
      </c>
      <c r="D134" s="28">
        <f>IF(NOMENCLATURE_GEN!D134="","",NOMENCLATURE_GEN!D134)</f>
        <v>221</v>
      </c>
      <c r="E134" s="28" t="str">
        <f ca="1">IF(NOMENCLATURE_GEN!E134="","",NOMENCLATURE_GEN!E134)</f>
        <v>A</v>
      </c>
      <c r="F134" s="28" t="str">
        <f>IF(NOMENCLATURE_GEN!F134="","",NOMENCLATURE_GEN!F134)</f>
        <v>TVB</v>
      </c>
      <c r="G134" s="396" t="str">
        <f>IF(NOMENCLATURE_GEN!G134="","",NOMENCLATURE_GEN!G134)</f>
        <v>Alimentateur vibrant pour tri optique verre</v>
      </c>
      <c r="H134" s="29" t="str">
        <f>IF(NOMENCLATURE_GEN!H134="","",NOMENCLATURE_GEN!H134)</f>
        <v/>
      </c>
      <c r="I134" s="29" t="str">
        <f>IF(NOMENCLATURE_GEN!I134="","",NOMENCLATURE_GEN!I134)</f>
        <v/>
      </c>
      <c r="J134" s="57" t="str">
        <f>IF(NOMENCLATURE_GEN!J134="","",NOMENCLATURE_GEN!J134)</f>
        <v/>
      </c>
      <c r="K134" s="158">
        <f>IFERROR(VLOOKUP(F134,données!$B$4:$K$30,9,FALSE),0)</f>
        <v>0</v>
      </c>
      <c r="L134" s="13"/>
      <c r="M134" s="159">
        <f>IFERROR((I134*2-VLOOKUP(F134,données!$B$4:$I$30,4,FALSE)+VLOOKUP(F134,données!$B$4:$I$30,5,FALSE)*NOMENCLATURE_GEN!O134+IF(OR(NOMENCLATURE_GEN!P134="",NOMENCLATURE_GEN!P134=0),0,2250)+0.3*H134+750)*2*K134,0)</f>
        <v>0</v>
      </c>
      <c r="N134" s="164">
        <f t="shared" si="6"/>
        <v>0</v>
      </c>
      <c r="O134" s="49"/>
      <c r="P134" s="49"/>
      <c r="Q134" s="49"/>
      <c r="R134" s="49"/>
    </row>
    <row r="135" spans="1:22" s="8" customFormat="1" ht="39.950000000000003" hidden="1" customHeight="1">
      <c r="A135" s="3"/>
      <c r="B135" s="27" t="str">
        <f>IF(NOMENCLATURE_GEN!B135="","",NOMENCLATURE_GEN!B135)</f>
        <v>SUP</v>
      </c>
      <c r="C135" s="243" t="str">
        <f>IF(NOMENCLATURE_GEN!C135="","",NOMENCLATURE_GEN!C135)</f>
        <v/>
      </c>
      <c r="D135" s="28">
        <f>IF(NOMENCLATURE_GEN!D135="","",NOMENCLATURE_GEN!D135)</f>
        <v>222</v>
      </c>
      <c r="E135" s="28" t="str">
        <f ca="1">IF(NOMENCLATURE_GEN!E135="","",NOMENCLATURE_GEN!E135)</f>
        <v>A</v>
      </c>
      <c r="F135" s="28" t="str">
        <f>IF(NOMENCLATURE_GEN!F135="","",NOMENCLATURE_GEN!F135)</f>
        <v>SOP</v>
      </c>
      <c r="G135" s="396" t="str">
        <f>IF(NOMENCLATURE_GEN!G135="","",NOMENCLATURE_GEN!G135)</f>
        <v>Séparateur optique verre</v>
      </c>
      <c r="H135" s="29" t="str">
        <f>IF(NOMENCLATURE_GEN!H135="","",NOMENCLATURE_GEN!H135)</f>
        <v/>
      </c>
      <c r="I135" s="29" t="str">
        <f>IF(NOMENCLATURE_GEN!I135="","",NOMENCLATURE_GEN!I135)</f>
        <v/>
      </c>
      <c r="J135" s="57" t="str">
        <f>IF(NOMENCLATURE_GEN!J135="","",NOMENCLATURE_GEN!J135)</f>
        <v/>
      </c>
      <c r="K135" s="158">
        <f>IFERROR(VLOOKUP(F135,données!$B$4:$K$30,9,FALSE),0)</f>
        <v>0</v>
      </c>
      <c r="L135" s="13"/>
      <c r="M135" s="159">
        <f>IFERROR((I135*2-VLOOKUP(F135,données!$B$4:$I$30,4,FALSE)+VLOOKUP(F135,données!$B$4:$I$30,5,FALSE)*NOMENCLATURE_GEN!O135+IF(OR(NOMENCLATURE_GEN!P135="",NOMENCLATURE_GEN!P135=0),0,2250)+0.3*H135+750)*2*K135,0)</f>
        <v>0</v>
      </c>
      <c r="N135" s="164">
        <f t="shared" si="6"/>
        <v>0</v>
      </c>
      <c r="O135" s="49"/>
      <c r="P135" s="49"/>
      <c r="Q135" s="49"/>
      <c r="R135" s="49"/>
    </row>
    <row r="136" spans="1:22" s="8" customFormat="1" ht="39.950000000000003" hidden="1" customHeight="1">
      <c r="A136" s="3"/>
      <c r="B136" s="27" t="str">
        <f>IF(NOMENCLATURE_GEN!B136="","",NOMENCLATURE_GEN!B136)</f>
        <v>SUP</v>
      </c>
      <c r="C136" s="243" t="str">
        <f>IF(NOMENCLATURE_GEN!C136="","",NOMENCLATURE_GEN!C136)</f>
        <v/>
      </c>
      <c r="D136" s="28">
        <f>IF(NOMENCLATURE_GEN!D136="","",NOMENCLATURE_GEN!D136)</f>
        <v>224</v>
      </c>
      <c r="E136" s="28" t="str">
        <f ca="1">IF(NOMENCLATURE_GEN!E136="","",NOMENCLATURE_GEN!E136)</f>
        <v>A</v>
      </c>
      <c r="F136" s="28" t="str">
        <f>IF(NOMENCLATURE_GEN!F136="","",NOMENCLATURE_GEN!F136)</f>
        <v>CHA</v>
      </c>
      <c r="G136" s="396" t="str">
        <f>IF(NOMENCLATURE_GEN!G136="","",NOMENCLATURE_GEN!G136)</f>
        <v>Plateforme d'accès maintenance pour tri optique et vibrant</v>
      </c>
      <c r="H136" s="29" t="str">
        <f>IF(NOMENCLATURE_GEN!H136="","",NOMENCLATURE_GEN!H136)</f>
        <v/>
      </c>
      <c r="I136" s="29" t="str">
        <f>IF(NOMENCLATURE_GEN!I136="","",NOMENCLATURE_GEN!I136)</f>
        <v/>
      </c>
      <c r="J136" s="57" t="str">
        <f>IF(NOMENCLATURE_GEN!J136="","",NOMENCLATURE_GEN!J136)</f>
        <v/>
      </c>
      <c r="K136" s="158">
        <f>IFERROR(VLOOKUP(F136,données!$B$4:$K$30,9,FALSE),0)</f>
        <v>0</v>
      </c>
      <c r="L136" s="13"/>
      <c r="M136" s="159">
        <f>IFERROR((I136*2-VLOOKUP(F136,données!$B$4:$I$30,4,FALSE)+VLOOKUP(F136,données!$B$4:$I$30,5,FALSE)*NOMENCLATURE_GEN!O136+IF(OR(NOMENCLATURE_GEN!P136="",NOMENCLATURE_GEN!P136=0),0,2250)+0.3*H136+750)*2*K136,0)</f>
        <v>0</v>
      </c>
      <c r="N136" s="164">
        <f t="shared" si="6"/>
        <v>0</v>
      </c>
      <c r="O136" s="49"/>
      <c r="P136" s="49"/>
      <c r="Q136" s="49"/>
      <c r="R136" s="49"/>
    </row>
    <row r="137" spans="1:22" s="8" customFormat="1" ht="39.950000000000003" hidden="1" customHeight="1">
      <c r="A137" s="3"/>
      <c r="B137" s="27" t="str">
        <f>IF(NOMENCLATURE_GEN!B137="","",NOMENCLATURE_GEN!B137)</f>
        <v>SUP</v>
      </c>
      <c r="C137" s="243" t="str">
        <f>IF(NOMENCLATURE_GEN!C137="","",NOMENCLATURE_GEN!C137)</f>
        <v/>
      </c>
      <c r="D137" s="28">
        <f>IF(NOMENCLATURE_GEN!D137="","",NOMENCLATURE_GEN!D137)</f>
        <v>225</v>
      </c>
      <c r="E137" s="28" t="str">
        <f ca="1">IF(NOMENCLATURE_GEN!E137="","",NOMENCLATURE_GEN!E137)</f>
        <v>A</v>
      </c>
      <c r="F137" s="28" t="str">
        <f>IF(NOMENCLATURE_GEN!F137="","",NOMENCLATURE_GEN!F137)</f>
        <v>COM</v>
      </c>
      <c r="G137" s="396" t="str">
        <f>IF(NOMENCLATURE_GEN!G137="","",NOMENCLATURE_GEN!G137)</f>
        <v>Compresseur + sécheur + réseau pour tri optique verre</v>
      </c>
      <c r="H137" s="29" t="str">
        <f>IF(NOMENCLATURE_GEN!H137="","",NOMENCLATURE_GEN!H137)</f>
        <v/>
      </c>
      <c r="I137" s="29" t="str">
        <f>IF(NOMENCLATURE_GEN!I137="","",NOMENCLATURE_GEN!I137)</f>
        <v/>
      </c>
      <c r="J137" s="57" t="str">
        <f>IF(NOMENCLATURE_GEN!J137="","",NOMENCLATURE_GEN!J137)</f>
        <v/>
      </c>
      <c r="K137" s="158">
        <f>IFERROR(VLOOKUP(F137,données!$B$4:$K$30,9,FALSE),0)</f>
        <v>0</v>
      </c>
      <c r="L137" s="13"/>
      <c r="M137" s="159">
        <f>IFERROR((I137*2-VLOOKUP(F137,données!$B$4:$I$30,4,FALSE)+VLOOKUP(F137,données!$B$4:$I$30,5,FALSE)*NOMENCLATURE_GEN!O137+IF(OR(NOMENCLATURE_GEN!P137="",NOMENCLATURE_GEN!P137=0),0,2250)+0.3*H137+750)*2*K137,0)</f>
        <v>0</v>
      </c>
      <c r="N137" s="164">
        <f t="shared" si="6"/>
        <v>0</v>
      </c>
      <c r="O137" s="49"/>
      <c r="P137" s="49"/>
      <c r="Q137" s="49"/>
      <c r="R137" s="49"/>
    </row>
    <row r="138" spans="1:22" s="8" customFormat="1" ht="39.950000000000003" hidden="1" customHeight="1">
      <c r="A138" s="3"/>
      <c r="B138" s="27" t="str">
        <f>IF(NOMENCLATURE_GEN!B138="","",NOMENCLATURE_GEN!B138)</f>
        <v>SUP</v>
      </c>
      <c r="C138" s="243" t="str">
        <f>IF(NOMENCLATURE_GEN!C138="","",NOMENCLATURE_GEN!C138)</f>
        <v/>
      </c>
      <c r="D138" s="28">
        <f>IF(NOMENCLATURE_GEN!D138="","",NOMENCLATURE_GEN!D138)</f>
        <v>227</v>
      </c>
      <c r="E138" s="28" t="str">
        <f ca="1">IF(NOMENCLATURE_GEN!E138="","",NOMENCLATURE_GEN!E138)</f>
        <v>A</v>
      </c>
      <c r="F138" s="28" t="str">
        <f>IF(NOMENCLATURE_GEN!F138="","",NOMENCLATURE_GEN!F138)</f>
        <v>ELEC</v>
      </c>
      <c r="G138" s="396" t="str">
        <f>IF(NOMENCLATURE_GEN!G138="","",NOMENCLATURE_GEN!G138)</f>
        <v>Cablage électrique + capteurs</v>
      </c>
      <c r="H138" s="29" t="str">
        <f>IF(NOMENCLATURE_GEN!H138="","",NOMENCLATURE_GEN!H138)</f>
        <v/>
      </c>
      <c r="I138" s="29" t="str">
        <f>IF(NOMENCLATURE_GEN!I138="","",NOMENCLATURE_GEN!I138)</f>
        <v/>
      </c>
      <c r="J138" s="57" t="str">
        <f>IF(NOMENCLATURE_GEN!J138="","",NOMENCLATURE_GEN!J138)</f>
        <v/>
      </c>
      <c r="K138" s="158">
        <f>IFERROR(VLOOKUP(F138,données!$B$4:$K$30,9,FALSE),0)</f>
        <v>0</v>
      </c>
      <c r="L138" s="13"/>
      <c r="M138" s="159">
        <f>IFERROR((I138*2-VLOOKUP(F138,données!$B$4:$I$30,4,FALSE)+VLOOKUP(F138,données!$B$4:$I$30,5,FALSE)*NOMENCLATURE_GEN!O138+IF(OR(NOMENCLATURE_GEN!P138="",NOMENCLATURE_GEN!P138=0),0,2250)+0.3*H138+750)*2*K138,0)</f>
        <v>0</v>
      </c>
      <c r="N138" s="164">
        <f t="shared" si="6"/>
        <v>0</v>
      </c>
      <c r="O138" s="49"/>
      <c r="P138" s="49"/>
      <c r="Q138" s="49"/>
      <c r="R138" s="49"/>
    </row>
    <row r="139" spans="1:22" s="8" customFormat="1" ht="39.950000000000003" hidden="1" customHeight="1">
      <c r="A139" s="3"/>
      <c r="B139" s="27" t="str">
        <f>IF(NOMENCLATURE_GEN!B139="","",NOMENCLATURE_GEN!B139)</f>
        <v/>
      </c>
      <c r="C139" s="243" t="str">
        <f>IF(NOMENCLATURE_GEN!C139="","",NOMENCLATURE_GEN!C139)</f>
        <v/>
      </c>
      <c r="D139" s="28">
        <f>IF(NOMENCLATURE_GEN!D139="","",NOMENCLATURE_GEN!D139)</f>
        <v>231</v>
      </c>
      <c r="E139" s="28" t="str">
        <f ca="1">IF(NOMENCLATURE_GEN!E139="","",NOMENCLATURE_GEN!E139)</f>
        <v>A</v>
      </c>
      <c r="F139" s="28" t="str">
        <f>IF(NOMENCLATURE_GEN!F139="","",NOMENCLATURE_GEN!F139)</f>
        <v>DIV</v>
      </c>
      <c r="G139" s="396" t="str">
        <f>IF(NOMENCLATURE_GEN!G139="","",NOMENCLATURE_GEN!G139)</f>
        <v>lot de pièces de premières urgences</v>
      </c>
      <c r="H139" s="29" t="str">
        <f>IF(NOMENCLATURE_GEN!H139="","",NOMENCLATURE_GEN!H139)</f>
        <v/>
      </c>
      <c r="I139" s="29" t="str">
        <f>IF(NOMENCLATURE_GEN!I139="","",NOMENCLATURE_GEN!I139)</f>
        <v/>
      </c>
      <c r="J139" s="57" t="str">
        <f>IF(NOMENCLATURE_GEN!J139="","",NOMENCLATURE_GEN!J139)</f>
        <v/>
      </c>
      <c r="K139" s="158">
        <f>IFERROR(VLOOKUP(F139,données!$B$4:$K$30,9,FALSE),0)</f>
        <v>0</v>
      </c>
      <c r="L139" s="13"/>
      <c r="M139" s="159">
        <f>IFERROR((I139*2-VLOOKUP(F139,données!$B$4:$I$30,4,FALSE)+VLOOKUP(F139,données!$B$4:$I$30,5,FALSE)*NOMENCLATURE_GEN!O139+IF(OR(NOMENCLATURE_GEN!P139="",NOMENCLATURE_GEN!P139=0),0,2250)+0.3*H139+750)*2*K139,0)</f>
        <v>0</v>
      </c>
      <c r="N139" s="164">
        <f t="shared" si="6"/>
        <v>0</v>
      </c>
      <c r="O139" s="49"/>
      <c r="P139" s="49"/>
      <c r="Q139" s="49"/>
      <c r="R139" s="49"/>
    </row>
    <row r="140" spans="1:22" s="8" customFormat="1" ht="39.950000000000003" hidden="1" customHeight="1" thickBot="1">
      <c r="A140" s="3"/>
      <c r="B140" s="292" t="str">
        <f>IF(NOMENCLATURE_GEN!B140="","",NOMENCLATURE_GEN!B140)</f>
        <v/>
      </c>
      <c r="C140" s="285" t="str">
        <f>IF(NOMENCLATURE_GEN!C140="","",NOMENCLATURE_GEN!C140)</f>
        <v/>
      </c>
      <c r="D140" s="293" t="str">
        <f>IF(NOMENCLATURE_GEN!D140="","",NOMENCLATURE_GEN!D140)</f>
        <v/>
      </c>
      <c r="E140" s="293" t="str">
        <f ca="1">IF(NOMENCLATURE_GEN!E140="","",NOMENCLATURE_GEN!E140)</f>
        <v>A</v>
      </c>
      <c r="F140" s="293" t="str">
        <f>IF(NOMENCLATURE_GEN!F140="","",NOMENCLATURE_GEN!F140)</f>
        <v/>
      </c>
      <c r="G140" s="397" t="str">
        <f>IF(NOMENCLATURE_GEN!G140="","",NOMENCLATURE_GEN!G140)</f>
        <v/>
      </c>
      <c r="H140" s="295" t="str">
        <f>IF(NOMENCLATURE_GEN!H140="","",NOMENCLATURE_GEN!H140)</f>
        <v/>
      </c>
      <c r="I140" s="295" t="str">
        <f>IF(NOMENCLATURE_GEN!I140="","",NOMENCLATURE_GEN!I140)</f>
        <v/>
      </c>
      <c r="J140" s="296" t="str">
        <f>IF(NOMENCLATURE_GEN!J140="","",NOMENCLATURE_GEN!J140)</f>
        <v/>
      </c>
      <c r="K140" s="165">
        <f>IFERROR(VLOOKUP(F140,données!$B$4:$K$30,9,FALSE),0)</f>
        <v>0</v>
      </c>
      <c r="L140" s="253"/>
      <c r="M140" s="166">
        <f>IFERROR((I140*2-VLOOKUP(F140,données!$B$4:$I$30,4,FALSE)+VLOOKUP(F140,données!$B$4:$I$30,5,FALSE)*NOMENCLATURE_GEN!O140+IF(OR(NOMENCLATURE_GEN!P140="",NOMENCLATURE_GEN!P140=0),0,2250)+0.3*H140+750)*2*K140,0)</f>
        <v>0</v>
      </c>
      <c r="N140" s="167">
        <f t="shared" ref="N140" si="7">(INT((M140/2)/3000)+1)*2*K140</f>
        <v>0</v>
      </c>
      <c r="O140" s="6"/>
      <c r="P140" s="49"/>
      <c r="Q140" s="49"/>
      <c r="R140" s="49"/>
    </row>
    <row r="141" spans="1:22" s="49" customFormat="1" ht="15" customHeight="1" thickBot="1">
      <c r="B141" s="8"/>
      <c r="C141" s="8"/>
      <c r="D141" s="8"/>
      <c r="E141" s="8"/>
      <c r="F141" s="8"/>
      <c r="G141" s="8"/>
      <c r="H141" s="152"/>
      <c r="I141" s="152"/>
      <c r="J141" s="152"/>
      <c r="N141" s="51"/>
      <c r="O141" s="51"/>
      <c r="S141" s="8"/>
      <c r="T141" s="8"/>
      <c r="U141" s="51"/>
      <c r="V141" s="51"/>
    </row>
    <row r="142" spans="1:22" s="49" customFormat="1" ht="30" customHeight="1" thickBot="1">
      <c r="B142" s="266" t="s">
        <v>311</v>
      </c>
      <c r="C142" s="267" t="s">
        <v>100</v>
      </c>
      <c r="D142" s="267" t="s">
        <v>312</v>
      </c>
      <c r="E142" s="695" t="s">
        <v>313</v>
      </c>
      <c r="F142" s="695"/>
      <c r="G142" s="695"/>
      <c r="H142" s="695"/>
      <c r="I142" s="695"/>
      <c r="J142" s="695"/>
      <c r="K142" s="430" t="s">
        <v>365</v>
      </c>
      <c r="N142" s="51"/>
      <c r="O142" s="51"/>
      <c r="S142" s="8"/>
      <c r="T142" s="8"/>
      <c r="U142" s="51"/>
      <c r="V142" s="51"/>
    </row>
    <row r="143" spans="1:22" s="49" customFormat="1" ht="30" customHeight="1">
      <c r="B143" s="268" t="s">
        <v>537</v>
      </c>
      <c r="C143" s="269" t="s">
        <v>10</v>
      </c>
      <c r="D143" s="433">
        <v>45391</v>
      </c>
      <c r="E143" s="694" t="s">
        <v>314</v>
      </c>
      <c r="F143" s="694"/>
      <c r="G143" s="694"/>
      <c r="H143" s="694"/>
      <c r="I143" s="694"/>
      <c r="J143" s="694"/>
      <c r="K143" s="275" t="s">
        <v>355</v>
      </c>
      <c r="N143" s="51"/>
      <c r="O143" s="51"/>
      <c r="S143" s="8"/>
      <c r="T143" s="8"/>
      <c r="U143" s="51"/>
      <c r="V143" s="51"/>
    </row>
    <row r="144" spans="1:22" s="49" customFormat="1" ht="30" customHeight="1">
      <c r="B144" s="9"/>
      <c r="C144" s="10"/>
      <c r="D144" s="422"/>
      <c r="E144" s="692"/>
      <c r="F144" s="692"/>
      <c r="G144" s="692"/>
      <c r="H144" s="692"/>
      <c r="I144" s="692"/>
      <c r="J144" s="692"/>
      <c r="K144" s="11"/>
      <c r="N144" s="51"/>
      <c r="O144" s="51"/>
      <c r="S144" s="8"/>
      <c r="T144" s="8"/>
      <c r="U144" s="51"/>
      <c r="V144" s="51"/>
    </row>
    <row r="145" spans="2:22" s="49" customFormat="1" ht="30" customHeight="1">
      <c r="B145" s="9"/>
      <c r="C145" s="10"/>
      <c r="D145" s="10"/>
      <c r="E145" s="692"/>
      <c r="F145" s="692"/>
      <c r="G145" s="692"/>
      <c r="H145" s="692"/>
      <c r="I145" s="692"/>
      <c r="J145" s="692"/>
      <c r="K145" s="11"/>
      <c r="N145" s="51"/>
      <c r="O145" s="51"/>
      <c r="S145" s="8"/>
      <c r="T145" s="8"/>
      <c r="U145" s="51"/>
      <c r="V145" s="51"/>
    </row>
    <row r="146" spans="2:22" s="49" customFormat="1" ht="30" customHeight="1">
      <c r="B146" s="9"/>
      <c r="C146" s="10"/>
      <c r="D146" s="10"/>
      <c r="E146" s="692"/>
      <c r="F146" s="692"/>
      <c r="G146" s="692"/>
      <c r="H146" s="692"/>
      <c r="I146" s="692"/>
      <c r="J146" s="692"/>
      <c r="K146" s="11"/>
      <c r="N146" s="51"/>
      <c r="O146" s="51"/>
      <c r="S146" s="8"/>
      <c r="T146" s="8"/>
      <c r="U146" s="51"/>
      <c r="V146" s="51"/>
    </row>
    <row r="147" spans="2:22" s="49" customFormat="1" ht="30" customHeight="1">
      <c r="B147" s="9"/>
      <c r="C147" s="10"/>
      <c r="D147" s="10"/>
      <c r="E147" s="692"/>
      <c r="F147" s="692"/>
      <c r="G147" s="692"/>
      <c r="H147" s="692"/>
      <c r="I147" s="692"/>
      <c r="J147" s="692"/>
      <c r="K147" s="11"/>
      <c r="N147" s="51"/>
      <c r="O147" s="51"/>
      <c r="S147" s="8"/>
      <c r="T147" s="8"/>
      <c r="U147" s="51"/>
      <c r="V147" s="51"/>
    </row>
    <row r="148" spans="2:22" s="49" customFormat="1" ht="30" customHeight="1">
      <c r="B148" s="9"/>
      <c r="C148" s="10"/>
      <c r="D148" s="10"/>
      <c r="E148" s="692"/>
      <c r="F148" s="692"/>
      <c r="G148" s="692"/>
      <c r="H148" s="692"/>
      <c r="I148" s="692"/>
      <c r="J148" s="692"/>
      <c r="K148" s="11"/>
      <c r="N148" s="51"/>
      <c r="O148" s="51"/>
      <c r="S148" s="8"/>
      <c r="T148" s="8"/>
      <c r="U148" s="51"/>
      <c r="V148" s="51"/>
    </row>
    <row r="149" spans="2:22" s="49" customFormat="1" ht="30" customHeight="1">
      <c r="B149" s="9"/>
      <c r="C149" s="10"/>
      <c r="D149" s="10"/>
      <c r="E149" s="692"/>
      <c r="F149" s="692"/>
      <c r="G149" s="692"/>
      <c r="H149" s="692"/>
      <c r="I149" s="692"/>
      <c r="J149" s="692"/>
      <c r="K149" s="11"/>
      <c r="N149" s="51"/>
      <c r="O149" s="51"/>
      <c r="S149" s="8"/>
      <c r="T149" s="8"/>
      <c r="U149" s="51"/>
      <c r="V149" s="51"/>
    </row>
    <row r="150" spans="2:22" s="49" customFormat="1" ht="30" customHeight="1">
      <c r="B150" s="9"/>
      <c r="C150" s="10"/>
      <c r="D150" s="10"/>
      <c r="E150" s="692"/>
      <c r="F150" s="692"/>
      <c r="G150" s="692"/>
      <c r="H150" s="692"/>
      <c r="I150" s="692"/>
      <c r="J150" s="692"/>
      <c r="K150" s="11"/>
      <c r="N150" s="51"/>
      <c r="O150" s="51"/>
      <c r="S150" s="8"/>
      <c r="T150" s="8"/>
      <c r="U150" s="51"/>
      <c r="V150" s="51"/>
    </row>
    <row r="151" spans="2:22" s="49" customFormat="1" ht="30" customHeight="1">
      <c r="B151" s="9"/>
      <c r="C151" s="10"/>
      <c r="D151" s="10"/>
      <c r="E151" s="692"/>
      <c r="F151" s="692"/>
      <c r="G151" s="692"/>
      <c r="H151" s="692"/>
      <c r="I151" s="692"/>
      <c r="J151" s="692"/>
      <c r="K151" s="11"/>
      <c r="N151" s="51"/>
      <c r="O151" s="51"/>
      <c r="S151" s="8"/>
      <c r="T151" s="8"/>
      <c r="U151" s="51"/>
      <c r="V151" s="51"/>
    </row>
    <row r="152" spans="2:22" s="49" customFormat="1" ht="30" customHeight="1" thickBot="1">
      <c r="B152" s="270"/>
      <c r="C152" s="271"/>
      <c r="D152" s="271"/>
      <c r="E152" s="693"/>
      <c r="F152" s="693"/>
      <c r="G152" s="693"/>
      <c r="H152" s="693"/>
      <c r="I152" s="693"/>
      <c r="J152" s="693"/>
      <c r="K152" s="431"/>
      <c r="N152" s="51"/>
      <c r="O152" s="51"/>
      <c r="S152" s="8"/>
      <c r="T152" s="8"/>
      <c r="U152" s="51"/>
      <c r="V152" s="51"/>
    </row>
    <row r="153" spans="2:22" ht="15">
      <c r="P153" s="49"/>
      <c r="Q153" s="49"/>
      <c r="R153" s="49"/>
      <c r="S153" s="8"/>
      <c r="T153" s="8"/>
    </row>
    <row r="154" spans="2:22" ht="15">
      <c r="P154" s="49"/>
      <c r="Q154" s="49"/>
      <c r="R154" s="49"/>
      <c r="S154" s="8"/>
      <c r="T154" s="8"/>
    </row>
    <row r="155" spans="2:22" ht="15">
      <c r="P155" s="49"/>
      <c r="Q155" s="49"/>
      <c r="R155" s="49"/>
      <c r="S155" s="8"/>
      <c r="T155" s="8"/>
    </row>
    <row r="156" spans="2:22" ht="15">
      <c r="P156" s="49"/>
      <c r="Q156" s="49"/>
      <c r="R156" s="49"/>
      <c r="S156" s="8"/>
      <c r="T156" s="8"/>
    </row>
    <row r="157" spans="2:22" ht="15">
      <c r="P157" s="49"/>
      <c r="Q157" s="49"/>
      <c r="R157" s="49"/>
      <c r="S157" s="8"/>
      <c r="T157" s="8"/>
    </row>
    <row r="158" spans="2:22" ht="15">
      <c r="P158" s="49"/>
      <c r="Q158" s="49"/>
      <c r="R158" s="49"/>
      <c r="S158" s="8"/>
      <c r="T158" s="8"/>
    </row>
    <row r="159" spans="2:22" ht="15">
      <c r="P159" s="49"/>
      <c r="Q159" s="49"/>
      <c r="R159" s="49"/>
      <c r="S159" s="8"/>
      <c r="T159" s="8"/>
    </row>
    <row r="160" spans="2:22" ht="15">
      <c r="P160" s="49"/>
      <c r="Q160" s="49"/>
      <c r="R160" s="49"/>
      <c r="S160" s="8"/>
      <c r="T160" s="8"/>
    </row>
    <row r="161" spans="16:20" ht="15">
      <c r="P161" s="49"/>
      <c r="Q161" s="49"/>
      <c r="R161" s="49"/>
      <c r="S161" s="8"/>
      <c r="T161" s="8"/>
    </row>
    <row r="162" spans="16:20" ht="15">
      <c r="P162" s="49"/>
      <c r="Q162" s="49"/>
      <c r="R162" s="49"/>
      <c r="S162" s="8"/>
      <c r="T162" s="8"/>
    </row>
    <row r="163" spans="16:20" ht="15">
      <c r="P163" s="49"/>
      <c r="Q163" s="49"/>
      <c r="R163" s="49"/>
      <c r="S163" s="8"/>
      <c r="T163" s="8"/>
    </row>
    <row r="164" spans="16:20" ht="15">
      <c r="P164" s="49"/>
      <c r="Q164" s="49"/>
      <c r="R164" s="49"/>
      <c r="S164" s="8"/>
      <c r="T164" s="8"/>
    </row>
    <row r="165" spans="16:20" ht="15">
      <c r="P165" s="49"/>
      <c r="Q165" s="49"/>
      <c r="R165" s="49"/>
      <c r="S165" s="8"/>
      <c r="T165" s="8"/>
    </row>
    <row r="166" spans="16:20" ht="15">
      <c r="P166" s="49"/>
      <c r="Q166" s="49"/>
      <c r="R166" s="49"/>
      <c r="S166" s="8"/>
      <c r="T166" s="8"/>
    </row>
    <row r="167" spans="16:20" ht="15">
      <c r="P167" s="49"/>
      <c r="Q167" s="49"/>
      <c r="R167" s="49"/>
      <c r="S167" s="8"/>
      <c r="T167" s="8"/>
    </row>
    <row r="168" spans="16:20" ht="15">
      <c r="P168" s="49"/>
      <c r="Q168" s="49"/>
      <c r="R168" s="49"/>
      <c r="S168" s="8"/>
      <c r="T168" s="8"/>
    </row>
    <row r="169" spans="16:20" ht="15">
      <c r="P169" s="49"/>
      <c r="Q169" s="49"/>
      <c r="R169" s="49"/>
      <c r="S169" s="8"/>
      <c r="T169" s="8"/>
    </row>
    <row r="170" spans="16:20" ht="15">
      <c r="P170" s="49"/>
      <c r="Q170" s="49"/>
      <c r="R170" s="49"/>
      <c r="S170" s="8"/>
      <c r="T170" s="8"/>
    </row>
    <row r="171" spans="16:20" ht="15">
      <c r="P171" s="49"/>
      <c r="Q171" s="49"/>
      <c r="R171" s="49"/>
      <c r="S171" s="8"/>
      <c r="T171" s="8"/>
    </row>
    <row r="172" spans="16:20" ht="15">
      <c r="P172" s="49"/>
      <c r="Q172" s="49"/>
      <c r="R172" s="49"/>
      <c r="S172" s="8"/>
      <c r="T172" s="8"/>
    </row>
    <row r="173" spans="16:20" ht="15">
      <c r="P173" s="49"/>
      <c r="Q173" s="49"/>
      <c r="R173" s="49"/>
      <c r="S173" s="8"/>
      <c r="T173" s="8"/>
    </row>
    <row r="174" spans="16:20" ht="15">
      <c r="P174" s="49"/>
      <c r="Q174" s="49"/>
      <c r="R174" s="49"/>
      <c r="S174" s="8"/>
      <c r="T174" s="8"/>
    </row>
    <row r="175" spans="16:20" ht="15">
      <c r="P175" s="49"/>
      <c r="Q175" s="49"/>
      <c r="R175" s="49"/>
      <c r="S175" s="8"/>
      <c r="T175" s="8"/>
    </row>
    <row r="176" spans="16:20" ht="15">
      <c r="P176" s="49"/>
      <c r="Q176" s="49"/>
      <c r="R176" s="49"/>
      <c r="S176" s="8"/>
      <c r="T176" s="8"/>
    </row>
    <row r="177" spans="16:20" ht="15">
      <c r="P177" s="49"/>
      <c r="Q177" s="49"/>
      <c r="R177" s="49"/>
      <c r="S177" s="8"/>
      <c r="T177" s="8"/>
    </row>
    <row r="178" spans="16:20" ht="15">
      <c r="P178" s="49"/>
      <c r="Q178" s="49"/>
      <c r="R178" s="49"/>
      <c r="S178" s="8"/>
      <c r="T178" s="8"/>
    </row>
    <row r="179" spans="16:20" ht="15">
      <c r="P179" s="49"/>
      <c r="Q179" s="49"/>
      <c r="R179" s="49"/>
      <c r="S179" s="8"/>
      <c r="T179" s="8"/>
    </row>
    <row r="180" spans="16:20" ht="15">
      <c r="P180" s="49"/>
      <c r="Q180" s="49"/>
      <c r="R180" s="49"/>
      <c r="S180" s="8"/>
      <c r="T180" s="8"/>
    </row>
    <row r="181" spans="16:20" ht="15">
      <c r="P181" s="49"/>
      <c r="Q181" s="49"/>
      <c r="R181" s="49"/>
      <c r="S181" s="8"/>
      <c r="T181" s="8"/>
    </row>
    <row r="182" spans="16:20" ht="15">
      <c r="P182" s="49"/>
      <c r="Q182" s="49"/>
      <c r="R182" s="49"/>
      <c r="S182" s="8"/>
      <c r="T182" s="8"/>
    </row>
    <row r="183" spans="16:20" ht="15">
      <c r="P183" s="49"/>
      <c r="Q183" s="49"/>
      <c r="R183" s="49"/>
      <c r="S183" s="8"/>
      <c r="T183" s="8"/>
    </row>
    <row r="184" spans="16:20" ht="15">
      <c r="P184" s="49"/>
      <c r="Q184" s="49"/>
      <c r="R184" s="49"/>
      <c r="S184" s="8"/>
      <c r="T184" s="8"/>
    </row>
    <row r="185" spans="16:20" ht="15">
      <c r="P185" s="49"/>
      <c r="Q185" s="49"/>
      <c r="R185" s="49"/>
      <c r="S185" s="8"/>
      <c r="T185" s="8"/>
    </row>
    <row r="186" spans="16:20" ht="15">
      <c r="P186" s="49"/>
      <c r="Q186" s="49"/>
      <c r="R186" s="49"/>
      <c r="S186" s="8"/>
      <c r="T186" s="8"/>
    </row>
    <row r="187" spans="16:20" ht="15">
      <c r="P187" s="49"/>
      <c r="Q187" s="49"/>
      <c r="R187" s="49"/>
      <c r="S187" s="8"/>
      <c r="T187" s="8"/>
    </row>
    <row r="188" spans="16:20" ht="15">
      <c r="P188" s="49"/>
      <c r="Q188" s="49"/>
      <c r="R188" s="49"/>
      <c r="S188" s="8"/>
      <c r="T188" s="8"/>
    </row>
    <row r="189" spans="16:20" ht="15">
      <c r="P189" s="49"/>
      <c r="Q189" s="49"/>
      <c r="R189" s="49"/>
      <c r="S189" s="8"/>
      <c r="T189" s="8"/>
    </row>
    <row r="190" spans="16:20" ht="15">
      <c r="P190" s="49"/>
      <c r="Q190" s="49"/>
      <c r="R190" s="49"/>
      <c r="S190" s="8"/>
      <c r="T190" s="8"/>
    </row>
    <row r="191" spans="16:20" ht="15">
      <c r="P191" s="49"/>
      <c r="Q191" s="49"/>
      <c r="R191" s="49"/>
      <c r="S191" s="8"/>
      <c r="T191" s="8"/>
    </row>
    <row r="192" spans="16:20" ht="15">
      <c r="P192" s="49"/>
      <c r="Q192" s="49"/>
      <c r="R192" s="49"/>
      <c r="S192" s="8"/>
      <c r="T192" s="8"/>
    </row>
    <row r="193" spans="16:20" ht="15">
      <c r="P193" s="49"/>
      <c r="Q193" s="49"/>
      <c r="R193" s="49"/>
      <c r="S193" s="8"/>
      <c r="T193" s="8"/>
    </row>
    <row r="194" spans="16:20" ht="15">
      <c r="P194" s="49"/>
      <c r="Q194" s="49"/>
      <c r="R194" s="49"/>
      <c r="S194" s="8"/>
      <c r="T194" s="8"/>
    </row>
    <row r="195" spans="16:20" ht="15">
      <c r="P195" s="49"/>
      <c r="Q195" s="49"/>
      <c r="R195" s="49"/>
      <c r="S195" s="8"/>
      <c r="T195" s="8"/>
    </row>
    <row r="196" spans="16:20" ht="15">
      <c r="P196" s="49"/>
      <c r="Q196" s="49"/>
      <c r="R196" s="49"/>
      <c r="S196" s="8"/>
      <c r="T196" s="8"/>
    </row>
    <row r="197" spans="16:20" ht="15">
      <c r="P197" s="49"/>
      <c r="Q197" s="49"/>
      <c r="R197" s="49"/>
      <c r="S197" s="8"/>
      <c r="T197" s="8"/>
    </row>
    <row r="198" spans="16:20" ht="15">
      <c r="P198" s="49"/>
      <c r="Q198" s="49"/>
      <c r="R198" s="49"/>
      <c r="S198" s="8"/>
      <c r="T198" s="8"/>
    </row>
    <row r="199" spans="16:20" ht="15">
      <c r="P199" s="49"/>
      <c r="Q199" s="49"/>
      <c r="R199" s="49"/>
      <c r="S199" s="8"/>
      <c r="T199" s="8"/>
    </row>
    <row r="200" spans="16:20" ht="15">
      <c r="P200" s="49"/>
      <c r="Q200" s="49"/>
      <c r="R200" s="49"/>
      <c r="S200" s="8"/>
      <c r="T200" s="8"/>
    </row>
    <row r="201" spans="16:20" ht="15">
      <c r="P201" s="49"/>
      <c r="Q201" s="49"/>
      <c r="R201" s="49"/>
      <c r="S201" s="8"/>
      <c r="T201" s="8"/>
    </row>
    <row r="202" spans="16:20" ht="15">
      <c r="P202" s="49"/>
      <c r="Q202" s="49"/>
      <c r="R202" s="49"/>
      <c r="S202" s="8"/>
      <c r="T202" s="8"/>
    </row>
    <row r="203" spans="16:20" ht="15">
      <c r="P203" s="49"/>
      <c r="Q203" s="49"/>
      <c r="R203" s="49"/>
      <c r="S203" s="8"/>
      <c r="T203" s="8"/>
    </row>
    <row r="204" spans="16:20" ht="15">
      <c r="P204" s="49"/>
      <c r="Q204" s="49"/>
      <c r="R204" s="49"/>
      <c r="S204" s="8"/>
      <c r="T204" s="8"/>
    </row>
    <row r="205" spans="16:20" ht="15">
      <c r="P205" s="49"/>
      <c r="Q205" s="49"/>
      <c r="R205" s="49"/>
      <c r="S205" s="8"/>
      <c r="T205" s="8"/>
    </row>
    <row r="206" spans="16:20" ht="15">
      <c r="P206" s="49"/>
      <c r="Q206" s="49"/>
      <c r="R206" s="49"/>
      <c r="S206" s="8"/>
      <c r="T206" s="8"/>
    </row>
    <row r="207" spans="16:20" ht="15">
      <c r="P207" s="49"/>
      <c r="Q207" s="49"/>
      <c r="R207" s="49"/>
      <c r="S207" s="8"/>
      <c r="T207" s="8"/>
    </row>
    <row r="208" spans="16:20" ht="15">
      <c r="P208" s="49"/>
      <c r="Q208" s="49"/>
      <c r="R208" s="49"/>
      <c r="S208" s="8"/>
      <c r="T208" s="8"/>
    </row>
    <row r="209" spans="16:20" ht="15">
      <c r="P209" s="49"/>
      <c r="Q209" s="49"/>
      <c r="R209" s="49"/>
      <c r="S209" s="8"/>
      <c r="T209" s="8"/>
    </row>
    <row r="210" spans="16:20" ht="15">
      <c r="P210" s="49"/>
      <c r="Q210" s="49"/>
      <c r="R210" s="49"/>
      <c r="S210" s="8"/>
      <c r="T210" s="8"/>
    </row>
    <row r="211" spans="16:20" ht="15">
      <c r="P211" s="49"/>
      <c r="Q211" s="49"/>
      <c r="R211" s="49"/>
      <c r="S211" s="8"/>
      <c r="T211" s="8"/>
    </row>
    <row r="212" spans="16:20" ht="15">
      <c r="P212" s="49"/>
      <c r="Q212" s="49"/>
      <c r="R212" s="49"/>
      <c r="S212" s="8"/>
      <c r="T212" s="8"/>
    </row>
    <row r="213" spans="16:20" ht="15">
      <c r="P213" s="49"/>
      <c r="Q213" s="49"/>
      <c r="R213" s="49"/>
      <c r="S213" s="8"/>
      <c r="T213" s="8"/>
    </row>
    <row r="214" spans="16:20" ht="15">
      <c r="P214" s="49"/>
      <c r="Q214" s="49"/>
      <c r="R214" s="49"/>
      <c r="S214" s="8"/>
      <c r="T214" s="8"/>
    </row>
    <row r="215" spans="16:20" ht="15">
      <c r="P215" s="49"/>
      <c r="Q215" s="49"/>
      <c r="R215" s="49"/>
      <c r="S215" s="8"/>
      <c r="T215" s="8"/>
    </row>
    <row r="216" spans="16:20" ht="15">
      <c r="P216" s="49"/>
      <c r="Q216" s="49"/>
      <c r="R216" s="49"/>
      <c r="S216" s="8"/>
      <c r="T216" s="8"/>
    </row>
    <row r="217" spans="16:20" ht="15">
      <c r="P217" s="49"/>
      <c r="Q217" s="49"/>
      <c r="R217" s="49"/>
      <c r="S217" s="8"/>
      <c r="T217" s="8"/>
    </row>
    <row r="218" spans="16:20" ht="15">
      <c r="P218" s="49"/>
      <c r="Q218" s="49"/>
      <c r="R218" s="49"/>
      <c r="S218" s="8"/>
      <c r="T218" s="8"/>
    </row>
    <row r="219" spans="16:20" ht="15">
      <c r="P219" s="49"/>
      <c r="Q219" s="49"/>
      <c r="R219" s="49"/>
      <c r="S219" s="8"/>
      <c r="T219" s="8"/>
    </row>
    <row r="220" spans="16:20" ht="15">
      <c r="P220" s="49"/>
      <c r="Q220" s="49"/>
      <c r="R220" s="49"/>
      <c r="S220" s="8"/>
      <c r="T220" s="8"/>
    </row>
    <row r="221" spans="16:20" ht="15">
      <c r="P221" s="49"/>
      <c r="Q221" s="49"/>
      <c r="R221" s="49"/>
      <c r="S221" s="8"/>
      <c r="T221" s="8"/>
    </row>
    <row r="222" spans="16:20" ht="15">
      <c r="P222" s="49"/>
      <c r="Q222" s="49"/>
      <c r="R222" s="49"/>
      <c r="S222" s="8"/>
      <c r="T222" s="8"/>
    </row>
    <row r="223" spans="16:20" ht="15">
      <c r="P223" s="49"/>
      <c r="Q223" s="49"/>
      <c r="R223" s="49"/>
      <c r="S223" s="8"/>
      <c r="T223" s="8"/>
    </row>
    <row r="224" spans="16:20" ht="15">
      <c r="P224" s="49"/>
      <c r="Q224" s="49"/>
      <c r="R224" s="49"/>
      <c r="S224" s="8"/>
      <c r="T224" s="8"/>
    </row>
    <row r="225" spans="16:20" ht="15">
      <c r="P225" s="49"/>
      <c r="Q225" s="49"/>
      <c r="R225" s="49"/>
      <c r="S225" s="8"/>
      <c r="T225" s="8"/>
    </row>
    <row r="226" spans="16:20" ht="15">
      <c r="P226" s="49"/>
      <c r="Q226" s="49"/>
      <c r="R226" s="49"/>
      <c r="S226" s="8"/>
      <c r="T226" s="8"/>
    </row>
    <row r="227" spans="16:20" ht="15">
      <c r="P227" s="49"/>
      <c r="Q227" s="49"/>
      <c r="R227" s="49"/>
      <c r="S227" s="8"/>
      <c r="T227" s="8"/>
    </row>
    <row r="228" spans="16:20" ht="15">
      <c r="P228" s="49"/>
      <c r="Q228" s="49"/>
      <c r="R228" s="49"/>
      <c r="S228" s="8"/>
      <c r="T228" s="8"/>
    </row>
    <row r="229" spans="16:20" ht="15">
      <c r="P229" s="49"/>
      <c r="Q229" s="49"/>
      <c r="R229" s="49"/>
      <c r="S229" s="8"/>
      <c r="T229" s="8"/>
    </row>
    <row r="230" spans="16:20" ht="15">
      <c r="P230" s="49"/>
      <c r="Q230" s="49"/>
      <c r="R230" s="49"/>
      <c r="S230" s="8"/>
      <c r="T230" s="8"/>
    </row>
    <row r="231" spans="16:20" ht="15">
      <c r="P231" s="49"/>
      <c r="Q231" s="49"/>
      <c r="R231" s="49"/>
      <c r="S231" s="8"/>
      <c r="T231" s="8"/>
    </row>
    <row r="232" spans="16:20" ht="15">
      <c r="P232" s="49"/>
      <c r="Q232" s="49"/>
      <c r="R232" s="49"/>
      <c r="S232" s="8"/>
      <c r="T232" s="8"/>
    </row>
    <row r="233" spans="16:20" ht="15">
      <c r="P233" s="49"/>
      <c r="Q233" s="49"/>
      <c r="R233" s="49"/>
      <c r="S233" s="8"/>
      <c r="T233" s="8"/>
    </row>
    <row r="234" spans="16:20" ht="15">
      <c r="P234" s="49"/>
      <c r="Q234" s="49"/>
      <c r="R234" s="49"/>
      <c r="S234" s="8"/>
      <c r="T234" s="8"/>
    </row>
    <row r="235" spans="16:20" ht="15">
      <c r="P235" s="49"/>
      <c r="Q235" s="49"/>
      <c r="R235" s="49"/>
      <c r="S235" s="8"/>
      <c r="T235" s="8"/>
    </row>
    <row r="236" spans="16:20" ht="15">
      <c r="P236" s="49"/>
      <c r="Q236" s="49"/>
      <c r="R236" s="49"/>
      <c r="S236" s="8"/>
      <c r="T236" s="8"/>
    </row>
    <row r="237" spans="16:20" ht="15">
      <c r="P237" s="49"/>
      <c r="Q237" s="49"/>
      <c r="R237" s="49"/>
      <c r="S237" s="8"/>
      <c r="T237" s="8"/>
    </row>
    <row r="238" spans="16:20" ht="15">
      <c r="P238" s="49"/>
      <c r="Q238" s="49"/>
      <c r="R238" s="49"/>
      <c r="S238" s="8"/>
      <c r="T238" s="8"/>
    </row>
    <row r="239" spans="16:20" ht="15">
      <c r="P239" s="49"/>
      <c r="Q239" s="49"/>
      <c r="R239" s="49"/>
      <c r="S239" s="8"/>
      <c r="T239" s="8"/>
    </row>
    <row r="240" spans="16:20" ht="15">
      <c r="P240" s="49"/>
      <c r="Q240" s="49"/>
      <c r="R240" s="49"/>
      <c r="S240" s="8"/>
      <c r="T240" s="8"/>
    </row>
    <row r="241" spans="16:20" ht="15">
      <c r="P241" s="49"/>
      <c r="Q241" s="49"/>
      <c r="R241" s="49"/>
      <c r="S241" s="8"/>
      <c r="T241" s="8"/>
    </row>
    <row r="242" spans="16:20" ht="15">
      <c r="P242" s="49"/>
      <c r="Q242" s="49"/>
      <c r="R242" s="49"/>
      <c r="S242" s="8"/>
      <c r="T242" s="8"/>
    </row>
    <row r="243" spans="16:20" ht="15">
      <c r="P243" s="49"/>
      <c r="Q243" s="49"/>
      <c r="R243" s="49"/>
      <c r="S243" s="8"/>
      <c r="T243" s="8"/>
    </row>
    <row r="244" spans="16:20" ht="15">
      <c r="P244" s="49"/>
      <c r="Q244" s="49"/>
      <c r="R244" s="49"/>
      <c r="S244" s="8"/>
      <c r="T244" s="8"/>
    </row>
    <row r="245" spans="16:20" ht="15">
      <c r="P245" s="49"/>
      <c r="Q245" s="49"/>
      <c r="R245" s="49"/>
      <c r="S245" s="8"/>
      <c r="T245" s="8"/>
    </row>
    <row r="246" spans="16:20" ht="15">
      <c r="P246" s="49"/>
      <c r="Q246" s="49"/>
      <c r="R246" s="49"/>
      <c r="S246" s="8"/>
      <c r="T246" s="8"/>
    </row>
    <row r="247" spans="16:20" ht="15">
      <c r="P247" s="49"/>
      <c r="Q247" s="49"/>
      <c r="R247" s="49"/>
      <c r="S247" s="8"/>
      <c r="T247" s="8"/>
    </row>
    <row r="248" spans="16:20" ht="15">
      <c r="P248" s="49"/>
      <c r="Q248" s="49"/>
      <c r="R248" s="49"/>
      <c r="S248" s="8"/>
      <c r="T248" s="8"/>
    </row>
    <row r="249" spans="16:20" ht="15">
      <c r="P249" s="49"/>
      <c r="Q249" s="49"/>
      <c r="R249" s="49"/>
      <c r="S249" s="8"/>
      <c r="T249" s="8"/>
    </row>
    <row r="250" spans="16:20" ht="15">
      <c r="P250" s="49"/>
      <c r="Q250" s="49"/>
      <c r="R250" s="49"/>
      <c r="S250" s="8"/>
      <c r="T250" s="8"/>
    </row>
    <row r="251" spans="16:20" ht="15">
      <c r="P251" s="49"/>
      <c r="Q251" s="49"/>
      <c r="R251" s="49"/>
      <c r="S251" s="8"/>
      <c r="T251" s="8"/>
    </row>
    <row r="252" spans="16:20" ht="15">
      <c r="P252" s="49"/>
      <c r="Q252" s="49"/>
      <c r="R252" s="49"/>
      <c r="S252" s="8"/>
      <c r="T252" s="8"/>
    </row>
    <row r="253" spans="16:20" ht="15">
      <c r="P253" s="49"/>
      <c r="Q253" s="49"/>
      <c r="R253" s="49"/>
      <c r="S253" s="8"/>
      <c r="T253" s="8"/>
    </row>
    <row r="254" spans="16:20" ht="15">
      <c r="P254" s="49"/>
      <c r="Q254" s="49"/>
      <c r="R254" s="49"/>
      <c r="S254" s="8"/>
      <c r="T254" s="8"/>
    </row>
    <row r="255" spans="16:20" ht="15">
      <c r="P255" s="49"/>
      <c r="Q255" s="49"/>
      <c r="R255" s="49"/>
      <c r="S255" s="8"/>
      <c r="T255" s="8"/>
    </row>
    <row r="256" spans="16:20" ht="15">
      <c r="P256" s="49"/>
      <c r="Q256" s="49"/>
      <c r="R256" s="49"/>
      <c r="S256" s="8"/>
      <c r="T256" s="8"/>
    </row>
    <row r="257" spans="16:20" ht="15">
      <c r="P257" s="49"/>
      <c r="Q257" s="49"/>
      <c r="R257" s="49"/>
      <c r="S257" s="8"/>
      <c r="T257" s="8"/>
    </row>
    <row r="258" spans="16:20" ht="15">
      <c r="P258" s="49"/>
      <c r="Q258" s="49"/>
      <c r="R258" s="49"/>
      <c r="S258" s="8"/>
      <c r="T258" s="8"/>
    </row>
    <row r="259" spans="16:20" ht="15">
      <c r="P259" s="49"/>
      <c r="Q259" s="49"/>
      <c r="R259" s="49"/>
      <c r="S259" s="8"/>
      <c r="T259" s="8"/>
    </row>
    <row r="260" spans="16:20" ht="15">
      <c r="P260" s="49"/>
      <c r="Q260" s="49"/>
      <c r="R260" s="49"/>
      <c r="S260" s="8"/>
      <c r="T260" s="8"/>
    </row>
    <row r="261" spans="16:20" ht="15">
      <c r="P261" s="49"/>
      <c r="Q261" s="49"/>
      <c r="R261" s="49"/>
      <c r="S261" s="8"/>
      <c r="T261" s="8"/>
    </row>
    <row r="262" spans="16:20" ht="15">
      <c r="P262" s="49"/>
      <c r="Q262" s="49"/>
      <c r="R262" s="49"/>
      <c r="S262" s="8"/>
      <c r="T262" s="8"/>
    </row>
    <row r="263" spans="16:20" ht="15">
      <c r="P263" s="49"/>
      <c r="Q263" s="49"/>
      <c r="R263" s="49"/>
      <c r="S263" s="8"/>
      <c r="T263" s="8"/>
    </row>
    <row r="264" spans="16:20" ht="15">
      <c r="P264" s="49"/>
      <c r="Q264" s="49"/>
      <c r="R264" s="49"/>
      <c r="S264" s="8"/>
      <c r="T264" s="8"/>
    </row>
    <row r="265" spans="16:20" ht="15">
      <c r="P265" s="49"/>
      <c r="Q265" s="49"/>
      <c r="R265" s="49"/>
      <c r="S265" s="8"/>
      <c r="T265" s="8"/>
    </row>
    <row r="266" spans="16:20" ht="15">
      <c r="P266" s="49"/>
      <c r="Q266" s="49"/>
      <c r="R266" s="49"/>
      <c r="S266" s="8"/>
      <c r="T266" s="8"/>
    </row>
    <row r="267" spans="16:20" ht="15">
      <c r="P267" s="49"/>
      <c r="Q267" s="49"/>
      <c r="R267" s="49"/>
      <c r="S267" s="8"/>
      <c r="T267" s="8"/>
    </row>
    <row r="268" spans="16:20" ht="15">
      <c r="P268" s="49"/>
      <c r="Q268" s="49"/>
      <c r="R268" s="49"/>
      <c r="S268" s="8"/>
      <c r="T268" s="8"/>
    </row>
    <row r="269" spans="16:20" ht="15">
      <c r="P269" s="49"/>
      <c r="Q269" s="49"/>
      <c r="R269" s="49"/>
      <c r="S269" s="8"/>
      <c r="T269" s="8"/>
    </row>
    <row r="270" spans="16:20" ht="15">
      <c r="P270" s="49"/>
      <c r="Q270" s="49"/>
      <c r="R270" s="49"/>
      <c r="S270" s="8"/>
      <c r="T270" s="8"/>
    </row>
    <row r="271" spans="16:20" ht="15">
      <c r="P271" s="49"/>
      <c r="Q271" s="49"/>
      <c r="R271" s="49"/>
      <c r="S271" s="8"/>
      <c r="T271" s="8"/>
    </row>
    <row r="272" spans="16:20" ht="15">
      <c r="P272" s="49"/>
      <c r="Q272" s="49"/>
      <c r="R272" s="49"/>
      <c r="S272" s="8"/>
      <c r="T272" s="8"/>
    </row>
    <row r="273" spans="16:20" ht="15">
      <c r="P273" s="49"/>
      <c r="Q273" s="49"/>
      <c r="R273" s="49"/>
      <c r="S273" s="8"/>
      <c r="T273" s="8"/>
    </row>
    <row r="274" spans="16:20" ht="15">
      <c r="P274" s="49"/>
      <c r="Q274" s="49"/>
      <c r="R274" s="49"/>
      <c r="S274" s="8"/>
      <c r="T274" s="8"/>
    </row>
    <row r="275" spans="16:20" ht="15">
      <c r="P275" s="49"/>
      <c r="Q275" s="49"/>
      <c r="R275" s="49"/>
      <c r="S275" s="8"/>
      <c r="T275" s="8"/>
    </row>
    <row r="276" spans="16:20" ht="15">
      <c r="P276" s="49"/>
      <c r="Q276" s="49"/>
      <c r="R276" s="49"/>
      <c r="S276" s="8"/>
      <c r="T276" s="8"/>
    </row>
    <row r="277" spans="16:20" ht="15">
      <c r="P277" s="49"/>
      <c r="Q277" s="49"/>
      <c r="R277" s="49"/>
      <c r="S277" s="8"/>
      <c r="T277" s="8"/>
    </row>
    <row r="278" spans="16:20" ht="15">
      <c r="P278" s="49"/>
      <c r="Q278" s="49"/>
      <c r="R278" s="49"/>
      <c r="S278" s="8"/>
      <c r="T278" s="8"/>
    </row>
    <row r="279" spans="16:20" ht="15">
      <c r="P279" s="49"/>
      <c r="Q279" s="49"/>
      <c r="R279" s="49"/>
      <c r="S279" s="8"/>
      <c r="T279" s="8"/>
    </row>
    <row r="280" spans="16:20" ht="15">
      <c r="P280" s="49"/>
      <c r="Q280" s="49"/>
      <c r="R280" s="49"/>
      <c r="S280" s="8"/>
      <c r="T280" s="8"/>
    </row>
    <row r="281" spans="16:20" ht="15">
      <c r="P281" s="49"/>
      <c r="Q281" s="49"/>
      <c r="R281" s="49"/>
      <c r="S281" s="8"/>
      <c r="T281" s="8"/>
    </row>
    <row r="282" spans="16:20" ht="15">
      <c r="P282" s="49"/>
      <c r="Q282" s="49"/>
      <c r="R282" s="49"/>
      <c r="S282" s="8"/>
      <c r="T282" s="8"/>
    </row>
    <row r="283" spans="16:20" ht="15">
      <c r="P283" s="49"/>
      <c r="Q283" s="49"/>
      <c r="R283" s="49"/>
      <c r="S283" s="8"/>
      <c r="T283" s="8"/>
    </row>
    <row r="284" spans="16:20" ht="15">
      <c r="P284" s="49"/>
      <c r="Q284" s="49"/>
      <c r="R284" s="49"/>
      <c r="S284" s="8"/>
      <c r="T284" s="8"/>
    </row>
    <row r="285" spans="16:20" ht="15">
      <c r="P285" s="49"/>
      <c r="Q285" s="49"/>
      <c r="R285" s="49"/>
      <c r="S285" s="8"/>
      <c r="T285" s="8"/>
    </row>
    <row r="286" spans="16:20" ht="15">
      <c r="P286" s="49"/>
      <c r="Q286" s="49"/>
      <c r="R286" s="49"/>
      <c r="S286" s="8"/>
      <c r="T286" s="8"/>
    </row>
    <row r="287" spans="16:20" ht="15">
      <c r="P287" s="49"/>
      <c r="Q287" s="49"/>
      <c r="R287" s="49"/>
      <c r="S287" s="8"/>
      <c r="T287" s="8"/>
    </row>
    <row r="288" spans="16:20" ht="15">
      <c r="P288" s="49"/>
      <c r="Q288" s="49"/>
      <c r="R288" s="49"/>
      <c r="S288" s="8"/>
      <c r="T288" s="8"/>
    </row>
    <row r="289" spans="16:20" ht="15">
      <c r="P289" s="49"/>
      <c r="Q289" s="49"/>
      <c r="R289" s="49"/>
      <c r="S289" s="8"/>
      <c r="T289" s="8"/>
    </row>
    <row r="290" spans="16:20" ht="15">
      <c r="P290" s="49"/>
      <c r="Q290" s="49"/>
      <c r="R290" s="49"/>
      <c r="S290" s="8"/>
      <c r="T290" s="8"/>
    </row>
    <row r="291" spans="16:20" ht="15">
      <c r="P291" s="49"/>
      <c r="Q291" s="49"/>
      <c r="R291" s="49"/>
      <c r="S291" s="8"/>
      <c r="T291" s="8"/>
    </row>
    <row r="292" spans="16:20" ht="15">
      <c r="P292" s="49"/>
      <c r="Q292" s="49"/>
      <c r="R292" s="49"/>
      <c r="S292" s="8"/>
      <c r="T292" s="8"/>
    </row>
    <row r="293" spans="16:20" ht="15">
      <c r="P293" s="49"/>
      <c r="Q293" s="49"/>
      <c r="R293" s="49"/>
      <c r="S293" s="8"/>
      <c r="T293" s="8"/>
    </row>
    <row r="294" spans="16:20" ht="15">
      <c r="P294" s="49"/>
      <c r="Q294" s="49"/>
      <c r="R294" s="49"/>
      <c r="S294" s="8"/>
      <c r="T294" s="8"/>
    </row>
    <row r="295" spans="16:20" ht="15">
      <c r="P295" s="49"/>
      <c r="Q295" s="49"/>
      <c r="R295" s="49"/>
      <c r="S295" s="8"/>
      <c r="T295" s="8"/>
    </row>
    <row r="296" spans="16:20" ht="15">
      <c r="P296" s="49"/>
      <c r="Q296" s="49"/>
      <c r="R296" s="49"/>
      <c r="S296" s="8"/>
      <c r="T296" s="8"/>
    </row>
    <row r="297" spans="16:20" ht="15">
      <c r="P297" s="49"/>
      <c r="Q297" s="49"/>
      <c r="R297" s="49"/>
      <c r="S297" s="8"/>
      <c r="T297" s="8"/>
    </row>
    <row r="298" spans="16:20" ht="15">
      <c r="P298" s="49"/>
      <c r="Q298" s="49"/>
      <c r="R298" s="49"/>
      <c r="S298" s="8"/>
      <c r="T298" s="8"/>
    </row>
    <row r="299" spans="16:20" ht="15">
      <c r="P299" s="49"/>
      <c r="Q299" s="49"/>
      <c r="R299" s="49"/>
      <c r="S299" s="8"/>
      <c r="T299" s="8"/>
    </row>
    <row r="300" spans="16:20" ht="15">
      <c r="P300" s="49"/>
      <c r="Q300" s="49"/>
      <c r="R300" s="49"/>
      <c r="S300" s="8"/>
      <c r="T300" s="8"/>
    </row>
    <row r="301" spans="16:20" ht="15">
      <c r="P301" s="49"/>
      <c r="Q301" s="49"/>
      <c r="R301" s="49"/>
      <c r="S301" s="8"/>
      <c r="T301" s="8"/>
    </row>
    <row r="302" spans="16:20" ht="15">
      <c r="P302" s="49"/>
      <c r="Q302" s="49"/>
      <c r="R302" s="49"/>
      <c r="S302" s="8"/>
      <c r="T302" s="8"/>
    </row>
    <row r="303" spans="16:20" ht="15">
      <c r="P303" s="49"/>
      <c r="Q303" s="49"/>
      <c r="R303" s="49"/>
      <c r="S303" s="8"/>
      <c r="T303" s="8"/>
    </row>
    <row r="304" spans="16:20" ht="15">
      <c r="P304" s="49"/>
      <c r="Q304" s="49"/>
      <c r="R304" s="49"/>
      <c r="S304" s="8"/>
      <c r="T304" s="8"/>
    </row>
    <row r="305" spans="16:20" ht="15">
      <c r="P305" s="49"/>
      <c r="Q305" s="49"/>
      <c r="R305" s="49"/>
      <c r="S305" s="8"/>
      <c r="T305" s="8"/>
    </row>
    <row r="306" spans="16:20" ht="15">
      <c r="P306" s="49"/>
      <c r="Q306" s="49"/>
      <c r="R306" s="49"/>
      <c r="S306" s="8"/>
      <c r="T306" s="8"/>
    </row>
    <row r="307" spans="16:20" ht="15">
      <c r="P307" s="49"/>
      <c r="Q307" s="49"/>
      <c r="R307" s="49"/>
      <c r="S307" s="8"/>
      <c r="T307" s="8"/>
    </row>
    <row r="308" spans="16:20" ht="15">
      <c r="P308" s="49"/>
      <c r="Q308" s="49"/>
      <c r="R308" s="49"/>
      <c r="S308" s="8"/>
      <c r="T308" s="8"/>
    </row>
    <row r="309" spans="16:20" ht="15">
      <c r="P309" s="49"/>
      <c r="Q309" s="49"/>
      <c r="R309" s="49"/>
      <c r="S309" s="8"/>
      <c r="T309" s="8"/>
    </row>
    <row r="310" spans="16:20" ht="15">
      <c r="P310" s="49"/>
      <c r="Q310" s="49"/>
      <c r="R310" s="49"/>
      <c r="S310" s="8"/>
      <c r="T310" s="8"/>
    </row>
    <row r="311" spans="16:20" ht="15">
      <c r="P311" s="49"/>
      <c r="Q311" s="49"/>
      <c r="R311" s="49"/>
      <c r="S311" s="8"/>
      <c r="T311" s="8"/>
    </row>
    <row r="312" spans="16:20" ht="15">
      <c r="P312" s="49"/>
      <c r="Q312" s="49"/>
      <c r="R312" s="49"/>
      <c r="S312" s="8"/>
      <c r="T312" s="8"/>
    </row>
    <row r="313" spans="16:20" ht="15">
      <c r="P313" s="49"/>
      <c r="Q313" s="49"/>
      <c r="R313" s="49"/>
      <c r="S313" s="8"/>
      <c r="T313" s="8"/>
    </row>
    <row r="314" spans="16:20" ht="15">
      <c r="P314" s="49"/>
      <c r="Q314" s="49"/>
      <c r="R314" s="49"/>
      <c r="S314" s="8"/>
      <c r="T314" s="8"/>
    </row>
    <row r="315" spans="16:20" ht="15">
      <c r="P315" s="49"/>
      <c r="Q315" s="49"/>
      <c r="R315" s="49"/>
      <c r="S315" s="8"/>
      <c r="T315" s="8"/>
    </row>
    <row r="316" spans="16:20" ht="15">
      <c r="P316" s="49"/>
      <c r="Q316" s="49"/>
      <c r="R316" s="49"/>
      <c r="S316" s="8"/>
      <c r="T316" s="8"/>
    </row>
    <row r="317" spans="16:20" ht="15">
      <c r="P317" s="49"/>
      <c r="Q317" s="49"/>
      <c r="R317" s="49"/>
      <c r="S317" s="8"/>
      <c r="T317" s="8"/>
    </row>
    <row r="318" spans="16:20" ht="15">
      <c r="P318" s="49"/>
      <c r="Q318" s="49"/>
      <c r="R318" s="49"/>
      <c r="S318" s="8"/>
      <c r="T318" s="8"/>
    </row>
    <row r="319" spans="16:20" ht="15">
      <c r="T319" s="8"/>
    </row>
    <row r="320" spans="16:20" ht="15">
      <c r="T320" s="8"/>
    </row>
    <row r="321" spans="20:20" ht="15">
      <c r="T321" s="8"/>
    </row>
    <row r="322" spans="20:20" ht="15">
      <c r="T322" s="8"/>
    </row>
    <row r="323" spans="20:20" ht="15">
      <c r="T323" s="8"/>
    </row>
    <row r="324" spans="20:20" ht="15">
      <c r="T324" s="8"/>
    </row>
    <row r="325" spans="20:20" ht="15">
      <c r="T325" s="8"/>
    </row>
    <row r="326" spans="20:20" ht="15">
      <c r="T326" s="8"/>
    </row>
    <row r="327" spans="20:20" ht="15">
      <c r="T327" s="8"/>
    </row>
    <row r="328" spans="20:20" ht="15">
      <c r="T328" s="8"/>
    </row>
    <row r="329" spans="20:20" ht="15">
      <c r="T329" s="8"/>
    </row>
    <row r="330" spans="20:20" ht="15">
      <c r="T330" s="8"/>
    </row>
    <row r="331" spans="20:20" ht="15">
      <c r="T331" s="8"/>
    </row>
    <row r="332" spans="20:20" ht="15">
      <c r="T332" s="8"/>
    </row>
    <row r="333" spans="20:20" ht="15">
      <c r="T333" s="8"/>
    </row>
    <row r="334" spans="20:20" ht="15">
      <c r="T334" s="8"/>
    </row>
    <row r="343" spans="16:20">
      <c r="P343" s="51"/>
      <c r="Q343" s="51"/>
      <c r="R343" s="51"/>
      <c r="S343" s="51"/>
      <c r="T343" s="51"/>
    </row>
    <row r="344" spans="16:20">
      <c r="P344" s="51"/>
      <c r="Q344" s="51"/>
      <c r="R344" s="51"/>
      <c r="S344" s="51"/>
      <c r="T344" s="51"/>
    </row>
    <row r="345" spans="16:20">
      <c r="P345" s="51"/>
      <c r="Q345" s="51"/>
      <c r="R345" s="51"/>
      <c r="S345" s="51"/>
      <c r="T345" s="51"/>
    </row>
    <row r="346" spans="16:20">
      <c r="P346" s="51"/>
      <c r="Q346" s="51"/>
      <c r="R346" s="51"/>
      <c r="S346" s="51"/>
      <c r="T346" s="51"/>
    </row>
    <row r="347" spans="16:20">
      <c r="P347" s="51"/>
      <c r="Q347" s="51"/>
      <c r="R347" s="51"/>
      <c r="S347" s="51"/>
      <c r="T347" s="51"/>
    </row>
    <row r="348" spans="16:20">
      <c r="P348" s="51"/>
      <c r="Q348" s="51"/>
      <c r="R348" s="51"/>
      <c r="S348" s="51"/>
      <c r="T348" s="51"/>
    </row>
    <row r="349" spans="16:20">
      <c r="P349" s="51"/>
      <c r="Q349" s="51"/>
      <c r="R349" s="51"/>
      <c r="S349" s="51"/>
      <c r="T349" s="51"/>
    </row>
    <row r="350" spans="16:20">
      <c r="P350" s="51"/>
      <c r="Q350" s="51"/>
      <c r="R350" s="51"/>
      <c r="S350" s="51"/>
      <c r="T350" s="51"/>
    </row>
    <row r="351" spans="16:20">
      <c r="P351" s="51"/>
      <c r="Q351" s="51"/>
      <c r="R351" s="51"/>
      <c r="S351" s="51"/>
      <c r="T351" s="51"/>
    </row>
    <row r="352" spans="16:20">
      <c r="P352" s="51"/>
      <c r="Q352" s="51"/>
      <c r="R352" s="51"/>
      <c r="S352" s="51"/>
      <c r="T352" s="51"/>
    </row>
    <row r="353" spans="16:20">
      <c r="P353" s="51"/>
      <c r="Q353" s="51"/>
      <c r="R353" s="51"/>
      <c r="S353" s="51"/>
      <c r="T353" s="51"/>
    </row>
    <row r="354" spans="16:20">
      <c r="P354" s="51"/>
      <c r="Q354" s="51"/>
      <c r="R354" s="51"/>
      <c r="S354" s="51"/>
      <c r="T354" s="51"/>
    </row>
  </sheetData>
  <sheetProtection algorithmName="SHA-512" hashValue="rxuC045tG9+FBuGcJeLVr9EvakJOEpoLsHkWC2i1oShNqKFDQzjXQqFjYoxplBkzstYsBv5gxEAXuxj1iR3L5A==" saltValue="oPNSwbQxjcCrmxEiiMgqdg==" spinCount="100000" sheet="1" objects="1" scenarios="1" formatCells="0" formatColumns="0" formatRows="0" insertHyperlinks="0" autoFilter="0" pivotTables="0"/>
  <autoFilter ref="B7:N140" xr:uid="{00000000-0009-0000-0000-000007000000}">
    <filterColumn colId="9">
      <filters>
        <filter val="1"/>
      </filters>
    </filterColumn>
  </autoFilter>
  <mergeCells count="20">
    <mergeCell ref="E150:J150"/>
    <mergeCell ref="E151:J151"/>
    <mergeCell ref="E152:J152"/>
    <mergeCell ref="E145:J145"/>
    <mergeCell ref="E146:J146"/>
    <mergeCell ref="E147:J147"/>
    <mergeCell ref="E148:J148"/>
    <mergeCell ref="E149:J149"/>
    <mergeCell ref="O2:AB2"/>
    <mergeCell ref="B3:C3"/>
    <mergeCell ref="E143:J143"/>
    <mergeCell ref="E144:J144"/>
    <mergeCell ref="K6:N6"/>
    <mergeCell ref="J4:J5"/>
    <mergeCell ref="B2:C2"/>
    <mergeCell ref="D2:E2"/>
    <mergeCell ref="D3:E3"/>
    <mergeCell ref="B4:E4"/>
    <mergeCell ref="B5:E5"/>
    <mergeCell ref="E142:J142"/>
  </mergeCells>
  <conditionalFormatting sqref="T25:T26 U24:V36 P5:S7 T7:T19 U16:V21">
    <cfRule type="cellIs" dxfId="4" priority="5" operator="equal">
      <formula>0</formula>
    </cfRule>
  </conditionalFormatting>
  <conditionalFormatting sqref="Q6:S7">
    <cfRule type="cellIs" dxfId="3" priority="4" operator="equal">
      <formula>0</formula>
    </cfRule>
  </conditionalFormatting>
  <conditionalFormatting sqref="K8:N140">
    <cfRule type="expression" dxfId="2" priority="128">
      <formula>$K8=0</formula>
    </cfRule>
  </conditionalFormatting>
  <dataValidations count="2">
    <dataValidation allowBlank="1" showInputMessage="1" sqref="J141 J1:J4 J153:J1048576 J6:J7" xr:uid="{00000000-0002-0000-0700-000000000000}"/>
    <dataValidation type="list" allowBlank="1" showInputMessage="1" showErrorMessage="1" sqref="L8:L140" xr:uid="{00000000-0002-0000-0700-000001000000}">
      <formula1>$P$6:$P$7</formula1>
    </dataValidation>
  </dataValidations>
  <printOptions horizontalCentered="1"/>
  <pageMargins left="0.25" right="0.25" top="0.75" bottom="0.75" header="0.3" footer="0.3"/>
  <pageSetup paperSize="8" scale="52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 filterMode="1">
    <pageSetUpPr fitToPage="1"/>
  </sheetPr>
  <dimension ref="A1:AE152"/>
  <sheetViews>
    <sheetView showGridLines="0" view="pageBreakPreview" zoomScale="85" zoomScaleNormal="70" zoomScaleSheetLayoutView="85" workbookViewId="0">
      <pane xSplit="7" ySplit="7" topLeftCell="H84" activePane="bottomRight" state="frozen"/>
      <selection pane="topRight" activeCell="H1" sqref="H1"/>
      <selection pane="bottomLeft" activeCell="A8" sqref="A8"/>
      <selection pane="bottomRight" activeCell="K100" sqref="K100"/>
    </sheetView>
  </sheetViews>
  <sheetFormatPr baseColWidth="10" defaultColWidth="11.42578125" defaultRowHeight="15"/>
  <cols>
    <col min="1" max="1" width="3.5703125" style="1" customWidth="1"/>
    <col min="2" max="2" width="12.5703125" style="1" customWidth="1"/>
    <col min="3" max="4" width="14.28515625" style="1" customWidth="1"/>
    <col min="5" max="5" width="7.140625" style="1" customWidth="1"/>
    <col min="6" max="6" width="13.5703125" style="1" customWidth="1"/>
    <col min="7" max="7" width="75.140625" style="1" bestFit="1" customWidth="1"/>
    <col min="8" max="8" width="23.42578125" style="2" bestFit="1" customWidth="1"/>
    <col min="9" max="9" width="25.5703125" style="2" customWidth="1"/>
    <col min="10" max="11" width="19.85546875" style="2" customWidth="1"/>
    <col min="12" max="12" width="25.85546875" style="6" customWidth="1"/>
    <col min="13" max="13" width="34.140625" style="6" customWidth="1"/>
    <col min="14" max="14" width="18.28515625" style="6" customWidth="1"/>
    <col min="15" max="15" width="20.85546875" style="6" customWidth="1"/>
    <col min="16" max="16" width="23.5703125" style="6" customWidth="1"/>
    <col min="17" max="17" width="14.5703125" style="6" customWidth="1"/>
    <col min="18" max="18" width="21.85546875" style="6" customWidth="1"/>
    <col min="19" max="19" width="20.42578125" style="6" customWidth="1"/>
    <col min="20" max="20" width="19.5703125" style="6" customWidth="1"/>
    <col min="21" max="21" width="25.5703125" style="6" bestFit="1" customWidth="1"/>
    <col min="22" max="22" width="31.85546875" style="6" customWidth="1"/>
    <col min="23" max="23" width="24.5703125" style="6" customWidth="1"/>
    <col min="24" max="24" width="21.85546875" style="6" customWidth="1"/>
    <col min="25" max="25" width="25.140625" style="6" customWidth="1"/>
    <col min="26" max="26" width="34.42578125" style="6" customWidth="1"/>
    <col min="27" max="27" width="13.42578125" style="6" customWidth="1"/>
    <col min="28" max="28" width="19.28515625" style="6" bestFit="1" customWidth="1"/>
    <col min="29" max="29" width="40.140625" style="6" bestFit="1" customWidth="1"/>
    <col min="30" max="30" width="3.42578125" style="7" customWidth="1"/>
    <col min="31" max="31" width="3.5703125" style="7" customWidth="1"/>
    <col min="32" max="16384" width="11.42578125" style="6"/>
  </cols>
  <sheetData>
    <row r="1" spans="1:31" s="49" customFormat="1" ht="18.75" customHeight="1" thickBot="1">
      <c r="H1" s="51"/>
      <c r="I1" s="51"/>
      <c r="J1" s="51"/>
      <c r="K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</row>
    <row r="2" spans="1:31" s="49" customFormat="1" ht="19.5" customHeight="1" thickBot="1">
      <c r="B2" s="696" t="s">
        <v>0</v>
      </c>
      <c r="C2" s="697"/>
      <c r="D2" s="696" t="s">
        <v>100</v>
      </c>
      <c r="E2" s="697"/>
      <c r="H2" s="51" t="s">
        <v>23</v>
      </c>
      <c r="I2" s="51"/>
      <c r="J2" s="51"/>
      <c r="K2" s="51"/>
      <c r="N2" s="51"/>
      <c r="O2" s="51"/>
      <c r="P2" s="711"/>
      <c r="Q2" s="711"/>
      <c r="R2" s="711"/>
      <c r="S2" s="711"/>
      <c r="T2" s="711"/>
      <c r="U2" s="711"/>
      <c r="V2" s="711"/>
      <c r="W2" s="711"/>
      <c r="X2" s="711"/>
      <c r="Y2" s="711"/>
      <c r="Z2" s="711"/>
      <c r="AA2" s="711"/>
      <c r="AB2" s="711"/>
      <c r="AC2" s="711"/>
      <c r="AD2" s="711"/>
      <c r="AE2" s="711"/>
    </row>
    <row r="3" spans="1:31" s="49" customFormat="1" ht="30" customHeight="1" thickBot="1">
      <c r="B3" s="706">
        <f>NOMENCLATURE_GEN!B3</f>
        <v>224102</v>
      </c>
      <c r="C3" s="664"/>
      <c r="D3" s="706" t="str">
        <f>LOOKUP(2,1/(C:C&lt;&gt;""),C:C)</f>
        <v>B</v>
      </c>
      <c r="E3" s="664"/>
      <c r="H3" s="52" t="s">
        <v>13</v>
      </c>
      <c r="I3" s="51"/>
      <c r="J3" s="51"/>
      <c r="K3" s="51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</row>
    <row r="4" spans="1:31" s="49" customFormat="1" ht="19.5" customHeight="1" thickBot="1">
      <c r="B4" s="696" t="s">
        <v>159</v>
      </c>
      <c r="C4" s="705"/>
      <c r="D4" s="705"/>
      <c r="E4" s="697"/>
      <c r="H4" s="51"/>
      <c r="I4" s="51"/>
      <c r="J4" s="703"/>
      <c r="K4" s="51"/>
    </row>
    <row r="5" spans="1:31" s="49" customFormat="1" ht="25.15" customHeight="1" thickBot="1">
      <c r="B5" s="706" t="str">
        <f>NOMENCLATURE_GEN!B5</f>
        <v>PAPREC - CHAGNY</v>
      </c>
      <c r="C5" s="663"/>
      <c r="D5" s="663"/>
      <c r="E5" s="664"/>
      <c r="H5" s="51"/>
      <c r="I5" s="51"/>
      <c r="J5" s="703"/>
      <c r="K5" s="51"/>
    </row>
    <row r="6" spans="1:31" ht="32.25" customHeight="1" thickBot="1">
      <c r="K6" s="823" t="s">
        <v>25</v>
      </c>
      <c r="L6" s="824"/>
      <c r="M6" s="824"/>
      <c r="N6" s="824"/>
      <c r="O6" s="824"/>
      <c r="P6" s="824"/>
      <c r="Q6" s="824"/>
      <c r="R6" s="824"/>
      <c r="S6" s="824"/>
      <c r="T6" s="824"/>
      <c r="U6" s="824"/>
      <c r="V6" s="824"/>
      <c r="W6" s="824"/>
      <c r="X6" s="824"/>
      <c r="Y6" s="824"/>
      <c r="Z6" s="824"/>
      <c r="AA6" s="824"/>
      <c r="AB6" s="824"/>
      <c r="AC6" s="825"/>
    </row>
    <row r="7" spans="1:31" ht="53.25" customHeight="1" thickBot="1">
      <c r="B7" s="249" t="str">
        <f>NOMENCLATURE_GEN!B7</f>
        <v>NVX /
SUP /
MOD /</v>
      </c>
      <c r="C7" s="245" t="str">
        <f>NOMENCLATURE_GEN!C7</f>
        <v>REPERE CLIENT</v>
      </c>
      <c r="D7" s="246" t="str">
        <f>NOMENCLATURE_GEN!D7</f>
        <v>REPERE VAUCHE</v>
      </c>
      <c r="E7" s="173" t="s">
        <v>353</v>
      </c>
      <c r="F7" s="246" t="str">
        <f>NOMENCLATURE_GEN!F7</f>
        <v xml:space="preserve">TYPE </v>
      </c>
      <c r="G7" s="246" t="str">
        <f>NOMENCLATURE_GEN!G7</f>
        <v>DESIGNATION</v>
      </c>
      <c r="H7" s="246" t="str">
        <f>NOMENCLATURE_GEN!H7</f>
        <v>LARGEUR 
DE BANDE (mm)</v>
      </c>
      <c r="I7" s="246" t="str">
        <f>NOMENCLATURE_GEN!I7</f>
        <v>LONGEUR HORS TOUT (mm)</v>
      </c>
      <c r="J7" s="250" t="str">
        <f>NOMENCLATURE_GEN!J7</f>
        <v>INCLINAISON (°)</v>
      </c>
      <c r="K7" s="409" t="s">
        <v>352</v>
      </c>
      <c r="L7" s="435" t="s">
        <v>147</v>
      </c>
      <c r="M7" s="436" t="s">
        <v>148</v>
      </c>
      <c r="N7" s="436" t="s">
        <v>149</v>
      </c>
      <c r="O7" s="436" t="s">
        <v>150</v>
      </c>
      <c r="P7" s="436" t="s">
        <v>151</v>
      </c>
      <c r="Q7" s="436" t="s">
        <v>152</v>
      </c>
      <c r="R7" s="436" t="s">
        <v>155</v>
      </c>
      <c r="S7" s="436" t="s">
        <v>153</v>
      </c>
      <c r="T7" s="436" t="s">
        <v>649</v>
      </c>
      <c r="U7" s="436" t="s">
        <v>154</v>
      </c>
      <c r="V7" s="436" t="s">
        <v>156</v>
      </c>
      <c r="W7" s="436" t="s">
        <v>157</v>
      </c>
      <c r="X7" s="436" t="s">
        <v>17</v>
      </c>
      <c r="Y7" s="436" t="s">
        <v>18</v>
      </c>
      <c r="Z7" s="436" t="s">
        <v>158</v>
      </c>
      <c r="AA7" s="436" t="s">
        <v>16</v>
      </c>
      <c r="AB7" s="436" t="s">
        <v>650</v>
      </c>
      <c r="AC7" s="437" t="s">
        <v>145</v>
      </c>
    </row>
    <row r="8" spans="1:31" s="8" customFormat="1" ht="39.950000000000003" customHeight="1">
      <c r="A8" s="3"/>
      <c r="B8" s="288" t="str">
        <f>IF(NOMENCLATURE_GEN!B8="","",NOMENCLATURE_GEN!B8)</f>
        <v/>
      </c>
      <c r="C8" s="127" t="str">
        <f>IF(NOMENCLATURE_GEN!C8="","",NOMENCLATURE_GEN!C8)</f>
        <v/>
      </c>
      <c r="D8" s="127">
        <f>IF(NOMENCLATURE_GEN!D8="","",NOMENCLATURE_GEN!D8)</f>
        <v>101</v>
      </c>
      <c r="E8" s="127" t="str">
        <f ca="1">IF(NOMENCLATURE_GEN!E8="","",NOMENCLATURE_GEN!E8)</f>
        <v>A</v>
      </c>
      <c r="F8" s="127" t="str">
        <f>IF(NOMENCLATURE_GEN!F8="","",NOMENCLATURE_GEN!F8)</f>
        <v>EAB</v>
      </c>
      <c r="G8" s="301" t="str">
        <f>IF(NOMENCLATURE_GEN!G8="","",NOMENCLATURE_GEN!G8)</f>
        <v>Convoyeur à bande et chaines de reprise des BRS</v>
      </c>
      <c r="H8" s="318">
        <f>IF(NOMENCLATURE_GEN!H8="","",NOMENCLATURE_GEN!H8)</f>
        <v>1600</v>
      </c>
      <c r="I8" s="318">
        <f>IF(NOMENCLATURE_GEN!I8="","",NOMENCLATURE_GEN!I8)</f>
        <v>33400</v>
      </c>
      <c r="J8" s="319">
        <f>IF(NOMENCLATURE_GEN!J8="","",NOMENCLATURE_GEN!J8)</f>
        <v>35</v>
      </c>
      <c r="K8" s="410" t="s">
        <v>495</v>
      </c>
      <c r="L8" s="268">
        <v>1</v>
      </c>
      <c r="M8" s="269"/>
      <c r="N8" s="269"/>
      <c r="O8" s="269"/>
      <c r="P8" s="269"/>
      <c r="Q8" s="269">
        <v>2</v>
      </c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>
        <v>1</v>
      </c>
      <c r="AC8" s="275"/>
      <c r="AD8" s="7"/>
      <c r="AE8" s="7"/>
    </row>
    <row r="9" spans="1:31" s="8" customFormat="1" ht="39.950000000000003" hidden="1" customHeight="1">
      <c r="A9" s="3"/>
      <c r="B9" s="25" t="str">
        <f>IF(NOMENCLATURE_GEN!B9="","",NOMENCLATURE_GEN!B9)</f>
        <v/>
      </c>
      <c r="C9" s="243" t="str">
        <f>IF(NOMENCLATURE_GEN!C9="","",NOMENCLATURE_GEN!C9)</f>
        <v/>
      </c>
      <c r="D9" s="4">
        <f>IF(NOMENCLATURE_GEN!D9="","",NOMENCLATURE_GEN!D9)</f>
        <v>101</v>
      </c>
      <c r="E9" s="4" t="str">
        <f ca="1">IF(NOMENCLATURE_GEN!E9="","",NOMENCLATURE_GEN!E9)</f>
        <v>B</v>
      </c>
      <c r="F9" s="4" t="str">
        <f>IF(NOMENCLATURE_GEN!F9="","",NOMENCLATURE_GEN!F9)</f>
        <v>GRA</v>
      </c>
      <c r="G9" s="154" t="str">
        <f>IF(NOMENCLATURE_GEN!G9="","",NOMENCLATURE_GEN!G9)</f>
        <v>Convoyeur à bande et chaines - Centrale de graissage</v>
      </c>
      <c r="H9" s="320" t="str">
        <f>IF(NOMENCLATURE_GEN!H9="","",NOMENCLATURE_GEN!H9)</f>
        <v/>
      </c>
      <c r="I9" s="320" t="str">
        <f>IF(NOMENCLATURE_GEN!I9="","",NOMENCLATURE_GEN!I9)</f>
        <v/>
      </c>
      <c r="J9" s="321" t="str">
        <f>IF(NOMENCLATURE_GEN!J9="","",NOMENCLATURE_GEN!J9)</f>
        <v/>
      </c>
      <c r="K9" s="411" t="s">
        <v>494</v>
      </c>
      <c r="L9" s="9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D9" s="7"/>
      <c r="AE9" s="7"/>
    </row>
    <row r="10" spans="1:31" s="8" customFormat="1" ht="39.950000000000003" customHeight="1">
      <c r="A10" s="3"/>
      <c r="B10" s="25" t="str">
        <f>IF(NOMENCLATURE_GEN!B10="","",NOMENCLATURE_GEN!B10)</f>
        <v/>
      </c>
      <c r="C10" s="243" t="str">
        <f>IF(NOMENCLATURE_GEN!C10="","",NOMENCLATURE_GEN!C10)</f>
        <v/>
      </c>
      <c r="D10" s="4">
        <f>IF(NOMENCLATURE_GEN!D10="","",NOMENCLATURE_GEN!D10)</f>
        <v>102</v>
      </c>
      <c r="E10" s="4" t="str">
        <f ca="1">IF(NOMENCLATURE_GEN!E10="","",NOMENCLATURE_GEN!E10)</f>
        <v>A</v>
      </c>
      <c r="F10" s="4" t="str">
        <f>IF(NOMENCLATURE_GEN!F10="","",NOMENCLATURE_GEN!F10)</f>
        <v>CBA</v>
      </c>
      <c r="G10" s="154" t="str">
        <f>IF(NOMENCLATURE_GEN!G10="","",NOMENCLATURE_GEN!G10)</f>
        <v>Convoyeur d'alimentation du trommel</v>
      </c>
      <c r="H10" s="320">
        <f>IF(NOMENCLATURE_GEN!H10="","",NOMENCLATURE_GEN!H10)</f>
        <v>1400</v>
      </c>
      <c r="I10" s="320">
        <f>IF(NOMENCLATURE_GEN!I10="","",NOMENCLATURE_GEN!I10)</f>
        <v>7000</v>
      </c>
      <c r="J10" s="321">
        <f>IF(NOMENCLATURE_GEN!J10="","",NOMENCLATURE_GEN!J10)</f>
        <v>17</v>
      </c>
      <c r="K10" s="411" t="s">
        <v>495</v>
      </c>
      <c r="L10" s="9">
        <v>1</v>
      </c>
      <c r="M10" s="10"/>
      <c r="N10" s="10"/>
      <c r="O10" s="10"/>
      <c r="P10" s="10"/>
      <c r="Q10" s="10"/>
      <c r="R10" s="10"/>
      <c r="S10" s="10"/>
      <c r="T10" s="10">
        <v>2</v>
      </c>
      <c r="U10" s="10"/>
      <c r="V10" s="10"/>
      <c r="W10" s="10"/>
      <c r="X10" s="10"/>
      <c r="Y10" s="10"/>
      <c r="Z10" s="10"/>
      <c r="AA10" s="10"/>
      <c r="AB10" s="10">
        <v>1</v>
      </c>
      <c r="AC10" s="11"/>
      <c r="AD10" s="7"/>
      <c r="AE10" s="7"/>
    </row>
    <row r="11" spans="1:31" s="8" customFormat="1" ht="39.950000000000003" customHeight="1">
      <c r="A11" s="3"/>
      <c r="B11" s="25" t="str">
        <f>IF(NOMENCLATURE_GEN!B11="","",NOMENCLATURE_GEN!B11)</f>
        <v/>
      </c>
      <c r="C11" s="243" t="str">
        <f>IF(NOMENCLATURE_GEN!C11="","",NOMENCLATURE_GEN!C11)</f>
        <v/>
      </c>
      <c r="D11" s="4">
        <f>IF(NOMENCLATURE_GEN!D11="","",NOMENCLATURE_GEN!D11)</f>
        <v>103</v>
      </c>
      <c r="E11" s="4" t="str">
        <f ca="1">IF(NOMENCLATURE_GEN!E11="","",NOMENCLATURE_GEN!E11)</f>
        <v>A</v>
      </c>
      <c r="F11" s="4" t="str">
        <f>IF(NOMENCLATURE_GEN!F11="","",NOMENCLATURE_GEN!F11)</f>
        <v>TRO</v>
      </c>
      <c r="G11" s="154" t="str">
        <f>IF(NOMENCLATURE_GEN!G11="","",NOMENCLATURE_GEN!G11)</f>
        <v>Trommel cribleur, maille Ø150/180mm avec peignes</v>
      </c>
      <c r="H11" s="320">
        <f>IF(NOMENCLATURE_GEN!H11="","",NOMENCLATURE_GEN!H11)</f>
        <v>2500</v>
      </c>
      <c r="I11" s="320">
        <f>IF(NOMENCLATURE_GEN!I11="","",NOMENCLATURE_GEN!I11)</f>
        <v>6000</v>
      </c>
      <c r="J11" s="321">
        <f>IF(NOMENCLATURE_GEN!J11="","",NOMENCLATURE_GEN!J11)</f>
        <v>3</v>
      </c>
      <c r="K11" s="411" t="s">
        <v>495</v>
      </c>
      <c r="L11" s="9">
        <v>1</v>
      </c>
      <c r="M11" s="10">
        <v>1</v>
      </c>
      <c r="N11" s="10"/>
      <c r="O11" s="10">
        <v>1</v>
      </c>
      <c r="P11" s="10">
        <v>6</v>
      </c>
      <c r="Q11" s="10">
        <v>2</v>
      </c>
      <c r="R11" s="10"/>
      <c r="S11" s="10">
        <v>2</v>
      </c>
      <c r="T11" s="10"/>
      <c r="U11" s="10"/>
      <c r="V11" s="10"/>
      <c r="W11" s="10"/>
      <c r="X11" s="10"/>
      <c r="Y11" s="10">
        <v>1</v>
      </c>
      <c r="Z11" s="10"/>
      <c r="AA11" s="10"/>
      <c r="AB11" s="10">
        <v>2</v>
      </c>
      <c r="AC11" s="11" t="s">
        <v>651</v>
      </c>
      <c r="AD11" s="7"/>
      <c r="AE11" s="7"/>
    </row>
    <row r="12" spans="1:31" s="8" customFormat="1" ht="39.950000000000003" customHeight="1">
      <c r="A12" s="3"/>
      <c r="B12" s="25" t="str">
        <f>IF(NOMENCLATURE_GEN!B12="","",NOMENCLATURE_GEN!B12)</f>
        <v/>
      </c>
      <c r="C12" s="243" t="str">
        <f>IF(NOMENCLATURE_GEN!C12="","",NOMENCLATURE_GEN!C12)</f>
        <v/>
      </c>
      <c r="D12" s="4">
        <f>IF(NOMENCLATURE_GEN!D12="","",NOMENCLATURE_GEN!D12)</f>
        <v>104</v>
      </c>
      <c r="E12" s="4" t="str">
        <f ca="1">IF(NOMENCLATURE_GEN!E12="","",NOMENCLATURE_GEN!E12)</f>
        <v>A</v>
      </c>
      <c r="F12" s="4" t="str">
        <f>IF(NOMENCLATURE_GEN!F12="","",NOMENCLATURE_GEN!F12)</f>
        <v>CBA</v>
      </c>
      <c r="G12" s="154" t="str">
        <f>IF(NOMENCLATURE_GEN!G12="","",NOMENCLATURE_GEN!G12)</f>
        <v>Convoyeur de reprise de la fraction &gt; 180mm, tête inox</v>
      </c>
      <c r="H12" s="320">
        <f>IF(NOMENCLATURE_GEN!H12="","",NOMENCLATURE_GEN!H12)</f>
        <v>1400</v>
      </c>
      <c r="I12" s="320">
        <f>IF(NOMENCLATURE_GEN!I12="","",NOMENCLATURE_GEN!I12)</f>
        <v>7000</v>
      </c>
      <c r="J12" s="321">
        <f>IF(NOMENCLATURE_GEN!J12="","",NOMENCLATURE_GEN!J12)</f>
        <v>0</v>
      </c>
      <c r="K12" s="411" t="s">
        <v>495</v>
      </c>
      <c r="L12" s="9">
        <v>1</v>
      </c>
      <c r="M12" s="10"/>
      <c r="N12" s="10"/>
      <c r="O12" s="10"/>
      <c r="P12" s="10"/>
      <c r="Q12" s="10"/>
      <c r="R12" s="10"/>
      <c r="S12" s="10"/>
      <c r="T12" s="10">
        <v>2</v>
      </c>
      <c r="U12" s="10"/>
      <c r="V12" s="10"/>
      <c r="W12" s="10"/>
      <c r="X12" s="10"/>
      <c r="Y12" s="10"/>
      <c r="Z12" s="10"/>
      <c r="AA12" s="10"/>
      <c r="AB12" s="10">
        <v>1</v>
      </c>
      <c r="AC12" s="11"/>
      <c r="AD12" s="7"/>
      <c r="AE12" s="7"/>
    </row>
    <row r="13" spans="1:31" s="8" customFormat="1" ht="39.950000000000003" customHeight="1">
      <c r="A13" s="3"/>
      <c r="B13" s="25" t="str">
        <f>IF(NOMENCLATURE_GEN!B13="","",NOMENCLATURE_GEN!B13)</f>
        <v/>
      </c>
      <c r="C13" s="243" t="str">
        <f>IF(NOMENCLATURE_GEN!C13="","",NOMENCLATURE_GEN!C13)</f>
        <v/>
      </c>
      <c r="D13" s="4">
        <f>IF(NOMENCLATURE_GEN!D13="","",NOMENCLATURE_GEN!D13)</f>
        <v>105</v>
      </c>
      <c r="E13" s="4" t="str">
        <f ca="1">IF(NOMENCLATURE_GEN!E13="","",NOMENCLATURE_GEN!E13)</f>
        <v>A</v>
      </c>
      <c r="F13" s="4" t="str">
        <f>IF(NOMENCLATURE_GEN!F13="","",NOMENCLATURE_GEN!F13)</f>
        <v>OVB</v>
      </c>
      <c r="G13" s="154" t="str">
        <f>IF(NOMENCLATURE_GEN!G13="","",NOMENCLATURE_GEN!G13)</f>
        <v>Séparateur magnétique à aimant permament</v>
      </c>
      <c r="H13" s="320">
        <f>IF(NOMENCLATURE_GEN!H13="","",NOMENCLATURE_GEN!H13)</f>
        <v>1200</v>
      </c>
      <c r="I13" s="320">
        <f>IF(NOMENCLATURE_GEN!I13="","",NOMENCLATURE_GEN!I13)</f>
        <v>1200</v>
      </c>
      <c r="J13" s="321" t="str">
        <f>IF(NOMENCLATURE_GEN!J13="","",NOMENCLATURE_GEN!J13)</f>
        <v/>
      </c>
      <c r="K13" s="411" t="s">
        <v>495</v>
      </c>
      <c r="L13" s="9">
        <v>1</v>
      </c>
      <c r="M13" s="10"/>
      <c r="N13" s="10"/>
      <c r="O13" s="10"/>
      <c r="P13" s="10"/>
      <c r="Q13" s="10"/>
      <c r="R13" s="10"/>
      <c r="S13" s="10">
        <v>2</v>
      </c>
      <c r="T13" s="10"/>
      <c r="U13" s="10"/>
      <c r="V13" s="10"/>
      <c r="W13" s="10"/>
      <c r="X13" s="10"/>
      <c r="Y13" s="10"/>
      <c r="Z13" s="10"/>
      <c r="AA13" s="10"/>
      <c r="AB13" s="10">
        <v>1</v>
      </c>
      <c r="AC13" s="11"/>
      <c r="AD13" s="7"/>
      <c r="AE13" s="7"/>
    </row>
    <row r="14" spans="1:31" s="8" customFormat="1" ht="39.950000000000003" hidden="1" customHeight="1">
      <c r="A14" s="3"/>
      <c r="B14" s="25" t="str">
        <f>IF(NOMENCLATURE_GEN!B14="","",NOMENCLATURE_GEN!B14)</f>
        <v/>
      </c>
      <c r="C14" s="243" t="str">
        <f>IF(NOMENCLATURE_GEN!C14="","",NOMENCLATURE_GEN!C14)</f>
        <v/>
      </c>
      <c r="D14" s="4">
        <f>IF(NOMENCLATURE_GEN!D14="","",NOMENCLATURE_GEN!D14)</f>
        <v>106</v>
      </c>
      <c r="E14" s="4" t="str">
        <f ca="1">IF(NOMENCLATURE_GEN!E14="","",NOMENCLATURE_GEN!E14)</f>
        <v>A</v>
      </c>
      <c r="F14" s="4" t="str">
        <f>IF(NOMENCLATURE_GEN!F14="","",NOMENCLATURE_GEN!F14)</f>
        <v>GLT</v>
      </c>
      <c r="G14" s="154" t="str">
        <f>IF(NOMENCLATURE_GEN!G14="","",NOMENCLATURE_GEN!G14)</f>
        <v>Goulotte de liaison vers le convoyeur des refus</v>
      </c>
      <c r="H14" s="320">
        <f>IF(NOMENCLATURE_GEN!H14="","",NOMENCLATURE_GEN!H14)</f>
        <v>1200</v>
      </c>
      <c r="I14" s="320">
        <f>IF(NOMENCLATURE_GEN!I14="","",NOMENCLATURE_GEN!I14)</f>
        <v>1200</v>
      </c>
      <c r="J14" s="321">
        <f>IF(NOMENCLATURE_GEN!J14="","",NOMENCLATURE_GEN!J14)</f>
        <v>0</v>
      </c>
      <c r="K14" s="411" t="s">
        <v>494</v>
      </c>
      <c r="L14" s="15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7"/>
      <c r="AD14" s="7"/>
      <c r="AE14" s="7"/>
    </row>
    <row r="15" spans="1:31" s="8" customFormat="1" ht="39.950000000000003" customHeight="1">
      <c r="A15" s="3"/>
      <c r="B15" s="25" t="str">
        <f>IF(NOMENCLATURE_GEN!B15="","",NOMENCLATURE_GEN!B15)</f>
        <v/>
      </c>
      <c r="C15" s="243" t="str">
        <f>IF(NOMENCLATURE_GEN!C15="","",NOMENCLATURE_GEN!C15)</f>
        <v/>
      </c>
      <c r="D15" s="4">
        <f>IF(NOMENCLATURE_GEN!D15="","",NOMENCLATURE_GEN!D15)</f>
        <v>107</v>
      </c>
      <c r="E15" s="4" t="str">
        <f ca="1">IF(NOMENCLATURE_GEN!E15="","",NOMENCLATURE_GEN!E15)</f>
        <v>A</v>
      </c>
      <c r="F15" s="4" t="str">
        <f>IF(NOMENCLATURE_GEN!F15="","",NOMENCLATURE_GEN!F15)</f>
        <v>CBA</v>
      </c>
      <c r="G15" s="154" t="str">
        <f>IF(NOMENCLATURE_GEN!G15="","",NOMENCLATURE_GEN!G15)</f>
        <v>Convoyeur de centralisation des refus</v>
      </c>
      <c r="H15" s="320">
        <f>IF(NOMENCLATURE_GEN!H15="","",NOMENCLATURE_GEN!H15)</f>
        <v>1400</v>
      </c>
      <c r="I15" s="320">
        <f>IF(NOMENCLATURE_GEN!I15="","",NOMENCLATURE_GEN!I15)</f>
        <v>9250</v>
      </c>
      <c r="J15" s="321">
        <f>IF(NOMENCLATURE_GEN!J15="","",NOMENCLATURE_GEN!J15)</f>
        <v>4</v>
      </c>
      <c r="K15" s="411" t="s">
        <v>495</v>
      </c>
      <c r="L15" s="15">
        <v>1</v>
      </c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>
        <v>1</v>
      </c>
      <c r="AC15" s="17"/>
      <c r="AD15" s="7"/>
      <c r="AE15" s="7"/>
    </row>
    <row r="16" spans="1:31" s="8" customFormat="1" ht="39.950000000000003" customHeight="1">
      <c r="A16" s="3"/>
      <c r="B16" s="25" t="str">
        <f>IF(NOMENCLATURE_GEN!B16="","",NOMENCLATURE_GEN!B16)</f>
        <v/>
      </c>
      <c r="C16" s="243" t="str">
        <f>IF(NOMENCLATURE_GEN!C16="","",NOMENCLATURE_GEN!C16)</f>
        <v/>
      </c>
      <c r="D16" s="4">
        <f>IF(NOMENCLATURE_GEN!D16="","",NOMENCLATURE_GEN!D16)</f>
        <v>108</v>
      </c>
      <c r="E16" s="4" t="str">
        <f ca="1">IF(NOMENCLATURE_GEN!E16="","",NOMENCLATURE_GEN!E16)</f>
        <v>A</v>
      </c>
      <c r="F16" s="4" t="str">
        <f>IF(NOMENCLATURE_GEN!F16="","",NOMENCLATURE_GEN!F16)</f>
        <v>CBA</v>
      </c>
      <c r="G16" s="154" t="str">
        <f>IF(NOMENCLATURE_GEN!G16="","",NOMENCLATURE_GEN!G16)</f>
        <v>Convoyeur de transfert des refus</v>
      </c>
      <c r="H16" s="320">
        <f>IF(NOMENCLATURE_GEN!H16="","",NOMENCLATURE_GEN!H16)</f>
        <v>1400</v>
      </c>
      <c r="I16" s="320">
        <f>IF(NOMENCLATURE_GEN!I16="","",NOMENCLATURE_GEN!I16)</f>
        <v>14750</v>
      </c>
      <c r="J16" s="321">
        <f>IF(NOMENCLATURE_GEN!J16="","",NOMENCLATURE_GEN!J16)</f>
        <v>6</v>
      </c>
      <c r="K16" s="411" t="s">
        <v>495</v>
      </c>
      <c r="L16" s="15">
        <v>1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>
        <v>1</v>
      </c>
      <c r="AC16" s="17"/>
      <c r="AD16" s="7"/>
      <c r="AE16" s="7"/>
    </row>
    <row r="17" spans="1:31" s="8" customFormat="1" ht="39.950000000000003" customHeight="1">
      <c r="A17" s="3"/>
      <c r="B17" s="25" t="str">
        <f>IF(NOMENCLATURE_GEN!B17="","",NOMENCLATURE_GEN!B17)</f>
        <v/>
      </c>
      <c r="C17" s="243" t="str">
        <f>IF(NOMENCLATURE_GEN!C17="","",NOMENCLATURE_GEN!C17)</f>
        <v/>
      </c>
      <c r="D17" s="4">
        <f>IF(NOMENCLATURE_GEN!D17="","",NOMENCLATURE_GEN!D17)</f>
        <v>109</v>
      </c>
      <c r="E17" s="4" t="str">
        <f ca="1">IF(NOMENCLATURE_GEN!E17="","",NOMENCLATURE_GEN!E17)</f>
        <v>A</v>
      </c>
      <c r="F17" s="4" t="str">
        <f>IF(NOMENCLATURE_GEN!F17="","",NOMENCLATURE_GEN!F17)</f>
        <v>CBA</v>
      </c>
      <c r="G17" s="154" t="str">
        <f>IF(NOMENCLATURE_GEN!G17="","",NOMENCLATURE_GEN!G17)</f>
        <v>Convoyeur de transfert des refus</v>
      </c>
      <c r="H17" s="320">
        <f>IF(NOMENCLATURE_GEN!H17="","",NOMENCLATURE_GEN!H17)</f>
        <v>1400</v>
      </c>
      <c r="I17" s="320">
        <f>IF(NOMENCLATURE_GEN!I17="","",NOMENCLATURE_GEN!I17)</f>
        <v>15250</v>
      </c>
      <c r="J17" s="321">
        <f>IF(NOMENCLATURE_GEN!J17="","",NOMENCLATURE_GEN!J17)</f>
        <v>14</v>
      </c>
      <c r="K17" s="411" t="s">
        <v>495</v>
      </c>
      <c r="L17" s="15">
        <v>1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>
        <v>1</v>
      </c>
      <c r="AC17" s="17"/>
      <c r="AD17" s="7"/>
      <c r="AE17" s="7"/>
    </row>
    <row r="18" spans="1:31" s="8" customFormat="1" ht="39.950000000000003" customHeight="1">
      <c r="A18" s="3"/>
      <c r="B18" s="25" t="str">
        <f>IF(NOMENCLATURE_GEN!B18="","",NOMENCLATURE_GEN!B18)</f>
        <v/>
      </c>
      <c r="C18" s="243" t="str">
        <f>IF(NOMENCLATURE_GEN!C18="","",NOMENCLATURE_GEN!C18)</f>
        <v/>
      </c>
      <c r="D18" s="4">
        <f>IF(NOMENCLATURE_GEN!D18="","",NOMENCLATURE_GEN!D18)</f>
        <v>110</v>
      </c>
      <c r="E18" s="4" t="str">
        <f ca="1">IF(NOMENCLATURE_GEN!E18="","",NOMENCLATURE_GEN!E18)</f>
        <v>A</v>
      </c>
      <c r="F18" s="4" t="str">
        <f>IF(NOMENCLATURE_GEN!F18="","",NOMENCLATURE_GEN!F18)</f>
        <v>CBA</v>
      </c>
      <c r="G18" s="154" t="str">
        <f>IF(NOMENCLATURE_GEN!G18="","",NOMENCLATURE_GEN!G18)</f>
        <v>Convoyeur de transfert des refus vers FMA</v>
      </c>
      <c r="H18" s="320">
        <f>IF(NOMENCLATURE_GEN!H18="","",NOMENCLATURE_GEN!H18)</f>
        <v>1400</v>
      </c>
      <c r="I18" s="320">
        <f>IF(NOMENCLATURE_GEN!I18="","",NOMENCLATURE_GEN!I18)</f>
        <v>20000</v>
      </c>
      <c r="J18" s="321">
        <f>IF(NOMENCLATURE_GEN!J18="","",NOMENCLATURE_GEN!J18)</f>
        <v>25</v>
      </c>
      <c r="K18" s="411" t="s">
        <v>495</v>
      </c>
      <c r="L18" s="15">
        <v>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>
        <v>1</v>
      </c>
      <c r="AC18" s="17"/>
      <c r="AD18" s="7"/>
      <c r="AE18" s="7"/>
    </row>
    <row r="19" spans="1:31" s="8" customFormat="1" ht="39.950000000000003" customHeight="1">
      <c r="A19" s="3"/>
      <c r="B19" s="25" t="str">
        <f>IF(NOMENCLATURE_GEN!B19="","",NOMENCLATURE_GEN!B19)</f>
        <v/>
      </c>
      <c r="C19" s="243" t="str">
        <f>IF(NOMENCLATURE_GEN!C19="","",NOMENCLATURE_GEN!C19)</f>
        <v/>
      </c>
      <c r="D19" s="4">
        <f>IF(NOMENCLATURE_GEN!D19="","",NOMENCLATURE_GEN!D19)</f>
        <v>111</v>
      </c>
      <c r="E19" s="4" t="str">
        <f ca="1">IF(NOMENCLATURE_GEN!E19="","",NOMENCLATURE_GEN!E19)</f>
        <v>A</v>
      </c>
      <c r="F19" s="4" t="str">
        <f>IF(NOMENCLATURE_GEN!F19="","",NOMENCLATURE_GEN!F19)</f>
        <v>CBA</v>
      </c>
      <c r="G19" s="154" t="str">
        <f>IF(NOMENCLATURE_GEN!G19="","",NOMENCLATURE_GEN!G19)</f>
        <v>Convoyeur by-pass des refus (FMA 1 OU 2)</v>
      </c>
      <c r="H19" s="320">
        <f>IF(NOMENCLATURE_GEN!H19="","",NOMENCLATURE_GEN!H19)</f>
        <v>1400</v>
      </c>
      <c r="I19" s="320">
        <f>IF(NOMENCLATURE_GEN!I19="","",NOMENCLATURE_GEN!I19)</f>
        <v>4500</v>
      </c>
      <c r="J19" s="321">
        <f>IF(NOMENCLATURE_GEN!J19="","",NOMENCLATURE_GEN!J19)</f>
        <v>0</v>
      </c>
      <c r="K19" s="411" t="s">
        <v>495</v>
      </c>
      <c r="L19" s="15">
        <v>1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>
        <v>2</v>
      </c>
      <c r="AC19" s="17"/>
      <c r="AD19" s="7"/>
      <c r="AE19" s="7"/>
    </row>
    <row r="20" spans="1:31" s="8" customFormat="1" ht="39.950000000000003" customHeight="1">
      <c r="A20" s="3"/>
      <c r="B20" s="25" t="str">
        <f>IF(NOMENCLATURE_GEN!B20="","",NOMENCLATURE_GEN!B20)</f>
        <v/>
      </c>
      <c r="C20" s="243" t="str">
        <f>IF(NOMENCLATURE_GEN!C20="","",NOMENCLATURE_GEN!C20)</f>
        <v/>
      </c>
      <c r="D20" s="4" t="str">
        <f>IF(NOMENCLATURE_GEN!D20="","",NOMENCLATURE_GEN!D20)</f>
        <v>112-1</v>
      </c>
      <c r="E20" s="4" t="str">
        <f ca="1">IF(NOMENCLATURE_GEN!E20="","",NOMENCLATURE_GEN!E20)</f>
        <v>A</v>
      </c>
      <c r="F20" s="4" t="str">
        <f>IF(NOMENCLATURE_GEN!F20="","",NOMENCLATURE_GEN!F20)</f>
        <v>CBA</v>
      </c>
      <c r="G20" s="154" t="str">
        <f>IF(NOMENCLATURE_GEN!G20="","",NOMENCLATURE_GEN!G20)</f>
        <v>Convoyeur navette double sens de remplissage des bennes ou FMA</v>
      </c>
      <c r="H20" s="320">
        <f>IF(NOMENCLATURE_GEN!H20="","",NOMENCLATURE_GEN!H20)</f>
        <v>1400</v>
      </c>
      <c r="I20" s="320">
        <f>IF(NOMENCLATURE_GEN!I20="","",NOMENCLATURE_GEN!I20)</f>
        <v>8250</v>
      </c>
      <c r="J20" s="321">
        <f>IF(NOMENCLATURE_GEN!J20="","",NOMENCLATURE_GEN!J20)</f>
        <v>0</v>
      </c>
      <c r="K20" s="411" t="s">
        <v>495</v>
      </c>
      <c r="L20" s="15">
        <v>1</v>
      </c>
      <c r="M20" s="16"/>
      <c r="N20" s="16"/>
      <c r="O20" s="16"/>
      <c r="P20" s="16"/>
      <c r="Q20" s="16"/>
      <c r="R20" s="16"/>
      <c r="S20" s="16"/>
      <c r="T20" s="16"/>
      <c r="U20" s="16"/>
      <c r="V20" s="16">
        <v>2</v>
      </c>
      <c r="W20" s="16"/>
      <c r="X20" s="16"/>
      <c r="Y20" s="16"/>
      <c r="Z20" s="16"/>
      <c r="AA20" s="16"/>
      <c r="AB20" s="16">
        <v>2</v>
      </c>
      <c r="AC20" s="17"/>
      <c r="AD20" s="7"/>
      <c r="AE20" s="7"/>
    </row>
    <row r="21" spans="1:31" s="8" customFormat="1" ht="39.950000000000003" customHeight="1">
      <c r="A21" s="3"/>
      <c r="B21" s="25" t="str">
        <f>IF(NOMENCLATURE_GEN!B21="","",NOMENCLATURE_GEN!B21)</f>
        <v/>
      </c>
      <c r="C21" s="243" t="str">
        <f>IF(NOMENCLATURE_GEN!C21="","",NOMENCLATURE_GEN!C21)</f>
        <v/>
      </c>
      <c r="D21" s="4" t="str">
        <f>IF(NOMENCLATURE_GEN!D21="","",NOMENCLATURE_GEN!D21)</f>
        <v>112-2</v>
      </c>
      <c r="E21" s="4" t="str">
        <f ca="1">IF(NOMENCLATURE_GEN!E21="","",NOMENCLATURE_GEN!E21)</f>
        <v>A</v>
      </c>
      <c r="F21" s="4" t="str">
        <f>IF(NOMENCLATURE_GEN!F21="","",NOMENCLATURE_GEN!F21)</f>
        <v>CBA</v>
      </c>
      <c r="G21" s="154" t="str">
        <f>IF(NOMENCLATURE_GEN!G21="","",NOMENCLATURE_GEN!G21)</f>
        <v>Convoyeur navette double sens de remplissage des bennes ou FMA</v>
      </c>
      <c r="H21" s="320">
        <f>IF(NOMENCLATURE_GEN!H21="","",NOMENCLATURE_GEN!H21)</f>
        <v>1400</v>
      </c>
      <c r="I21" s="320">
        <f>IF(NOMENCLATURE_GEN!I21="","",NOMENCLATURE_GEN!I21)</f>
        <v>8250</v>
      </c>
      <c r="J21" s="321">
        <f>IF(NOMENCLATURE_GEN!J21="","",NOMENCLATURE_GEN!J21)</f>
        <v>0</v>
      </c>
      <c r="K21" s="411" t="s">
        <v>495</v>
      </c>
      <c r="L21" s="15">
        <v>1</v>
      </c>
      <c r="M21" s="16"/>
      <c r="N21" s="16"/>
      <c r="O21" s="16"/>
      <c r="P21" s="16"/>
      <c r="Q21" s="16"/>
      <c r="R21" s="16"/>
      <c r="S21" s="16"/>
      <c r="T21" s="16"/>
      <c r="U21" s="16"/>
      <c r="V21" s="16">
        <v>2</v>
      </c>
      <c r="W21" s="16"/>
      <c r="X21" s="16"/>
      <c r="Y21" s="16"/>
      <c r="Z21" s="16"/>
      <c r="AA21" s="16"/>
      <c r="AB21" s="16">
        <v>2</v>
      </c>
      <c r="AC21" s="17"/>
      <c r="AD21" s="7"/>
      <c r="AE21" s="7"/>
    </row>
    <row r="22" spans="1:31" s="8" customFormat="1" ht="39.950000000000003" customHeight="1">
      <c r="A22" s="3"/>
      <c r="B22" s="25" t="str">
        <f>IF(NOMENCLATURE_GEN!B22="","",NOMENCLATURE_GEN!B22)</f>
        <v/>
      </c>
      <c r="C22" s="243" t="str">
        <f>IF(NOMENCLATURE_GEN!C22="","",NOMENCLATURE_GEN!C22)</f>
        <v/>
      </c>
      <c r="D22" s="4" t="str">
        <f>IF(NOMENCLATURE_GEN!D22="","",NOMENCLATURE_GEN!D22)</f>
        <v>113-1</v>
      </c>
      <c r="E22" s="4" t="str">
        <f ca="1">IF(NOMENCLATURE_GEN!E22="","",NOMENCLATURE_GEN!E22)</f>
        <v>A</v>
      </c>
      <c r="F22" s="4" t="str">
        <f>IF(NOMENCLATURE_GEN!F22="","",NOMENCLATURE_GEN!F22)</f>
        <v>NAV</v>
      </c>
      <c r="G22" s="154" t="str">
        <f>IF(NOMENCLATURE_GEN!G22="","",NOMENCLATURE_GEN!G22)</f>
        <v>Système navette pour convoyeur mobile remplissage FMA ou bennes</v>
      </c>
      <c r="H22" s="320" t="str">
        <f>IF(NOMENCLATURE_GEN!H22="","",NOMENCLATURE_GEN!H22)</f>
        <v/>
      </c>
      <c r="I22" s="320" t="str">
        <f>IF(NOMENCLATURE_GEN!I22="","",NOMENCLATURE_GEN!I22)</f>
        <v/>
      </c>
      <c r="J22" s="321" t="str">
        <f>IF(NOMENCLATURE_GEN!J22="","",NOMENCLATURE_GEN!J22)</f>
        <v/>
      </c>
      <c r="K22" s="411" t="s">
        <v>495</v>
      </c>
      <c r="L22" s="9" t="s">
        <v>652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>
        <v>4</v>
      </c>
      <c r="X22" s="16"/>
      <c r="Y22" s="16"/>
      <c r="Z22" s="16"/>
      <c r="AA22" s="16"/>
      <c r="AB22" s="16">
        <v>2</v>
      </c>
      <c r="AC22" s="17"/>
      <c r="AD22" s="7"/>
      <c r="AE22" s="7"/>
    </row>
    <row r="23" spans="1:31" s="8" customFormat="1" ht="39.950000000000003" customHeight="1">
      <c r="A23" s="3"/>
      <c r="B23" s="25" t="str">
        <f>IF(NOMENCLATURE_GEN!B23="","",NOMENCLATURE_GEN!B23)</f>
        <v/>
      </c>
      <c r="C23" s="243" t="str">
        <f>IF(NOMENCLATURE_GEN!C23="","",NOMENCLATURE_GEN!C23)</f>
        <v/>
      </c>
      <c r="D23" s="4" t="str">
        <f>IF(NOMENCLATURE_GEN!D23="","",NOMENCLATURE_GEN!D23)</f>
        <v>113-2</v>
      </c>
      <c r="E23" s="4" t="str">
        <f ca="1">IF(NOMENCLATURE_GEN!E23="","",NOMENCLATURE_GEN!E23)</f>
        <v>A</v>
      </c>
      <c r="F23" s="4" t="str">
        <f>IF(NOMENCLATURE_GEN!F23="","",NOMENCLATURE_GEN!F23)</f>
        <v>NAV</v>
      </c>
      <c r="G23" s="154" t="str">
        <f>IF(NOMENCLATURE_GEN!G23="","",NOMENCLATURE_GEN!G23)</f>
        <v>Système navette pour convoyeur mobile remplissage FMA ou bennes</v>
      </c>
      <c r="H23" s="320" t="str">
        <f>IF(NOMENCLATURE_GEN!H23="","",NOMENCLATURE_GEN!H23)</f>
        <v/>
      </c>
      <c r="I23" s="320" t="str">
        <f>IF(NOMENCLATURE_GEN!I23="","",NOMENCLATURE_GEN!I23)</f>
        <v/>
      </c>
      <c r="J23" s="321" t="str">
        <f>IF(NOMENCLATURE_GEN!J23="","",NOMENCLATURE_GEN!J23)</f>
        <v/>
      </c>
      <c r="K23" s="411" t="s">
        <v>495</v>
      </c>
      <c r="L23" s="9" t="s">
        <v>653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>
        <v>4</v>
      </c>
      <c r="X23" s="16"/>
      <c r="Y23" s="16"/>
      <c r="Z23" s="16"/>
      <c r="AA23" s="16"/>
      <c r="AB23" s="16">
        <v>2</v>
      </c>
      <c r="AC23" s="17"/>
      <c r="AD23" s="7"/>
      <c r="AE23" s="7"/>
    </row>
    <row r="24" spans="1:31" s="8" customFormat="1" ht="39.950000000000003" hidden="1" customHeight="1">
      <c r="A24" s="3"/>
      <c r="B24" s="25" t="str">
        <f>IF(NOMENCLATURE_GEN!B24="","",NOMENCLATURE_GEN!B24)</f>
        <v>SUP</v>
      </c>
      <c r="C24" s="243" t="str">
        <f>IF(NOMENCLATURE_GEN!C24="","",NOMENCLATURE_GEN!C24)</f>
        <v/>
      </c>
      <c r="D24" s="4">
        <f>IF(NOMENCLATURE_GEN!D24="","",NOMENCLATURE_GEN!D24)</f>
        <v>114</v>
      </c>
      <c r="E24" s="4" t="str">
        <f ca="1">IF(NOMENCLATURE_GEN!E24="","",NOMENCLATURE_GEN!E24)</f>
        <v>A</v>
      </c>
      <c r="F24" s="4" t="str">
        <f>IF(NOMENCLATURE_GEN!F24="","",NOMENCLATURE_GEN!F24)</f>
        <v>TRE</v>
      </c>
      <c r="G24" s="154" t="str">
        <f>IF(NOMENCLATURE_GEN!G24="","",NOMENCLATURE_GEN!G24)</f>
        <v>Trémie des passants 0-180mm sous trommel</v>
      </c>
      <c r="H24" s="320" t="str">
        <f>IF(NOMENCLATURE_GEN!H24="","",NOMENCLATURE_GEN!H24)</f>
        <v/>
      </c>
      <c r="I24" s="320" t="str">
        <f>IF(NOMENCLATURE_GEN!I24="","",NOMENCLATURE_GEN!I24)</f>
        <v/>
      </c>
      <c r="J24" s="321" t="str">
        <f>IF(NOMENCLATURE_GEN!J24="","",NOMENCLATURE_GEN!J24)</f>
        <v/>
      </c>
      <c r="K24" s="411" t="s">
        <v>494</v>
      </c>
      <c r="L24" s="15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7"/>
      <c r="AD24" s="7"/>
      <c r="AE24" s="7"/>
    </row>
    <row r="25" spans="1:31" s="8" customFormat="1" ht="39.950000000000003" customHeight="1">
      <c r="A25" s="3"/>
      <c r="B25" s="25" t="str">
        <f>IF(NOMENCLATURE_GEN!B25="","",NOMENCLATURE_GEN!B25)</f>
        <v/>
      </c>
      <c r="C25" s="243" t="str">
        <f>IF(NOMENCLATURE_GEN!C25="","",NOMENCLATURE_GEN!C25)</f>
        <v/>
      </c>
      <c r="D25" s="4">
        <f>IF(NOMENCLATURE_GEN!D25="","",NOMENCLATURE_GEN!D25)</f>
        <v>115</v>
      </c>
      <c r="E25" s="4" t="str">
        <f ca="1">IF(NOMENCLATURE_GEN!E25="","",NOMENCLATURE_GEN!E25)</f>
        <v>A</v>
      </c>
      <c r="F25" s="4" t="str">
        <f>IF(NOMENCLATURE_GEN!F25="","",NOMENCLATURE_GEN!F25)</f>
        <v>EAB</v>
      </c>
      <c r="G25" s="154" t="str">
        <f>IF(NOMENCLATURE_GEN!G25="","",NOMENCLATURE_GEN!G25)</f>
        <v>Convoyeur de reprise de la fraction 0-180mm et transfert vers trommel</v>
      </c>
      <c r="H25" s="320">
        <f>IF(NOMENCLATURE_GEN!H25="","",NOMENCLATURE_GEN!H25)</f>
        <v>1400</v>
      </c>
      <c r="I25" s="320">
        <f>IF(NOMENCLATURE_GEN!I25="","",NOMENCLATURE_GEN!I25)</f>
        <v>18400</v>
      </c>
      <c r="J25" s="321">
        <f>IF(NOMENCLATURE_GEN!J25="","",NOMENCLATURE_GEN!J25)</f>
        <v>35</v>
      </c>
      <c r="K25" s="411" t="s">
        <v>495</v>
      </c>
      <c r="L25" s="15">
        <v>1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>
        <v>1</v>
      </c>
      <c r="AC25" s="17"/>
      <c r="AD25" s="7"/>
      <c r="AE25" s="7"/>
    </row>
    <row r="26" spans="1:31" s="8" customFormat="1" ht="39.950000000000003" hidden="1" customHeight="1">
      <c r="A26" s="3"/>
      <c r="B26" s="25" t="str">
        <f>IF(NOMENCLATURE_GEN!B26="","",NOMENCLATURE_GEN!B26)</f>
        <v/>
      </c>
      <c r="C26" s="243" t="str">
        <f>IF(NOMENCLATURE_GEN!C26="","",NOMENCLATURE_GEN!C26)</f>
        <v/>
      </c>
      <c r="D26" s="4">
        <f>IF(NOMENCLATURE_GEN!D26="","",NOMENCLATURE_GEN!D26)</f>
        <v>115</v>
      </c>
      <c r="E26" s="4" t="str">
        <f ca="1">IF(NOMENCLATURE_GEN!E26="","",NOMENCLATURE_GEN!E26)</f>
        <v>B</v>
      </c>
      <c r="F26" s="4" t="str">
        <f>IF(NOMENCLATURE_GEN!F26="","",NOMENCLATURE_GEN!F26)</f>
        <v>GRA</v>
      </c>
      <c r="G26" s="154" t="str">
        <f>IF(NOMENCLATURE_GEN!G26="","",NOMENCLATURE_GEN!G26)</f>
        <v>Convoyeur à bande et chaines - Centrale de graissage</v>
      </c>
      <c r="H26" s="320" t="str">
        <f>IF(NOMENCLATURE_GEN!H26="","",NOMENCLATURE_GEN!H26)</f>
        <v/>
      </c>
      <c r="I26" s="320" t="str">
        <f>IF(NOMENCLATURE_GEN!I26="","",NOMENCLATURE_GEN!I26)</f>
        <v/>
      </c>
      <c r="J26" s="321" t="str">
        <f>IF(NOMENCLATURE_GEN!J26="","",NOMENCLATURE_GEN!J26)</f>
        <v/>
      </c>
      <c r="K26" s="411" t="s">
        <v>494</v>
      </c>
      <c r="L26" s="15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7"/>
      <c r="AD26" s="7"/>
      <c r="AE26" s="7"/>
    </row>
    <row r="27" spans="1:31" s="8" customFormat="1" ht="39.950000000000003" customHeight="1">
      <c r="A27" s="3"/>
      <c r="B27" s="25" t="str">
        <f>IF(NOMENCLATURE_GEN!B27="","",NOMENCLATURE_GEN!B27)</f>
        <v/>
      </c>
      <c r="C27" s="243" t="str">
        <f>IF(NOMENCLATURE_GEN!C27="","",NOMENCLATURE_GEN!C27)</f>
        <v/>
      </c>
      <c r="D27" s="4">
        <f>IF(NOMENCLATURE_GEN!D27="","",NOMENCLATURE_GEN!D27)</f>
        <v>116</v>
      </c>
      <c r="E27" s="4" t="str">
        <f ca="1">IF(NOMENCLATURE_GEN!E27="","",NOMENCLATURE_GEN!E27)</f>
        <v>A</v>
      </c>
      <c r="F27" s="4" t="str">
        <f>IF(NOMENCLATURE_GEN!F27="","",NOMENCLATURE_GEN!F27)</f>
        <v>TRO</v>
      </c>
      <c r="G27" s="154" t="str">
        <f>IF(NOMENCLATURE_GEN!G27="","",NOMENCLATURE_GEN!G27)</f>
        <v>Trommel secondaire, maille Ø30mm, avec pales de brassage</v>
      </c>
      <c r="H27" s="320">
        <f>IF(NOMENCLATURE_GEN!H27="","",NOMENCLATURE_GEN!H27)</f>
        <v>2500</v>
      </c>
      <c r="I27" s="320">
        <f>IF(NOMENCLATURE_GEN!I27="","",NOMENCLATURE_GEN!I27)</f>
        <v>6000</v>
      </c>
      <c r="J27" s="321">
        <f>IF(NOMENCLATURE_GEN!J27="","",NOMENCLATURE_GEN!J27)</f>
        <v>3</v>
      </c>
      <c r="K27" s="411" t="s">
        <v>495</v>
      </c>
      <c r="L27" s="9">
        <v>1</v>
      </c>
      <c r="M27" s="10">
        <v>1</v>
      </c>
      <c r="N27" s="10"/>
      <c r="O27" s="10">
        <v>1</v>
      </c>
      <c r="P27" s="10">
        <v>6</v>
      </c>
      <c r="Q27" s="10"/>
      <c r="R27" s="10"/>
      <c r="S27" s="10">
        <v>2</v>
      </c>
      <c r="T27" s="10"/>
      <c r="U27" s="10"/>
      <c r="V27" s="10"/>
      <c r="W27" s="10"/>
      <c r="X27" s="10"/>
      <c r="Y27" s="10">
        <v>1</v>
      </c>
      <c r="Z27" s="10"/>
      <c r="AA27" s="10"/>
      <c r="AB27" s="10">
        <v>1</v>
      </c>
      <c r="AC27" s="11" t="s">
        <v>651</v>
      </c>
      <c r="AD27" s="7"/>
      <c r="AE27" s="7"/>
    </row>
    <row r="28" spans="1:31" s="8" customFormat="1" ht="39.950000000000003" hidden="1" customHeight="1">
      <c r="A28" s="3"/>
      <c r="B28" s="25" t="str">
        <f>IF(NOMENCLATURE_GEN!B28="","",NOMENCLATURE_GEN!B28)</f>
        <v/>
      </c>
      <c r="C28" s="243" t="str">
        <f>IF(NOMENCLATURE_GEN!C28="","",NOMENCLATURE_GEN!C28)</f>
        <v/>
      </c>
      <c r="D28" s="4">
        <f>IF(NOMENCLATURE_GEN!D28="","",NOMENCLATURE_GEN!D28)</f>
        <v>117</v>
      </c>
      <c r="E28" s="4" t="str">
        <f ca="1">IF(NOMENCLATURE_GEN!E28="","",NOMENCLATURE_GEN!E28)</f>
        <v>A</v>
      </c>
      <c r="F28" s="4" t="str">
        <f>IF(NOMENCLATURE_GEN!F28="","",NOMENCLATURE_GEN!F28)</f>
        <v>NET</v>
      </c>
      <c r="G28" s="154" t="str">
        <f>IF(NOMENCLATURE_GEN!G28="","",NOMENCLATURE_GEN!G28)</f>
        <v>Nettoyage pneumatique haute pression maille Ø30mm</v>
      </c>
      <c r="H28" s="320" t="str">
        <f>IF(NOMENCLATURE_GEN!H28="","",NOMENCLATURE_GEN!H28)</f>
        <v/>
      </c>
      <c r="I28" s="320" t="str">
        <f>IF(NOMENCLATURE_GEN!I28="","",NOMENCLATURE_GEN!I28)</f>
        <v/>
      </c>
      <c r="J28" s="321" t="str">
        <f>IF(NOMENCLATURE_GEN!J28="","",NOMENCLATURE_GEN!J28)</f>
        <v/>
      </c>
      <c r="K28" s="411" t="s">
        <v>494</v>
      </c>
      <c r="L28" s="15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7"/>
      <c r="AD28" s="7"/>
      <c r="AE28" s="7"/>
    </row>
    <row r="29" spans="1:31" s="8" customFormat="1" ht="39.950000000000003" customHeight="1">
      <c r="A29" s="3"/>
      <c r="B29" s="25" t="str">
        <f>IF(NOMENCLATURE_GEN!B29="","",NOMENCLATURE_GEN!B29)</f>
        <v/>
      </c>
      <c r="C29" s="243" t="str">
        <f>IF(NOMENCLATURE_GEN!C29="","",NOMENCLATURE_GEN!C29)</f>
        <v/>
      </c>
      <c r="D29" s="4">
        <f>IF(NOMENCLATURE_GEN!D29="","",NOMENCLATURE_GEN!D29)</f>
        <v>118</v>
      </c>
      <c r="E29" s="4" t="str">
        <f ca="1">IF(NOMENCLATURE_GEN!E29="","",NOMENCLATURE_GEN!E29)</f>
        <v>A</v>
      </c>
      <c r="F29" s="4" t="str">
        <f>IF(NOMENCLATURE_GEN!F29="","",NOMENCLATURE_GEN!F29)</f>
        <v>CBA</v>
      </c>
      <c r="G29" s="154" t="str">
        <f>IF(NOMENCLATURE_GEN!G29="","",NOMENCLATURE_GEN!G29)</f>
        <v xml:space="preserve">Convoyeur de reprise de la fraction 30-180mm avec tête inox + zone inox </v>
      </c>
      <c r="H29" s="320">
        <f>IF(NOMENCLATURE_GEN!H29="","",NOMENCLATURE_GEN!H29)</f>
        <v>1200</v>
      </c>
      <c r="I29" s="320">
        <f>IF(NOMENCLATURE_GEN!I29="","",NOMENCLATURE_GEN!I29)</f>
        <v>9000</v>
      </c>
      <c r="J29" s="321">
        <f>IF(NOMENCLATURE_GEN!J29="","",NOMENCLATURE_GEN!J29)</f>
        <v>5</v>
      </c>
      <c r="K29" s="411" t="s">
        <v>495</v>
      </c>
      <c r="L29" s="15">
        <v>1</v>
      </c>
      <c r="M29" s="16"/>
      <c r="N29" s="16"/>
      <c r="O29" s="16"/>
      <c r="P29" s="16"/>
      <c r="Q29" s="16"/>
      <c r="R29" s="16"/>
      <c r="S29" s="16"/>
      <c r="T29" s="16">
        <v>2</v>
      </c>
      <c r="U29" s="16"/>
      <c r="V29" s="16"/>
      <c r="W29" s="16"/>
      <c r="X29" s="16"/>
      <c r="Y29" s="16"/>
      <c r="Z29" s="16"/>
      <c r="AA29" s="16"/>
      <c r="AB29" s="16">
        <v>1</v>
      </c>
      <c r="AC29" s="17"/>
      <c r="AD29" s="7"/>
      <c r="AE29" s="7"/>
    </row>
    <row r="30" spans="1:31" s="8" customFormat="1" ht="39.950000000000003" customHeight="1">
      <c r="A30" s="3"/>
      <c r="B30" s="25" t="str">
        <f>IF(NOMENCLATURE_GEN!B30="","",NOMENCLATURE_GEN!B30)</f>
        <v/>
      </c>
      <c r="C30" s="243" t="str">
        <f>IF(NOMENCLATURE_GEN!C30="","",NOMENCLATURE_GEN!C30)</f>
        <v/>
      </c>
      <c r="D30" s="4">
        <f>IF(NOMENCLATURE_GEN!D30="","",NOMENCLATURE_GEN!D30)</f>
        <v>119</v>
      </c>
      <c r="E30" s="4" t="str">
        <f ca="1">IF(NOMENCLATURE_GEN!E30="","",NOMENCLATURE_GEN!E30)</f>
        <v>A</v>
      </c>
      <c r="F30" s="4" t="str">
        <f>IF(NOMENCLATURE_GEN!F30="","",NOMENCLATURE_GEN!F30)</f>
        <v>OVB</v>
      </c>
      <c r="G30" s="154" t="str">
        <f>IF(NOMENCLATURE_GEN!G30="","",NOMENCLATURE_GEN!G30)</f>
        <v>Séparateur magnétique à aimant permament</v>
      </c>
      <c r="H30" s="320">
        <f>IF(NOMENCLATURE_GEN!H30="","",NOMENCLATURE_GEN!H30)</f>
        <v>1200</v>
      </c>
      <c r="I30" s="320">
        <f>IF(NOMENCLATURE_GEN!I30="","",NOMENCLATURE_GEN!I30)</f>
        <v>1200</v>
      </c>
      <c r="J30" s="321" t="str">
        <f>IF(NOMENCLATURE_GEN!J30="","",NOMENCLATURE_GEN!J30)</f>
        <v/>
      </c>
      <c r="K30" s="411" t="s">
        <v>495</v>
      </c>
      <c r="L30" s="15">
        <v>1</v>
      </c>
      <c r="M30" s="16"/>
      <c r="N30" s="16"/>
      <c r="O30" s="16"/>
      <c r="P30" s="16"/>
      <c r="Q30" s="16"/>
      <c r="R30" s="16"/>
      <c r="S30" s="16">
        <v>2</v>
      </c>
      <c r="T30" s="16"/>
      <c r="U30" s="16"/>
      <c r="V30" s="16"/>
      <c r="W30" s="16"/>
      <c r="X30" s="16"/>
      <c r="Y30" s="16"/>
      <c r="Z30" s="16"/>
      <c r="AA30" s="16"/>
      <c r="AB30" s="16">
        <v>1</v>
      </c>
      <c r="AC30" s="17"/>
      <c r="AD30" s="7"/>
      <c r="AE30" s="7"/>
    </row>
    <row r="31" spans="1:31" s="8" customFormat="1" ht="39.950000000000003" hidden="1" customHeight="1">
      <c r="A31" s="3"/>
      <c r="B31" s="25" t="str">
        <f>IF(NOMENCLATURE_GEN!B31="","",NOMENCLATURE_GEN!B31)</f>
        <v/>
      </c>
      <c r="C31" s="243" t="str">
        <f>IF(NOMENCLATURE_GEN!C31="","",NOMENCLATURE_GEN!C31)</f>
        <v/>
      </c>
      <c r="D31" s="4">
        <f>IF(NOMENCLATURE_GEN!D31="","",NOMENCLATURE_GEN!D31)</f>
        <v>120</v>
      </c>
      <c r="E31" s="4" t="str">
        <f ca="1">IF(NOMENCLATURE_GEN!E31="","",NOMENCLATURE_GEN!E31)</f>
        <v>A</v>
      </c>
      <c r="F31" s="4" t="str">
        <f>IF(NOMENCLATURE_GEN!F31="","",NOMENCLATURE_GEN!F31)</f>
        <v>PMP</v>
      </c>
      <c r="G31" s="154" t="str">
        <f>IF(NOMENCLATURE_GEN!G31="","",NOMENCLATURE_GEN!G31)</f>
        <v>Poulie magnétique</v>
      </c>
      <c r="H31" s="320">
        <f>IF(NOMENCLATURE_GEN!H31="","",NOMENCLATURE_GEN!H31)</f>
        <v>1200</v>
      </c>
      <c r="I31" s="320" t="str">
        <f>IF(NOMENCLATURE_GEN!I31="","",NOMENCLATURE_GEN!I31)</f>
        <v/>
      </c>
      <c r="J31" s="321" t="str">
        <f>IF(NOMENCLATURE_GEN!J31="","",NOMENCLATURE_GEN!J31)</f>
        <v/>
      </c>
      <c r="K31" s="411" t="s">
        <v>494</v>
      </c>
      <c r="L31" s="15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7"/>
      <c r="AD31" s="7"/>
      <c r="AE31" s="7"/>
    </row>
    <row r="32" spans="1:31" s="8" customFormat="1" ht="39.950000000000003" customHeight="1">
      <c r="A32" s="3"/>
      <c r="B32" s="25" t="str">
        <f>IF(NOMENCLATURE_GEN!B32="","",NOMENCLATURE_GEN!B32)</f>
        <v/>
      </c>
      <c r="C32" s="243" t="str">
        <f>IF(NOMENCLATURE_GEN!C32="","",NOMENCLATURE_GEN!C32)</f>
        <v/>
      </c>
      <c r="D32" s="4">
        <f>IF(NOMENCLATURE_GEN!D32="","",NOMENCLATURE_GEN!D32)</f>
        <v>121</v>
      </c>
      <c r="E32" s="4" t="str">
        <f ca="1">IF(NOMENCLATURE_GEN!E32="","",NOMENCLATURE_GEN!E32)</f>
        <v>A</v>
      </c>
      <c r="F32" s="4" t="str">
        <f>IF(NOMENCLATURE_GEN!F32="","",NOMENCLATURE_GEN!F32)</f>
        <v>SNF</v>
      </c>
      <c r="G32" s="154" t="str">
        <f>IF(NOMENCLATURE_GEN!G32="","",NOMENCLATURE_GEN!G32)</f>
        <v>Séparateur de non ferreux EDX - ROUE POLAIRE</v>
      </c>
      <c r="H32" s="320">
        <f>IF(NOMENCLATURE_GEN!H32="","",NOMENCLATURE_GEN!H32)</f>
        <v>1200</v>
      </c>
      <c r="I32" s="320">
        <f>IF(NOMENCLATURE_GEN!I32="","",NOMENCLATURE_GEN!I32)</f>
        <v>2500</v>
      </c>
      <c r="J32" s="321" t="str">
        <f>IF(NOMENCLATURE_GEN!J32="","",NOMENCLATURE_GEN!J32)</f>
        <v/>
      </c>
      <c r="K32" s="411" t="s">
        <v>495</v>
      </c>
      <c r="L32" s="15">
        <v>1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0" t="s">
        <v>654</v>
      </c>
      <c r="AA32" s="16"/>
      <c r="AB32" s="16">
        <v>1</v>
      </c>
      <c r="AC32" s="11" t="s">
        <v>656</v>
      </c>
      <c r="AD32" s="7"/>
      <c r="AE32" s="7"/>
    </row>
    <row r="33" spans="1:31" s="8" customFormat="1" ht="39.950000000000003" customHeight="1">
      <c r="A33" s="3"/>
      <c r="B33" s="25" t="str">
        <f>IF(NOMENCLATURE_GEN!B33="","",NOMENCLATURE_GEN!B33)</f>
        <v/>
      </c>
      <c r="C33" s="243" t="str">
        <f>IF(NOMENCLATURE_GEN!C33="","",NOMENCLATURE_GEN!C33)</f>
        <v/>
      </c>
      <c r="D33" s="4">
        <f>IF(NOMENCLATURE_GEN!D33="","",NOMENCLATURE_GEN!D33)</f>
        <v>121</v>
      </c>
      <c r="E33" s="4" t="str">
        <f ca="1">IF(NOMENCLATURE_GEN!E33="","",NOMENCLATURE_GEN!E33)</f>
        <v>B</v>
      </c>
      <c r="F33" s="4" t="str">
        <f>IF(NOMENCLATURE_GEN!F33="","",NOMENCLATURE_GEN!F33)</f>
        <v>SNF</v>
      </c>
      <c r="G33" s="154" t="str">
        <f>IF(NOMENCLATURE_GEN!G33="","",NOMENCLATURE_GEN!G33)</f>
        <v>Séparateur de non ferreux EDX - CONVOYEUR</v>
      </c>
      <c r="H33" s="320" t="str">
        <f>IF(NOMENCLATURE_GEN!H33="","",NOMENCLATURE_GEN!H33)</f>
        <v/>
      </c>
      <c r="I33" s="320" t="str">
        <f>IF(NOMENCLATURE_GEN!I33="","",NOMENCLATURE_GEN!I33)</f>
        <v/>
      </c>
      <c r="J33" s="321" t="str">
        <f>IF(NOMENCLATURE_GEN!J33="","",NOMENCLATURE_GEN!J33)</f>
        <v/>
      </c>
      <c r="K33" s="411" t="s">
        <v>495</v>
      </c>
      <c r="L33" s="9" t="s">
        <v>655</v>
      </c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>
        <v>1</v>
      </c>
      <c r="AC33" s="11" t="s">
        <v>656</v>
      </c>
      <c r="AD33" s="7"/>
      <c r="AE33" s="7"/>
    </row>
    <row r="34" spans="1:31" s="8" customFormat="1" ht="39.950000000000003" customHeight="1">
      <c r="A34" s="3"/>
      <c r="B34" s="25" t="str">
        <f>IF(NOMENCLATURE_GEN!B34="","",NOMENCLATURE_GEN!B34)</f>
        <v/>
      </c>
      <c r="C34" s="243" t="str">
        <f>IF(NOMENCLATURE_GEN!C34="","",NOMENCLATURE_GEN!C34)</f>
        <v/>
      </c>
      <c r="D34" s="4">
        <f>IF(NOMENCLATURE_GEN!D34="","",NOMENCLATURE_GEN!D34)</f>
        <v>122</v>
      </c>
      <c r="E34" s="4" t="str">
        <f ca="1">IF(NOMENCLATURE_GEN!E34="","",NOMENCLATURE_GEN!E34)</f>
        <v>A</v>
      </c>
      <c r="F34" s="4" t="str">
        <f>IF(NOMENCLATURE_GEN!F34="","",NOMENCLATURE_GEN!F34)</f>
        <v>TBE</v>
      </c>
      <c r="G34" s="154" t="str">
        <f>IF(NOMENCLATURE_GEN!G34="","",NOMENCLATURE_GEN!G34)</f>
        <v>Convoyeur de reprise des non ferreux</v>
      </c>
      <c r="H34" s="320">
        <f>IF(NOMENCLATURE_GEN!H34="","",NOMENCLATURE_GEN!H34)</f>
        <v>600</v>
      </c>
      <c r="I34" s="320">
        <f>IF(NOMENCLATURE_GEN!I34="","",NOMENCLATURE_GEN!I34)</f>
        <v>3000</v>
      </c>
      <c r="J34" s="321">
        <f>IF(NOMENCLATURE_GEN!J34="","",NOMENCLATURE_GEN!J34)</f>
        <v>0</v>
      </c>
      <c r="K34" s="411" t="s">
        <v>495</v>
      </c>
      <c r="L34" s="15">
        <v>1</v>
      </c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>
        <v>1</v>
      </c>
      <c r="AC34" s="17"/>
      <c r="AD34" s="7"/>
      <c r="AE34" s="7"/>
    </row>
    <row r="35" spans="1:31" s="8" customFormat="1" ht="39.950000000000003" customHeight="1">
      <c r="A35" s="3"/>
      <c r="B35" s="25" t="str">
        <f>IF(NOMENCLATURE_GEN!B35="","",NOMENCLATURE_GEN!B35)</f>
        <v/>
      </c>
      <c r="C35" s="243" t="str">
        <f>IF(NOMENCLATURE_GEN!C35="","",NOMENCLATURE_GEN!C35)</f>
        <v/>
      </c>
      <c r="D35" s="4">
        <f>IF(NOMENCLATURE_GEN!D35="","",NOMENCLATURE_GEN!D35)</f>
        <v>123</v>
      </c>
      <c r="E35" s="4" t="str">
        <f ca="1">IF(NOMENCLATURE_GEN!E35="","",NOMENCLATURE_GEN!E35)</f>
        <v>A</v>
      </c>
      <c r="F35" s="4" t="str">
        <f>IF(NOMENCLATURE_GEN!F35="","",NOMENCLATURE_GEN!F35)</f>
        <v>TBE</v>
      </c>
      <c r="G35" s="154" t="str">
        <f>IF(NOMENCLATURE_GEN!G35="","",NOMENCLATURE_GEN!G35)</f>
        <v>Convoyeur de centralisation des non ferreux et transfert vers benne</v>
      </c>
      <c r="H35" s="320">
        <f>IF(NOMENCLATURE_GEN!H35="","",NOMENCLATURE_GEN!H35)</f>
        <v>800</v>
      </c>
      <c r="I35" s="320">
        <f>IF(NOMENCLATURE_GEN!I35="","",NOMENCLATURE_GEN!I35)</f>
        <v>10000</v>
      </c>
      <c r="J35" s="321">
        <f>IF(NOMENCLATURE_GEN!J35="","",NOMENCLATURE_GEN!J35)</f>
        <v>20</v>
      </c>
      <c r="K35" s="411" t="s">
        <v>495</v>
      </c>
      <c r="L35" s="15">
        <v>1</v>
      </c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>
        <v>1</v>
      </c>
      <c r="AC35" s="17"/>
      <c r="AD35" s="7"/>
      <c r="AE35" s="7"/>
    </row>
    <row r="36" spans="1:31" s="8" customFormat="1" ht="39.950000000000003" customHeight="1">
      <c r="A36" s="3"/>
      <c r="B36" s="25" t="str">
        <f>IF(NOMENCLATURE_GEN!B36="","",NOMENCLATURE_GEN!B36)</f>
        <v/>
      </c>
      <c r="C36" s="243" t="str">
        <f>IF(NOMENCLATURE_GEN!C36="","",NOMENCLATURE_GEN!C36)</f>
        <v/>
      </c>
      <c r="D36" s="4">
        <f>IF(NOMENCLATURE_GEN!D36="","",NOMENCLATURE_GEN!D36)</f>
        <v>124</v>
      </c>
      <c r="E36" s="4" t="str">
        <f ca="1">IF(NOMENCLATURE_GEN!E36="","",NOMENCLATURE_GEN!E36)</f>
        <v>A</v>
      </c>
      <c r="F36" s="4" t="str">
        <f>IF(NOMENCLATURE_GEN!F36="","",NOMENCLATURE_GEN!F36)</f>
        <v>TBE</v>
      </c>
      <c r="G36" s="154" t="str">
        <f>IF(NOMENCLATURE_GEN!G36="","",NOMENCLATURE_GEN!G36)</f>
        <v>Convoyeur navette double sens de remplissage de la benne</v>
      </c>
      <c r="H36" s="320">
        <f>IF(NOMENCLATURE_GEN!H36="","",NOMENCLATURE_GEN!H36)</f>
        <v>800</v>
      </c>
      <c r="I36" s="320">
        <f>IF(NOMENCLATURE_GEN!I36="","",NOMENCLATURE_GEN!I36)</f>
        <v>3000</v>
      </c>
      <c r="J36" s="321">
        <f>IF(NOMENCLATURE_GEN!J36="","",NOMENCLATURE_GEN!J36)</f>
        <v>0</v>
      </c>
      <c r="K36" s="411" t="s">
        <v>495</v>
      </c>
      <c r="L36" s="15">
        <v>1</v>
      </c>
      <c r="M36" s="16"/>
      <c r="N36" s="16"/>
      <c r="O36" s="16"/>
      <c r="P36" s="16"/>
      <c r="Q36" s="16"/>
      <c r="R36" s="16"/>
      <c r="S36" s="16"/>
      <c r="T36" s="16"/>
      <c r="U36" s="16"/>
      <c r="V36" s="16">
        <v>2</v>
      </c>
      <c r="W36" s="16"/>
      <c r="X36" s="16"/>
      <c r="Y36" s="16"/>
      <c r="Z36" s="16"/>
      <c r="AA36" s="16"/>
      <c r="AB36" s="16">
        <v>2</v>
      </c>
      <c r="AC36" s="17"/>
      <c r="AD36" s="7"/>
      <c r="AE36" s="7"/>
    </row>
    <row r="37" spans="1:31" s="8" customFormat="1" ht="39.950000000000003" customHeight="1">
      <c r="A37" s="3"/>
      <c r="B37" s="25" t="str">
        <f>IF(NOMENCLATURE_GEN!B37="","",NOMENCLATURE_GEN!B37)</f>
        <v/>
      </c>
      <c r="C37" s="243" t="str">
        <f>IF(NOMENCLATURE_GEN!C37="","",NOMENCLATURE_GEN!C37)</f>
        <v/>
      </c>
      <c r="D37" s="4">
        <f>IF(NOMENCLATURE_GEN!D37="","",NOMENCLATURE_GEN!D37)</f>
        <v>125</v>
      </c>
      <c r="E37" s="4" t="str">
        <f ca="1">IF(NOMENCLATURE_GEN!E37="","",NOMENCLATURE_GEN!E37)</f>
        <v>A</v>
      </c>
      <c r="F37" s="4" t="str">
        <f>IF(NOMENCLATURE_GEN!F37="","",NOMENCLATURE_GEN!F37)</f>
        <v>CBA</v>
      </c>
      <c r="G37" s="154" t="str">
        <f>IF(NOMENCLATURE_GEN!G37="","",NOMENCLATURE_GEN!G37)</f>
        <v>Convoyeur de reprise des refus 30-180mm sous snf</v>
      </c>
      <c r="H37" s="320">
        <f>IF(NOMENCLATURE_GEN!H37="","",NOMENCLATURE_GEN!H37)</f>
        <v>1000</v>
      </c>
      <c r="I37" s="320">
        <f>IF(NOMENCLATURE_GEN!I37="","",NOMENCLATURE_GEN!I37)</f>
        <v>7500</v>
      </c>
      <c r="J37" s="321">
        <f>IF(NOMENCLATURE_GEN!J37="","",NOMENCLATURE_GEN!J37)</f>
        <v>14</v>
      </c>
      <c r="K37" s="411" t="s">
        <v>495</v>
      </c>
      <c r="L37" s="15">
        <v>1</v>
      </c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>
        <v>1</v>
      </c>
      <c r="AC37" s="17"/>
      <c r="AD37" s="7"/>
      <c r="AE37" s="7"/>
    </row>
    <row r="38" spans="1:31" s="8" customFormat="1" ht="39.950000000000003" customHeight="1">
      <c r="A38" s="3"/>
      <c r="B38" s="25" t="str">
        <f>IF(NOMENCLATURE_GEN!B38="","",NOMENCLATURE_GEN!B38)</f>
        <v/>
      </c>
      <c r="C38" s="243" t="str">
        <f>IF(NOMENCLATURE_GEN!C38="","",NOMENCLATURE_GEN!C38)</f>
        <v/>
      </c>
      <c r="D38" s="4">
        <f>IF(NOMENCLATURE_GEN!D38="","",NOMENCLATURE_GEN!D38)</f>
        <v>126</v>
      </c>
      <c r="E38" s="4" t="str">
        <f ca="1">IF(NOMENCLATURE_GEN!E38="","",NOMENCLATURE_GEN!E38)</f>
        <v>A</v>
      </c>
      <c r="F38" s="4" t="str">
        <f>IF(NOMENCLATURE_GEN!F38="","",NOMENCLATURE_GEN!F38)</f>
        <v>CBA</v>
      </c>
      <c r="G38" s="154" t="str">
        <f>IF(NOMENCLATURE_GEN!G38="","",NOMENCLATURE_GEN!G38)</f>
        <v>Convoyeur de transfert des refus 30-180mm</v>
      </c>
      <c r="H38" s="320">
        <f>IF(NOMENCLATURE_GEN!H38="","",NOMENCLATURE_GEN!H38)</f>
        <v>1000</v>
      </c>
      <c r="I38" s="320">
        <f>IF(NOMENCLATURE_GEN!I38="","",NOMENCLATURE_GEN!I38)</f>
        <v>14250</v>
      </c>
      <c r="J38" s="321">
        <f>IF(NOMENCLATURE_GEN!J38="","",NOMENCLATURE_GEN!J38)</f>
        <v>10</v>
      </c>
      <c r="K38" s="411" t="s">
        <v>495</v>
      </c>
      <c r="L38" s="15">
        <v>1</v>
      </c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>
        <v>1</v>
      </c>
      <c r="AC38" s="17"/>
      <c r="AD38" s="7"/>
      <c r="AE38" s="7"/>
    </row>
    <row r="39" spans="1:31" s="8" customFormat="1" ht="39.950000000000003" customHeight="1">
      <c r="A39" s="3"/>
      <c r="B39" s="25" t="str">
        <f>IF(NOMENCLATURE_GEN!B39="","",NOMENCLATURE_GEN!B39)</f>
        <v/>
      </c>
      <c r="C39" s="243" t="str">
        <f>IF(NOMENCLATURE_GEN!C39="","",NOMENCLATURE_GEN!C39)</f>
        <v/>
      </c>
      <c r="D39" s="4">
        <f>IF(NOMENCLATURE_GEN!D39="","",NOMENCLATURE_GEN!D39)</f>
        <v>127</v>
      </c>
      <c r="E39" s="4" t="str">
        <f ca="1">IF(NOMENCLATURE_GEN!E39="","",NOMENCLATURE_GEN!E39)</f>
        <v>A</v>
      </c>
      <c r="F39" s="4" t="str">
        <f>IF(NOMENCLATURE_GEN!F39="","",NOMENCLATURE_GEN!F39)</f>
        <v>TBE</v>
      </c>
      <c r="G39" s="154" t="str">
        <f>IF(NOMENCLATURE_GEN!G39="","",NOMENCLATURE_GEN!G39)</f>
        <v>Convoyeur de reprise des aciers 30-180mm</v>
      </c>
      <c r="H39" s="320">
        <f>IF(NOMENCLATURE_GEN!H39="","",NOMENCLATURE_GEN!H39)</f>
        <v>600</v>
      </c>
      <c r="I39" s="320">
        <f>IF(NOMENCLATURE_GEN!I39="","",NOMENCLATURE_GEN!I39)</f>
        <v>3750</v>
      </c>
      <c r="J39" s="321">
        <f>IF(NOMENCLATURE_GEN!J39="","",NOMENCLATURE_GEN!J39)</f>
        <v>10</v>
      </c>
      <c r="K39" s="411" t="s">
        <v>495</v>
      </c>
      <c r="L39" s="15">
        <v>1</v>
      </c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>
        <v>1</v>
      </c>
      <c r="AC39" s="17"/>
      <c r="AD39" s="7"/>
      <c r="AE39" s="7"/>
    </row>
    <row r="40" spans="1:31" s="8" customFormat="1" ht="39.950000000000003" customHeight="1">
      <c r="A40" s="3"/>
      <c r="B40" s="25" t="str">
        <f>IF(NOMENCLATURE_GEN!B40="","",NOMENCLATURE_GEN!B40)</f>
        <v/>
      </c>
      <c r="C40" s="243" t="str">
        <f>IF(NOMENCLATURE_GEN!C40="","",NOMENCLATURE_GEN!C40)</f>
        <v/>
      </c>
      <c r="D40" s="4">
        <f>IF(NOMENCLATURE_GEN!D40="","",NOMENCLATURE_GEN!D40)</f>
        <v>128</v>
      </c>
      <c r="E40" s="4" t="str">
        <f ca="1">IF(NOMENCLATURE_GEN!E40="","",NOMENCLATURE_GEN!E40)</f>
        <v>A</v>
      </c>
      <c r="F40" s="4" t="str">
        <f>IF(NOMENCLATURE_GEN!F40="","",NOMENCLATURE_GEN!F40)</f>
        <v>GLT</v>
      </c>
      <c r="G40" s="154" t="str">
        <f>IF(NOMENCLATURE_GEN!G40="","",NOMENCLATURE_GEN!G40)</f>
        <v>Goulotte by-pass (ligne de broyage des fe ou benne de stokage)</v>
      </c>
      <c r="H40" s="320" t="str">
        <f>IF(NOMENCLATURE_GEN!H40="","",NOMENCLATURE_GEN!H40)</f>
        <v/>
      </c>
      <c r="I40" s="320" t="str">
        <f>IF(NOMENCLATURE_GEN!I40="","",NOMENCLATURE_GEN!I40)</f>
        <v/>
      </c>
      <c r="J40" s="321" t="str">
        <f>IF(NOMENCLATURE_GEN!J40="","",NOMENCLATURE_GEN!J40)</f>
        <v/>
      </c>
      <c r="K40" s="411" t="s">
        <v>495</v>
      </c>
      <c r="L40" s="15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0" t="s">
        <v>676</v>
      </c>
      <c r="X40" s="16"/>
      <c r="Y40" s="16"/>
      <c r="Z40" s="16"/>
      <c r="AA40" s="16"/>
      <c r="AB40" s="16">
        <v>2</v>
      </c>
      <c r="AC40" s="11" t="s">
        <v>657</v>
      </c>
      <c r="AD40" s="7"/>
      <c r="AE40" s="7"/>
    </row>
    <row r="41" spans="1:31" s="8" customFormat="1" ht="39.950000000000003" hidden="1" customHeight="1">
      <c r="A41" s="3"/>
      <c r="B41" s="25" t="str">
        <f>IF(NOMENCLATURE_GEN!B41="","",NOMENCLATURE_GEN!B41)</f>
        <v>SUP</v>
      </c>
      <c r="C41" s="243" t="str">
        <f>IF(NOMENCLATURE_GEN!C41="","",NOMENCLATURE_GEN!C41)</f>
        <v/>
      </c>
      <c r="D41" s="4">
        <f>IF(NOMENCLATURE_GEN!D41="","",NOMENCLATURE_GEN!D41)</f>
        <v>129</v>
      </c>
      <c r="E41" s="4" t="str">
        <f ca="1">IF(NOMENCLATURE_GEN!E41="","",NOMENCLATURE_GEN!E41)</f>
        <v>A</v>
      </c>
      <c r="F41" s="4" t="str">
        <f>IF(NOMENCLATURE_GEN!F41="","",NOMENCLATURE_GEN!F41)</f>
        <v>TRE</v>
      </c>
      <c r="G41" s="154" t="str">
        <f>IF(NOMENCLATURE_GEN!G41="","",NOMENCLATURE_GEN!G41)</f>
        <v>Trémie des passants sous trommel secondaire</v>
      </c>
      <c r="H41" s="320" t="str">
        <f>IF(NOMENCLATURE_GEN!H41="","",NOMENCLATURE_GEN!H41)</f>
        <v/>
      </c>
      <c r="I41" s="320" t="str">
        <f>IF(NOMENCLATURE_GEN!I41="","",NOMENCLATURE_GEN!I41)</f>
        <v/>
      </c>
      <c r="J41" s="321" t="str">
        <f>IF(NOMENCLATURE_GEN!J41="","",NOMENCLATURE_GEN!J41)</f>
        <v/>
      </c>
      <c r="K41" s="411" t="s">
        <v>494</v>
      </c>
      <c r="L41" s="15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7"/>
      <c r="AD41" s="7"/>
      <c r="AE41" s="7"/>
    </row>
    <row r="42" spans="1:31" s="8" customFormat="1" ht="39.950000000000003" customHeight="1">
      <c r="A42" s="3"/>
      <c r="B42" s="25" t="str">
        <f>IF(NOMENCLATURE_GEN!B42="","",NOMENCLATURE_GEN!B42)</f>
        <v/>
      </c>
      <c r="C42" s="243" t="str">
        <f>IF(NOMENCLATURE_GEN!C42="","",NOMENCLATURE_GEN!C42)</f>
        <v/>
      </c>
      <c r="D42" s="4">
        <f>IF(NOMENCLATURE_GEN!D42="","",NOMENCLATURE_GEN!D42)</f>
        <v>130</v>
      </c>
      <c r="E42" s="4" t="str">
        <f ca="1">IF(NOMENCLATURE_GEN!E42="","",NOMENCLATURE_GEN!E42)</f>
        <v>A</v>
      </c>
      <c r="F42" s="4" t="str">
        <f>IF(NOMENCLATURE_GEN!F42="","",NOMENCLATURE_GEN!F42)</f>
        <v>CBA</v>
      </c>
      <c r="G42" s="154" t="str">
        <f>IF(NOMENCLATURE_GEN!G42="","",NOMENCLATURE_GEN!G42)</f>
        <v>Convoyeur de reprise de la fraction 0-30mm</v>
      </c>
      <c r="H42" s="320">
        <f>IF(NOMENCLATURE_GEN!H42="","",NOMENCLATURE_GEN!H42)</f>
        <v>1400</v>
      </c>
      <c r="I42" s="320">
        <f>IF(NOMENCLATURE_GEN!I42="","",NOMENCLATURE_GEN!I42)</f>
        <v>7750</v>
      </c>
      <c r="J42" s="321">
        <f>IF(NOMENCLATURE_GEN!J42="","",NOMENCLATURE_GEN!J42)</f>
        <v>0</v>
      </c>
      <c r="K42" s="411" t="s">
        <v>495</v>
      </c>
      <c r="L42" s="15">
        <v>1</v>
      </c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>
        <v>1</v>
      </c>
      <c r="AC42" s="17"/>
      <c r="AD42" s="7"/>
      <c r="AE42" s="7"/>
    </row>
    <row r="43" spans="1:31" s="8" customFormat="1" ht="39.950000000000003" customHeight="1">
      <c r="A43" s="3"/>
      <c r="B43" s="25" t="str">
        <f>IF(NOMENCLATURE_GEN!B43="","",NOMENCLATURE_GEN!B43)</f>
        <v/>
      </c>
      <c r="C43" s="243" t="str">
        <f>IF(NOMENCLATURE_GEN!C43="","",NOMENCLATURE_GEN!C43)</f>
        <v/>
      </c>
      <c r="D43" s="4">
        <f>IF(NOMENCLATURE_GEN!D43="","",NOMENCLATURE_GEN!D43)</f>
        <v>131</v>
      </c>
      <c r="E43" s="4" t="str">
        <f ca="1">IF(NOMENCLATURE_GEN!E43="","",NOMENCLATURE_GEN!E43)</f>
        <v>A</v>
      </c>
      <c r="F43" s="4" t="str">
        <f>IF(NOMENCLATURE_GEN!F43="","",NOMENCLATURE_GEN!F43)</f>
        <v>CBA</v>
      </c>
      <c r="G43" s="154" t="str">
        <f>IF(NOMENCLATURE_GEN!G43="","",NOMENCLATURE_GEN!G43)</f>
        <v>Convoyeur de reprise de la fraction 0-30mm, tête inox + zone inox</v>
      </c>
      <c r="H43" s="320">
        <f>IF(NOMENCLATURE_GEN!H43="","",NOMENCLATURE_GEN!H43)</f>
        <v>1200</v>
      </c>
      <c r="I43" s="320">
        <f>IF(NOMENCLATURE_GEN!I43="","",NOMENCLATURE_GEN!I43)</f>
        <v>8250</v>
      </c>
      <c r="J43" s="321">
        <f>IF(NOMENCLATURE_GEN!J43="","",NOMENCLATURE_GEN!J43)</f>
        <v>19</v>
      </c>
      <c r="K43" s="411" t="s">
        <v>495</v>
      </c>
      <c r="L43" s="15">
        <v>1</v>
      </c>
      <c r="M43" s="16"/>
      <c r="N43" s="16"/>
      <c r="O43" s="16"/>
      <c r="P43" s="16"/>
      <c r="Q43" s="16"/>
      <c r="R43" s="16"/>
      <c r="S43" s="16"/>
      <c r="T43" s="16">
        <v>2</v>
      </c>
      <c r="U43" s="16"/>
      <c r="V43" s="16"/>
      <c r="W43" s="16"/>
      <c r="X43" s="16"/>
      <c r="Y43" s="16"/>
      <c r="Z43" s="16"/>
      <c r="AA43" s="16"/>
      <c r="AB43" s="16">
        <v>1</v>
      </c>
      <c r="AC43" s="17"/>
      <c r="AD43" s="7"/>
      <c r="AE43" s="7"/>
    </row>
    <row r="44" spans="1:31" s="8" customFormat="1" ht="39.950000000000003" customHeight="1">
      <c r="A44" s="3"/>
      <c r="B44" s="25" t="str">
        <f>IF(NOMENCLATURE_GEN!B44="","",NOMENCLATURE_GEN!B44)</f>
        <v/>
      </c>
      <c r="C44" s="243" t="str">
        <f>IF(NOMENCLATURE_GEN!C44="","",NOMENCLATURE_GEN!C44)</f>
        <v/>
      </c>
      <c r="D44" s="4">
        <f>IF(NOMENCLATURE_GEN!D44="","",NOMENCLATURE_GEN!D44)</f>
        <v>132</v>
      </c>
      <c r="E44" s="4" t="str">
        <f ca="1">IF(NOMENCLATURE_GEN!E44="","",NOMENCLATURE_GEN!E44)</f>
        <v>A</v>
      </c>
      <c r="F44" s="4" t="str">
        <f>IF(NOMENCLATURE_GEN!F44="","",NOMENCLATURE_GEN!F44)</f>
        <v>OVB</v>
      </c>
      <c r="G44" s="154" t="str">
        <f>IF(NOMENCLATURE_GEN!G44="","",NOMENCLATURE_GEN!G44)</f>
        <v>Séparateur magnétique à aimant permament</v>
      </c>
      <c r="H44" s="320">
        <f>IF(NOMENCLATURE_GEN!H44="","",NOMENCLATURE_GEN!H44)</f>
        <v>1200</v>
      </c>
      <c r="I44" s="320">
        <f>IF(NOMENCLATURE_GEN!I44="","",NOMENCLATURE_GEN!I44)</f>
        <v>1200</v>
      </c>
      <c r="J44" s="321" t="str">
        <f>IF(NOMENCLATURE_GEN!J44="","",NOMENCLATURE_GEN!J44)</f>
        <v/>
      </c>
      <c r="K44" s="411" t="s">
        <v>495</v>
      </c>
      <c r="L44" s="15">
        <v>1</v>
      </c>
      <c r="M44" s="16"/>
      <c r="N44" s="16">
        <v>1</v>
      </c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>
        <v>1</v>
      </c>
      <c r="AC44" s="17"/>
      <c r="AD44" s="7"/>
      <c r="AE44" s="7"/>
    </row>
    <row r="45" spans="1:31" s="8" customFormat="1" ht="39.950000000000003" hidden="1" customHeight="1">
      <c r="A45" s="3"/>
      <c r="B45" s="25" t="str">
        <f>IF(NOMENCLATURE_GEN!B45="","",NOMENCLATURE_GEN!B45)</f>
        <v/>
      </c>
      <c r="C45" s="243" t="str">
        <f>IF(NOMENCLATURE_GEN!C45="","",NOMENCLATURE_GEN!C45)</f>
        <v/>
      </c>
      <c r="D45" s="4">
        <f>IF(NOMENCLATURE_GEN!D45="","",NOMENCLATURE_GEN!D45)</f>
        <v>133</v>
      </c>
      <c r="E45" s="4" t="str">
        <f ca="1">IF(NOMENCLATURE_GEN!E45="","",NOMENCLATURE_GEN!E45)</f>
        <v>A</v>
      </c>
      <c r="F45" s="4" t="str">
        <f>IF(NOMENCLATURE_GEN!F45="","",NOMENCLATURE_GEN!F45)</f>
        <v>PMP</v>
      </c>
      <c r="G45" s="154" t="str">
        <f>IF(NOMENCLATURE_GEN!G45="","",NOMENCLATURE_GEN!G45)</f>
        <v>Poulie magnétique</v>
      </c>
      <c r="H45" s="320">
        <f>IF(NOMENCLATURE_GEN!H45="","",NOMENCLATURE_GEN!H45)</f>
        <v>1200</v>
      </c>
      <c r="I45" s="320" t="str">
        <f>IF(NOMENCLATURE_GEN!I45="","",NOMENCLATURE_GEN!I45)</f>
        <v/>
      </c>
      <c r="J45" s="321" t="str">
        <f>IF(NOMENCLATURE_GEN!J45="","",NOMENCLATURE_GEN!J45)</f>
        <v/>
      </c>
      <c r="K45" s="411" t="s">
        <v>494</v>
      </c>
      <c r="L45" s="15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7"/>
      <c r="AD45" s="7"/>
      <c r="AE45" s="7"/>
    </row>
    <row r="46" spans="1:31" s="8" customFormat="1" ht="39.950000000000003" customHeight="1">
      <c r="A46" s="3"/>
      <c r="B46" s="25" t="str">
        <f>IF(NOMENCLATURE_GEN!B46="","",NOMENCLATURE_GEN!B46)</f>
        <v/>
      </c>
      <c r="C46" s="243" t="str">
        <f>IF(NOMENCLATURE_GEN!C46="","",NOMENCLATURE_GEN!C46)</f>
        <v/>
      </c>
      <c r="D46" s="4">
        <f>IF(NOMENCLATURE_GEN!D46="","",NOMENCLATURE_GEN!D46)</f>
        <v>134</v>
      </c>
      <c r="E46" s="4" t="str">
        <f ca="1">IF(NOMENCLATURE_GEN!E46="","",NOMENCLATURE_GEN!E46)</f>
        <v>A</v>
      </c>
      <c r="F46" s="4" t="str">
        <f>IF(NOMENCLATURE_GEN!F46="","",NOMENCLATURE_GEN!F46)</f>
        <v>SNF</v>
      </c>
      <c r="G46" s="154" t="str">
        <f>IF(NOMENCLATURE_GEN!G46="","",NOMENCLATURE_GEN!G46)</f>
        <v>Séparateur de non ferreux type SMAR - ROUE POLAIRE</v>
      </c>
      <c r="H46" s="320">
        <f>IF(NOMENCLATURE_GEN!H46="","",NOMENCLATURE_GEN!H46)</f>
        <v>1200</v>
      </c>
      <c r="I46" s="320">
        <f>IF(NOMENCLATURE_GEN!I46="","",NOMENCLATURE_GEN!I46)</f>
        <v>2500</v>
      </c>
      <c r="J46" s="321" t="str">
        <f>IF(NOMENCLATURE_GEN!J46="","",NOMENCLATURE_GEN!J46)</f>
        <v/>
      </c>
      <c r="K46" s="411" t="s">
        <v>495</v>
      </c>
      <c r="L46" s="15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0" t="s">
        <v>658</v>
      </c>
      <c r="AA46" s="16"/>
      <c r="AB46" s="16">
        <v>1</v>
      </c>
      <c r="AC46" s="11" t="s">
        <v>656</v>
      </c>
      <c r="AD46" s="7"/>
      <c r="AE46" s="7"/>
    </row>
    <row r="47" spans="1:31" s="8" customFormat="1" ht="39.950000000000003" customHeight="1">
      <c r="A47" s="3"/>
      <c r="B47" s="25" t="str">
        <f>IF(NOMENCLATURE_GEN!B47="","",NOMENCLATURE_GEN!B47)</f>
        <v/>
      </c>
      <c r="C47" s="243" t="str">
        <f>IF(NOMENCLATURE_GEN!C47="","",NOMENCLATURE_GEN!C47)</f>
        <v/>
      </c>
      <c r="D47" s="4">
        <f>IF(NOMENCLATURE_GEN!D47="","",NOMENCLATURE_GEN!D47)</f>
        <v>134</v>
      </c>
      <c r="E47" s="4" t="str">
        <f ca="1">IF(NOMENCLATURE_GEN!E47="","",NOMENCLATURE_GEN!E47)</f>
        <v>B</v>
      </c>
      <c r="F47" s="4" t="str">
        <f>IF(NOMENCLATURE_GEN!F47="","",NOMENCLATURE_GEN!F47)</f>
        <v>SNF</v>
      </c>
      <c r="G47" s="154" t="str">
        <f>IF(NOMENCLATURE_GEN!G47="","",NOMENCLATURE_GEN!G47)</f>
        <v>Séparateur de non ferreux type SMAR - CONVOYEUR</v>
      </c>
      <c r="H47" s="320" t="str">
        <f>IF(NOMENCLATURE_GEN!H47="","",NOMENCLATURE_GEN!H47)</f>
        <v/>
      </c>
      <c r="I47" s="320" t="str">
        <f>IF(NOMENCLATURE_GEN!I47="","",NOMENCLATURE_GEN!I47)</f>
        <v/>
      </c>
      <c r="J47" s="321" t="str">
        <f>IF(NOMENCLATURE_GEN!J47="","",NOMENCLATURE_GEN!J47)</f>
        <v/>
      </c>
      <c r="K47" s="411" t="s">
        <v>495</v>
      </c>
      <c r="L47" s="15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7"/>
      <c r="AD47" s="7"/>
      <c r="AE47" s="7"/>
    </row>
    <row r="48" spans="1:31" s="8" customFormat="1" ht="39.950000000000003" customHeight="1">
      <c r="A48" s="3"/>
      <c r="B48" s="25" t="str">
        <f>IF(NOMENCLATURE_GEN!B48="","",NOMENCLATURE_GEN!B48)</f>
        <v/>
      </c>
      <c r="C48" s="243" t="str">
        <f>IF(NOMENCLATURE_GEN!C48="","",NOMENCLATURE_GEN!C48)</f>
        <v/>
      </c>
      <c r="D48" s="4">
        <f>IF(NOMENCLATURE_GEN!D48="","",NOMENCLATURE_GEN!D48)</f>
        <v>135</v>
      </c>
      <c r="E48" s="4" t="str">
        <f ca="1">IF(NOMENCLATURE_GEN!E48="","",NOMENCLATURE_GEN!E48)</f>
        <v>A</v>
      </c>
      <c r="F48" s="4" t="str">
        <f>IF(NOMENCLATURE_GEN!F48="","",NOMENCLATURE_GEN!F48)</f>
        <v>TBE</v>
      </c>
      <c r="G48" s="154" t="str">
        <f>IF(NOMENCLATURE_GEN!G48="","",NOMENCLATURE_GEN!G48)</f>
        <v>Convoyeur de reprise des non ferreux</v>
      </c>
      <c r="H48" s="320">
        <f>IF(NOMENCLATURE_GEN!H48="","",NOMENCLATURE_GEN!H48)</f>
        <v>600</v>
      </c>
      <c r="I48" s="320">
        <f>IF(NOMENCLATURE_GEN!I48="","",NOMENCLATURE_GEN!I48)</f>
        <v>3750</v>
      </c>
      <c r="J48" s="321">
        <f>IF(NOMENCLATURE_GEN!J48="","",NOMENCLATURE_GEN!J48)</f>
        <v>0</v>
      </c>
      <c r="K48" s="411" t="s">
        <v>495</v>
      </c>
      <c r="L48" s="15">
        <v>1</v>
      </c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>
        <v>1</v>
      </c>
      <c r="AC48" s="17"/>
      <c r="AD48" s="7"/>
      <c r="AE48" s="7"/>
    </row>
    <row r="49" spans="1:31" s="8" customFormat="1" ht="39.950000000000003" hidden="1" customHeight="1">
      <c r="A49" s="3"/>
      <c r="B49" s="25" t="str">
        <f>IF(NOMENCLATURE_GEN!B49="","",NOMENCLATURE_GEN!B49)</f>
        <v>SUP</v>
      </c>
      <c r="C49" s="243" t="str">
        <f>IF(NOMENCLATURE_GEN!C49="","",NOMENCLATURE_GEN!C49)</f>
        <v/>
      </c>
      <c r="D49" s="4">
        <f>IF(NOMENCLATURE_GEN!D49="","",NOMENCLATURE_GEN!D49)</f>
        <v>136</v>
      </c>
      <c r="E49" s="4" t="str">
        <f ca="1">IF(NOMENCLATURE_GEN!E49="","",NOMENCLATURE_GEN!E49)</f>
        <v>A</v>
      </c>
      <c r="F49" s="4" t="str">
        <f>IF(NOMENCLATURE_GEN!F49="","",NOMENCLATURE_GEN!F49)</f>
        <v>CON</v>
      </c>
      <c r="G49" s="154" t="str">
        <f>IF(NOMENCLATURE_GEN!G49="","",NOMENCLATURE_GEN!G49)</f>
        <v>Cone de répartition du flux 0-30mm sous SNF</v>
      </c>
      <c r="H49" s="320" t="str">
        <f>IF(NOMENCLATURE_GEN!H49="","",NOMENCLATURE_GEN!H49)</f>
        <v/>
      </c>
      <c r="I49" s="320" t="str">
        <f>IF(NOMENCLATURE_GEN!I49="","",NOMENCLATURE_GEN!I49)</f>
        <v/>
      </c>
      <c r="J49" s="321" t="str">
        <f>IF(NOMENCLATURE_GEN!J49="","",NOMENCLATURE_GEN!J49)</f>
        <v/>
      </c>
      <c r="K49" s="411" t="s">
        <v>494</v>
      </c>
      <c r="L49" s="15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7"/>
      <c r="AD49" s="7"/>
      <c r="AE49" s="7"/>
    </row>
    <row r="50" spans="1:31" s="8" customFormat="1" ht="39.950000000000003" customHeight="1">
      <c r="A50" s="3"/>
      <c r="B50" s="25" t="str">
        <f>IF(NOMENCLATURE_GEN!B50="","",NOMENCLATURE_GEN!B50)</f>
        <v/>
      </c>
      <c r="C50" s="243" t="str">
        <f>IF(NOMENCLATURE_GEN!C50="","",NOMENCLATURE_GEN!C50)</f>
        <v/>
      </c>
      <c r="D50" s="4">
        <f>IF(NOMENCLATURE_GEN!D50="","",NOMENCLATURE_GEN!D50)</f>
        <v>137</v>
      </c>
      <c r="E50" s="4" t="str">
        <f ca="1">IF(NOMENCLATURE_GEN!E50="","",NOMENCLATURE_GEN!E50)</f>
        <v>A</v>
      </c>
      <c r="F50" s="4" t="str">
        <f>IF(NOMENCLATURE_GEN!F50="","",NOMENCLATURE_GEN!F50)</f>
        <v>CBA</v>
      </c>
      <c r="G50" s="154" t="str">
        <f>IF(NOMENCLATURE_GEN!G50="","",NOMENCLATURE_GEN!G50)</f>
        <v>Convoyeur de transfert de la fraction 0-30mm vers tapis balistique 1</v>
      </c>
      <c r="H50" s="320">
        <f>IF(NOMENCLATURE_GEN!H50="","",NOMENCLATURE_GEN!H50)</f>
        <v>1600</v>
      </c>
      <c r="I50" s="320">
        <f>IF(NOMENCLATURE_GEN!I50="","",NOMENCLATURE_GEN!I50)</f>
        <v>21250</v>
      </c>
      <c r="J50" s="321">
        <f>IF(NOMENCLATURE_GEN!J50="","",NOMENCLATURE_GEN!J50)</f>
        <v>20</v>
      </c>
      <c r="K50" s="411" t="s">
        <v>495</v>
      </c>
      <c r="L50" s="15">
        <v>1</v>
      </c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>
        <v>1</v>
      </c>
      <c r="AC50" s="17"/>
      <c r="AD50" s="7"/>
      <c r="AE50" s="7"/>
    </row>
    <row r="51" spans="1:31" s="8" customFormat="1" ht="39.950000000000003" customHeight="1">
      <c r="A51" s="3"/>
      <c r="B51" s="25" t="str">
        <f>IF(NOMENCLATURE_GEN!B51="","",NOMENCLATURE_GEN!B51)</f>
        <v/>
      </c>
      <c r="C51" s="243" t="str">
        <f>IF(NOMENCLATURE_GEN!C51="","",NOMENCLATURE_GEN!C51)</f>
        <v/>
      </c>
      <c r="D51" s="4">
        <f>IF(NOMENCLATURE_GEN!D51="","",NOMENCLATURE_GEN!D51)</f>
        <v>138</v>
      </c>
      <c r="E51" s="4" t="str">
        <f ca="1">IF(NOMENCLATURE_GEN!E51="","",NOMENCLATURE_GEN!E51)</f>
        <v>A</v>
      </c>
      <c r="F51" s="4" t="str">
        <f>IF(NOMENCLATURE_GEN!F51="","",NOMENCLATURE_GEN!F51)</f>
        <v>BAL</v>
      </c>
      <c r="G51" s="154" t="str">
        <f>IF(NOMENCLATURE_GEN!G51="","",NOMENCLATURE_GEN!G51)</f>
        <v>Tapis balistique simple</v>
      </c>
      <c r="H51" s="320">
        <f>IF(NOMENCLATURE_GEN!H51="","",NOMENCLATURE_GEN!H51)</f>
        <v>1800</v>
      </c>
      <c r="I51" s="320">
        <f>IF(NOMENCLATURE_GEN!I51="","",NOMENCLATURE_GEN!I51)</f>
        <v>2500</v>
      </c>
      <c r="J51" s="321">
        <f>IF(NOMENCLATURE_GEN!J51="","",NOMENCLATURE_GEN!J51)</f>
        <v>0</v>
      </c>
      <c r="K51" s="411" t="s">
        <v>495</v>
      </c>
      <c r="L51" s="15">
        <v>1</v>
      </c>
      <c r="M51" s="16"/>
      <c r="N51" s="16"/>
      <c r="O51" s="16">
        <v>1</v>
      </c>
      <c r="P51" s="16">
        <v>2</v>
      </c>
      <c r="Q51" s="16"/>
      <c r="R51" s="16"/>
      <c r="S51" s="16">
        <v>2</v>
      </c>
      <c r="T51" s="16"/>
      <c r="U51" s="16"/>
      <c r="V51" s="16"/>
      <c r="W51" s="16"/>
      <c r="X51" s="16"/>
      <c r="Y51" s="16">
        <v>1</v>
      </c>
      <c r="Z51" s="18"/>
      <c r="AA51" s="16"/>
      <c r="AB51" s="16">
        <v>2</v>
      </c>
      <c r="AC51" s="11" t="s">
        <v>659</v>
      </c>
      <c r="AD51" s="7"/>
      <c r="AE51" s="7"/>
    </row>
    <row r="52" spans="1:31" s="8" customFormat="1" ht="39.950000000000003" customHeight="1">
      <c r="A52" s="3"/>
      <c r="B52" s="25" t="str">
        <f>IF(NOMENCLATURE_GEN!B52="","",NOMENCLATURE_GEN!B52)</f>
        <v/>
      </c>
      <c r="C52" s="243" t="str">
        <f>IF(NOMENCLATURE_GEN!C52="","",NOMENCLATURE_GEN!C52)</f>
        <v/>
      </c>
      <c r="D52" s="4">
        <f>IF(NOMENCLATURE_GEN!D52="","",NOMENCLATURE_GEN!D52)</f>
        <v>139</v>
      </c>
      <c r="E52" s="4" t="str">
        <f ca="1">IF(NOMENCLATURE_GEN!E52="","",NOMENCLATURE_GEN!E52)</f>
        <v>A</v>
      </c>
      <c r="F52" s="4" t="str">
        <f>IF(NOMENCLATURE_GEN!F52="","",NOMENCLATURE_GEN!F52)</f>
        <v>CBA</v>
      </c>
      <c r="G52" s="154" t="str">
        <f>IF(NOMENCLATURE_GEN!G52="","",NOMENCLATURE_GEN!G52)</f>
        <v>Convoyeur de reprise des légers et transfert vers crible trampoline</v>
      </c>
      <c r="H52" s="320">
        <f>IF(NOMENCLATURE_GEN!H52="","",NOMENCLATURE_GEN!H52)</f>
        <v>1600</v>
      </c>
      <c r="I52" s="320">
        <f>IF(NOMENCLATURE_GEN!I52="","",NOMENCLATURE_GEN!I52)</f>
        <v>11500</v>
      </c>
      <c r="J52" s="321">
        <f>IF(NOMENCLATURE_GEN!J52="","",NOMENCLATURE_GEN!J52)</f>
        <v>23</v>
      </c>
      <c r="K52" s="411" t="s">
        <v>495</v>
      </c>
      <c r="L52" s="15">
        <v>1</v>
      </c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8"/>
      <c r="AA52" s="16"/>
      <c r="AB52" s="16">
        <v>1</v>
      </c>
      <c r="AC52" s="17"/>
      <c r="AD52" s="7"/>
      <c r="AE52" s="7"/>
    </row>
    <row r="53" spans="1:31" s="8" customFormat="1" ht="39.950000000000003" hidden="1" customHeight="1">
      <c r="A53" s="3"/>
      <c r="B53" s="25" t="str">
        <f>IF(NOMENCLATURE_GEN!B53="","",NOMENCLATURE_GEN!B53)</f>
        <v>SUP</v>
      </c>
      <c r="C53" s="243" t="str">
        <f>IF(NOMENCLATURE_GEN!C53="","",NOMENCLATURE_GEN!C53)</f>
        <v/>
      </c>
      <c r="D53" s="4">
        <f>IF(NOMENCLATURE_GEN!D53="","",NOMENCLATURE_GEN!D53)</f>
        <v>140</v>
      </c>
      <c r="E53" s="4" t="str">
        <f ca="1">IF(NOMENCLATURE_GEN!E53="","",NOMENCLATURE_GEN!E53)</f>
        <v>A</v>
      </c>
      <c r="F53" s="4" t="str">
        <f>IF(NOMENCLATURE_GEN!F53="","",NOMENCLATURE_GEN!F53)</f>
        <v>CON</v>
      </c>
      <c r="G53" s="154" t="str">
        <f>IF(NOMENCLATURE_GEN!G53="","",NOMENCLATURE_GEN!G53)</f>
        <v>Cone de répartition du flux 0-30mm en entrée du liwell</v>
      </c>
      <c r="H53" s="320" t="str">
        <f>IF(NOMENCLATURE_GEN!H53="","",NOMENCLATURE_GEN!H53)</f>
        <v/>
      </c>
      <c r="I53" s="320" t="str">
        <f>IF(NOMENCLATURE_GEN!I53="","",NOMENCLATURE_GEN!I53)</f>
        <v/>
      </c>
      <c r="J53" s="321" t="str">
        <f>IF(NOMENCLATURE_GEN!J53="","",NOMENCLATURE_GEN!J53)</f>
        <v/>
      </c>
      <c r="K53" s="411" t="s">
        <v>494</v>
      </c>
      <c r="L53" s="15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7"/>
      <c r="AD53" s="7"/>
      <c r="AE53" s="7"/>
    </row>
    <row r="54" spans="1:31" s="8" customFormat="1" ht="39.950000000000003" customHeight="1">
      <c r="A54" s="3"/>
      <c r="B54" s="25" t="str">
        <f>IF(NOMENCLATURE_GEN!B54="","",NOMENCLATURE_GEN!B54)</f>
        <v/>
      </c>
      <c r="C54" s="243" t="str">
        <f>IF(NOMENCLATURE_GEN!C54="","",NOMENCLATURE_GEN!C54)</f>
        <v/>
      </c>
      <c r="D54" s="4">
        <f>IF(NOMENCLATURE_GEN!D54="","",NOMENCLATURE_GEN!D54)</f>
        <v>141</v>
      </c>
      <c r="E54" s="4" t="str">
        <f ca="1">IF(NOMENCLATURE_GEN!E54="","",NOMENCLATURE_GEN!E54)</f>
        <v>A</v>
      </c>
      <c r="F54" s="4" t="str">
        <f>IF(NOMENCLATURE_GEN!F54="","",NOMENCLATURE_GEN!F54)</f>
        <v>CRI</v>
      </c>
      <c r="G54" s="154" t="str">
        <f>IF(NOMENCLATURE_GEN!G54="","",NOMENCLATURE_GEN!G54)</f>
        <v>Crible trampoline maille 10mm</v>
      </c>
      <c r="H54" s="320">
        <f>IF(NOMENCLATURE_GEN!H54="","",NOMENCLATURE_GEN!H54)</f>
        <v>2000</v>
      </c>
      <c r="I54" s="320">
        <f>IF(NOMENCLATURE_GEN!I54="","",NOMENCLATURE_GEN!I54)</f>
        <v>8850</v>
      </c>
      <c r="J54" s="321" t="str">
        <f>IF(NOMENCLATURE_GEN!J54="","",NOMENCLATURE_GEN!J54)</f>
        <v/>
      </c>
      <c r="K54" s="411" t="s">
        <v>495</v>
      </c>
      <c r="L54" s="15">
        <v>1</v>
      </c>
      <c r="M54" s="16"/>
      <c r="N54" s="16"/>
      <c r="O54" s="16"/>
      <c r="P54" s="16"/>
      <c r="Q54" s="16"/>
      <c r="R54" s="16"/>
      <c r="S54" s="16">
        <v>2</v>
      </c>
      <c r="T54" s="16"/>
      <c r="U54" s="16"/>
      <c r="V54" s="16"/>
      <c r="W54" s="16"/>
      <c r="X54" s="16"/>
      <c r="Y54" s="16"/>
      <c r="Z54" s="10"/>
      <c r="AA54" s="16"/>
      <c r="AB54" s="16">
        <v>1</v>
      </c>
      <c r="AC54" s="11"/>
      <c r="AD54" s="7"/>
      <c r="AE54" s="7"/>
    </row>
    <row r="55" spans="1:31" s="8" customFormat="1" ht="39.950000000000003" hidden="1" customHeight="1">
      <c r="A55" s="3"/>
      <c r="B55" s="25" t="str">
        <f>IF(NOMENCLATURE_GEN!B55="","",NOMENCLATURE_GEN!B55)</f>
        <v>SUP</v>
      </c>
      <c r="C55" s="243" t="str">
        <f>IF(NOMENCLATURE_GEN!C55="","",NOMENCLATURE_GEN!C55)</f>
        <v/>
      </c>
      <c r="D55" s="4">
        <f>IF(NOMENCLATURE_GEN!D55="","",NOMENCLATURE_GEN!D55)</f>
        <v>142</v>
      </c>
      <c r="E55" s="4" t="str">
        <f ca="1">IF(NOMENCLATURE_GEN!E55="","",NOMENCLATURE_GEN!E55)</f>
        <v>A</v>
      </c>
      <c r="F55" s="4" t="str">
        <f>IF(NOMENCLATURE_GEN!F55="","",NOMENCLATURE_GEN!F55)</f>
        <v>TRE</v>
      </c>
      <c r="G55" s="154" t="str">
        <f>IF(NOMENCLATURE_GEN!G55="","",NOMENCLATURE_GEN!G55)</f>
        <v>Trémie des passants sous crible trampoline</v>
      </c>
      <c r="H55" s="320">
        <f>IF(NOMENCLATURE_GEN!H55="","",NOMENCLATURE_GEN!H55)</f>
        <v>2000</v>
      </c>
      <c r="I55" s="320">
        <f>IF(NOMENCLATURE_GEN!I55="","",NOMENCLATURE_GEN!I55)</f>
        <v>8850</v>
      </c>
      <c r="J55" s="321" t="str">
        <f>IF(NOMENCLATURE_GEN!J55="","",NOMENCLATURE_GEN!J55)</f>
        <v/>
      </c>
      <c r="K55" s="411" t="s">
        <v>494</v>
      </c>
      <c r="L55" s="15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7"/>
      <c r="AD55" s="7"/>
      <c r="AE55" s="7"/>
    </row>
    <row r="56" spans="1:31" s="8" customFormat="1" ht="39.950000000000003" customHeight="1">
      <c r="A56" s="3"/>
      <c r="B56" s="25" t="str">
        <f>IF(NOMENCLATURE_GEN!B56="","",NOMENCLATURE_GEN!B56)</f>
        <v/>
      </c>
      <c r="C56" s="243" t="str">
        <f>IF(NOMENCLATURE_GEN!C56="","",NOMENCLATURE_GEN!C56)</f>
        <v/>
      </c>
      <c r="D56" s="4">
        <f>IF(NOMENCLATURE_GEN!D56="","",NOMENCLATURE_GEN!D56)</f>
        <v>143</v>
      </c>
      <c r="E56" s="4" t="str">
        <f ca="1">IF(NOMENCLATURE_GEN!E56="","",NOMENCLATURE_GEN!E56)</f>
        <v>A</v>
      </c>
      <c r="F56" s="4" t="str">
        <f>IF(NOMENCLATURE_GEN!F56="","",NOMENCLATURE_GEN!F56)</f>
        <v>CBA</v>
      </c>
      <c r="G56" s="154" t="str">
        <f>IF(NOMENCLATURE_GEN!G56="","",NOMENCLATURE_GEN!G56)</f>
        <v>Convoyeur de reprise du 0-8mm et alimentation du tapis balistique double</v>
      </c>
      <c r="H56" s="320">
        <f>IF(NOMENCLATURE_GEN!H56="","",NOMENCLATURE_GEN!H56)</f>
        <v>1800</v>
      </c>
      <c r="I56" s="320">
        <f>IF(NOMENCLATURE_GEN!I56="","",NOMENCLATURE_GEN!I56)</f>
        <v>11500</v>
      </c>
      <c r="J56" s="321">
        <f>IF(NOMENCLATURE_GEN!J56="","",NOMENCLATURE_GEN!J56)</f>
        <v>23</v>
      </c>
      <c r="K56" s="411" t="s">
        <v>495</v>
      </c>
      <c r="L56" s="15">
        <v>1</v>
      </c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>
        <v>1</v>
      </c>
      <c r="AC56" s="17"/>
      <c r="AD56" s="7"/>
      <c r="AE56" s="7"/>
    </row>
    <row r="57" spans="1:31" s="8" customFormat="1" ht="39.950000000000003" customHeight="1">
      <c r="A57" s="3"/>
      <c r="B57" s="25" t="str">
        <f>IF(NOMENCLATURE_GEN!B57="","",NOMENCLATURE_GEN!B57)</f>
        <v/>
      </c>
      <c r="C57" s="243" t="str">
        <f>IF(NOMENCLATURE_GEN!C57="","",NOMENCLATURE_GEN!C57)</f>
        <v/>
      </c>
      <c r="D57" s="4">
        <f>IF(NOMENCLATURE_GEN!D57="","",NOMENCLATURE_GEN!D57)</f>
        <v>144</v>
      </c>
      <c r="E57" s="4" t="str">
        <f ca="1">IF(NOMENCLATURE_GEN!E57="","",NOMENCLATURE_GEN!E57)</f>
        <v>A</v>
      </c>
      <c r="F57" s="4" t="str">
        <f>IF(NOMENCLATURE_GEN!F57="","",NOMENCLATURE_GEN!F57)</f>
        <v>BAL</v>
      </c>
      <c r="G57" s="154" t="str">
        <f>IF(NOMENCLATURE_GEN!G57="","",NOMENCLATURE_GEN!G57)</f>
        <v>Tapis balistique double MOTEUR N°1</v>
      </c>
      <c r="H57" s="320">
        <f>IF(NOMENCLATURE_GEN!H57="","",NOMENCLATURE_GEN!H57)</f>
        <v>1800</v>
      </c>
      <c r="I57" s="320">
        <f>IF(NOMENCLATURE_GEN!I57="","",NOMENCLATURE_GEN!I57)</f>
        <v>2500</v>
      </c>
      <c r="J57" s="321">
        <f>IF(NOMENCLATURE_GEN!J57="","",NOMENCLATURE_GEN!J57)</f>
        <v>0</v>
      </c>
      <c r="K57" s="411" t="s">
        <v>495</v>
      </c>
      <c r="L57" s="15">
        <v>1</v>
      </c>
      <c r="M57" s="16"/>
      <c r="N57" s="16"/>
      <c r="O57" s="16">
        <v>1</v>
      </c>
      <c r="P57" s="16">
        <v>2</v>
      </c>
      <c r="Q57" s="16"/>
      <c r="R57" s="16"/>
      <c r="S57" s="16">
        <v>2</v>
      </c>
      <c r="T57" s="16"/>
      <c r="U57" s="16"/>
      <c r="V57" s="16"/>
      <c r="W57" s="16"/>
      <c r="X57" s="16"/>
      <c r="Y57" s="16">
        <v>1</v>
      </c>
      <c r="Z57" s="16"/>
      <c r="AA57" s="16"/>
      <c r="AB57" s="16">
        <v>1</v>
      </c>
      <c r="AC57" s="17"/>
      <c r="AD57" s="7"/>
      <c r="AE57" s="7"/>
    </row>
    <row r="58" spans="1:31" s="8" customFormat="1" ht="39.950000000000003" customHeight="1">
      <c r="A58" s="3"/>
      <c r="B58" s="25" t="str">
        <f>IF(NOMENCLATURE_GEN!B58="","",NOMENCLATURE_GEN!B58)</f>
        <v/>
      </c>
      <c r="C58" s="243" t="str">
        <f>IF(NOMENCLATURE_GEN!C58="","",NOMENCLATURE_GEN!C58)</f>
        <v/>
      </c>
      <c r="D58" s="4">
        <f>IF(NOMENCLATURE_GEN!D58="","",NOMENCLATURE_GEN!D58)</f>
        <v>144</v>
      </c>
      <c r="E58" s="4" t="str">
        <f ca="1">IF(NOMENCLATURE_GEN!E58="","",NOMENCLATURE_GEN!E58)</f>
        <v>B</v>
      </c>
      <c r="F58" s="4" t="str">
        <f>IF(NOMENCLATURE_GEN!F58="","",NOMENCLATURE_GEN!F58)</f>
        <v>BAL</v>
      </c>
      <c r="G58" s="154" t="str">
        <f>IF(NOMENCLATURE_GEN!G58="","",NOMENCLATURE_GEN!G58)</f>
        <v>Tapis balistique double MOTEUR N°2</v>
      </c>
      <c r="H58" s="320">
        <f>IF(NOMENCLATURE_GEN!H58="","",NOMENCLATURE_GEN!H58)</f>
        <v>1800</v>
      </c>
      <c r="I58" s="320">
        <f>IF(NOMENCLATURE_GEN!I58="","",NOMENCLATURE_GEN!I58)</f>
        <v>2500</v>
      </c>
      <c r="J58" s="321">
        <f>IF(NOMENCLATURE_GEN!J58="","",NOMENCLATURE_GEN!J58)</f>
        <v>0</v>
      </c>
      <c r="K58" s="411" t="s">
        <v>495</v>
      </c>
      <c r="L58" s="9" t="s">
        <v>660</v>
      </c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>
        <v>1</v>
      </c>
      <c r="AC58" s="17"/>
      <c r="AD58" s="7"/>
      <c r="AE58" s="7"/>
    </row>
    <row r="59" spans="1:31" s="8" customFormat="1" ht="39.950000000000003" customHeight="1">
      <c r="A59" s="3"/>
      <c r="B59" s="25" t="str">
        <f>IF(NOMENCLATURE_GEN!B59="","",NOMENCLATURE_GEN!B59)</f>
        <v/>
      </c>
      <c r="C59" s="243" t="str">
        <f>IF(NOMENCLATURE_GEN!C59="","",NOMENCLATURE_GEN!C59)</f>
        <v/>
      </c>
      <c r="D59" s="4">
        <f>IF(NOMENCLATURE_GEN!D59="","",NOMENCLATURE_GEN!D59)</f>
        <v>145</v>
      </c>
      <c r="E59" s="4" t="str">
        <f ca="1">IF(NOMENCLATURE_GEN!E59="","",NOMENCLATURE_GEN!E59)</f>
        <v>A</v>
      </c>
      <c r="F59" s="4" t="str">
        <f>IF(NOMENCLATURE_GEN!F59="","",NOMENCLATURE_GEN!F59)</f>
        <v>TBE</v>
      </c>
      <c r="G59" s="154" t="str">
        <f>IF(NOMENCLATURE_GEN!G59="","",NOMENCLATURE_GEN!G59)</f>
        <v>Convoyeur de reprise BY-PASS des lourds 0-8mm</v>
      </c>
      <c r="H59" s="320">
        <f>IF(NOMENCLATURE_GEN!H59="","",NOMENCLATURE_GEN!H59)</f>
        <v>800</v>
      </c>
      <c r="I59" s="320">
        <f>IF(NOMENCLATURE_GEN!I59="","",NOMENCLATURE_GEN!I59)</f>
        <v>3500</v>
      </c>
      <c r="J59" s="321">
        <f>IF(NOMENCLATURE_GEN!J59="","",NOMENCLATURE_GEN!J59)</f>
        <v>0</v>
      </c>
      <c r="K59" s="411" t="s">
        <v>495</v>
      </c>
      <c r="L59" s="15">
        <v>1</v>
      </c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>
        <v>2</v>
      </c>
      <c r="AC59" s="17"/>
      <c r="AD59" s="7"/>
      <c r="AE59" s="7"/>
    </row>
    <row r="60" spans="1:31" s="8" customFormat="1" ht="39.950000000000003" customHeight="1">
      <c r="A60" s="3"/>
      <c r="B60" s="25" t="str">
        <f>IF(NOMENCLATURE_GEN!B60="","",NOMENCLATURE_GEN!B60)</f>
        <v/>
      </c>
      <c r="C60" s="243" t="str">
        <f>IF(NOMENCLATURE_GEN!C60="","",NOMENCLATURE_GEN!C60)</f>
        <v/>
      </c>
      <c r="D60" s="4">
        <f>IF(NOMENCLATURE_GEN!D60="","",NOMENCLATURE_GEN!D60)</f>
        <v>146</v>
      </c>
      <c r="E60" s="4" t="str">
        <f ca="1">IF(NOMENCLATURE_GEN!E60="","",NOMENCLATURE_GEN!E60)</f>
        <v>A</v>
      </c>
      <c r="F60" s="4" t="str">
        <f>IF(NOMENCLATURE_GEN!F60="","",NOMENCLATURE_GEN!F60)</f>
        <v>TBE</v>
      </c>
      <c r="G60" s="154" t="str">
        <f>IF(NOMENCLATURE_GEN!G60="","",NOMENCLATURE_GEN!G60)</f>
        <v>Convoyeur de transfert des lourds 0-8mm</v>
      </c>
      <c r="H60" s="320">
        <f>IF(NOMENCLATURE_GEN!H60="","",NOMENCLATURE_GEN!H60)</f>
        <v>800</v>
      </c>
      <c r="I60" s="320">
        <f>IF(NOMENCLATURE_GEN!I60="","",NOMENCLATURE_GEN!I60)</f>
        <v>16750</v>
      </c>
      <c r="J60" s="321">
        <f>IF(NOMENCLATURE_GEN!J60="","",NOMENCLATURE_GEN!J60)</f>
        <v>6</v>
      </c>
      <c r="K60" s="411" t="s">
        <v>495</v>
      </c>
      <c r="L60" s="15">
        <v>1</v>
      </c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>
        <v>1</v>
      </c>
      <c r="AC60" s="17"/>
      <c r="AD60" s="7"/>
      <c r="AE60" s="7"/>
    </row>
    <row r="61" spans="1:31" s="8" customFormat="1" ht="39.950000000000003" customHeight="1">
      <c r="A61" s="3"/>
      <c r="B61" s="25" t="str">
        <f>IF(NOMENCLATURE_GEN!B61="","",NOMENCLATURE_GEN!B61)</f>
        <v/>
      </c>
      <c r="C61" s="243" t="str">
        <f>IF(NOMENCLATURE_GEN!C61="","",NOMENCLATURE_GEN!C61)</f>
        <v/>
      </c>
      <c r="D61" s="4">
        <f>IF(NOMENCLATURE_GEN!D61="","",NOMENCLATURE_GEN!D61)</f>
        <v>147</v>
      </c>
      <c r="E61" s="4" t="str">
        <f ca="1">IF(NOMENCLATURE_GEN!E61="","",NOMENCLATURE_GEN!E61)</f>
        <v>A</v>
      </c>
      <c r="F61" s="4" t="str">
        <f>IF(NOMENCLATURE_GEN!F61="","",NOMENCLATURE_GEN!F61)</f>
        <v>TBE</v>
      </c>
      <c r="G61" s="154" t="str">
        <f>IF(NOMENCLATURE_GEN!G61="","",NOMENCLATURE_GEN!G61)</f>
        <v>Convoyeur de transfert des lourds 0-8mm</v>
      </c>
      <c r="H61" s="320">
        <f>IF(NOMENCLATURE_GEN!H61="","",NOMENCLATURE_GEN!H61)</f>
        <v>800</v>
      </c>
      <c r="I61" s="320">
        <f>IF(NOMENCLATURE_GEN!I61="","",NOMENCLATURE_GEN!I61)</f>
        <v>12000</v>
      </c>
      <c r="J61" s="321">
        <f>IF(NOMENCLATURE_GEN!J61="","",NOMENCLATURE_GEN!J61)</f>
        <v>20</v>
      </c>
      <c r="K61" s="411" t="s">
        <v>495</v>
      </c>
      <c r="L61" s="15">
        <v>1</v>
      </c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>
        <v>1</v>
      </c>
      <c r="AC61" s="17"/>
      <c r="AD61" s="7"/>
      <c r="AE61" s="7"/>
    </row>
    <row r="62" spans="1:31" s="8" customFormat="1" ht="39.950000000000003" customHeight="1">
      <c r="A62" s="3"/>
      <c r="B62" s="25" t="str">
        <f>IF(NOMENCLATURE_GEN!B62="","",NOMENCLATURE_GEN!B62)</f>
        <v/>
      </c>
      <c r="C62" s="243" t="str">
        <f>IF(NOMENCLATURE_GEN!C62="","",NOMENCLATURE_GEN!C62)</f>
        <v/>
      </c>
      <c r="D62" s="4">
        <f>IF(NOMENCLATURE_GEN!D62="","",NOMENCLATURE_GEN!D62)</f>
        <v>148</v>
      </c>
      <c r="E62" s="4" t="str">
        <f ca="1">IF(NOMENCLATURE_GEN!E62="","",NOMENCLATURE_GEN!E62)</f>
        <v>A</v>
      </c>
      <c r="F62" s="4" t="str">
        <f>IF(NOMENCLATURE_GEN!F62="","",NOMENCLATURE_GEN!F62)</f>
        <v>TBE</v>
      </c>
      <c r="G62" s="154" t="str">
        <f>IF(NOMENCLATURE_GEN!G62="","",NOMENCLATURE_GEN!G62)</f>
        <v>Convoyeur rotatif double sens de mise en benne des refus lourds</v>
      </c>
      <c r="H62" s="320">
        <f>IF(NOMENCLATURE_GEN!H62="","",NOMENCLATURE_GEN!H62)</f>
        <v>800</v>
      </c>
      <c r="I62" s="320">
        <f>IF(NOMENCLATURE_GEN!I62="","",NOMENCLATURE_GEN!I62)</f>
        <v>5000</v>
      </c>
      <c r="J62" s="321">
        <f>IF(NOMENCLATURE_GEN!J62="","",NOMENCLATURE_GEN!J62)</f>
        <v>0</v>
      </c>
      <c r="K62" s="411" t="s">
        <v>495</v>
      </c>
      <c r="L62" s="15">
        <v>1</v>
      </c>
      <c r="M62" s="16"/>
      <c r="N62" s="16"/>
      <c r="O62" s="16"/>
      <c r="P62" s="16"/>
      <c r="Q62" s="16"/>
      <c r="R62" s="16"/>
      <c r="S62" s="16"/>
      <c r="T62" s="16"/>
      <c r="U62" s="16"/>
      <c r="V62" s="16">
        <v>2</v>
      </c>
      <c r="W62" s="16">
        <v>2</v>
      </c>
      <c r="X62" s="16"/>
      <c r="Y62" s="16"/>
      <c r="Z62" s="16"/>
      <c r="AA62" s="16"/>
      <c r="AB62" s="16">
        <v>1</v>
      </c>
      <c r="AC62" s="17"/>
      <c r="AD62" s="7"/>
      <c r="AE62" s="7"/>
    </row>
    <row r="63" spans="1:31" s="8" customFormat="1" ht="39.950000000000003" customHeight="1">
      <c r="A63" s="3"/>
      <c r="B63" s="25" t="str">
        <f>IF(NOMENCLATURE_GEN!B63="","",NOMENCLATURE_GEN!B63)</f>
        <v/>
      </c>
      <c r="C63" s="243" t="str">
        <f>IF(NOMENCLATURE_GEN!C63="","",NOMENCLATURE_GEN!C63)</f>
        <v/>
      </c>
      <c r="D63" s="4">
        <f>IF(NOMENCLATURE_GEN!D63="","",NOMENCLATURE_GEN!D63)</f>
        <v>149</v>
      </c>
      <c r="E63" s="4" t="str">
        <f ca="1">IF(NOMENCLATURE_GEN!E63="","",NOMENCLATURE_GEN!E63)</f>
        <v>A</v>
      </c>
      <c r="F63" s="4" t="str">
        <f>IF(NOMENCLATURE_GEN!F63="","",NOMENCLATURE_GEN!F63)</f>
        <v>COU</v>
      </c>
      <c r="G63" s="154" t="str">
        <f>IF(NOMENCLATURE_GEN!G63="","",NOMENCLATURE_GEN!G63)</f>
        <v>Couronne rotatif pour convoyeur de mise en tas</v>
      </c>
      <c r="H63" s="320">
        <f>IF(NOMENCLATURE_GEN!H63="","",NOMENCLATURE_GEN!H63)</f>
        <v>800</v>
      </c>
      <c r="I63" s="320">
        <f>IF(NOMENCLATURE_GEN!I63="","",NOMENCLATURE_GEN!I63)</f>
        <v>800</v>
      </c>
      <c r="J63" s="321" t="str">
        <f>IF(NOMENCLATURE_GEN!J63="","",NOMENCLATURE_GEN!J63)</f>
        <v/>
      </c>
      <c r="K63" s="411" t="s">
        <v>495</v>
      </c>
      <c r="L63" s="9" t="s">
        <v>661</v>
      </c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>
        <v>2</v>
      </c>
      <c r="X63" s="16"/>
      <c r="Y63" s="16"/>
      <c r="Z63" s="16"/>
      <c r="AA63" s="16"/>
      <c r="AB63" s="16">
        <v>2</v>
      </c>
      <c r="AC63" s="17"/>
      <c r="AD63" s="7"/>
      <c r="AE63" s="7"/>
    </row>
    <row r="64" spans="1:31" s="8" customFormat="1" ht="39.950000000000003" customHeight="1">
      <c r="A64" s="3"/>
      <c r="B64" s="25" t="str">
        <f>IF(NOMENCLATURE_GEN!B64="","",NOMENCLATURE_GEN!B64)</f>
        <v/>
      </c>
      <c r="C64" s="243" t="str">
        <f>IF(NOMENCLATURE_GEN!C64="","",NOMENCLATURE_GEN!C64)</f>
        <v/>
      </c>
      <c r="D64" s="4">
        <f>IF(NOMENCLATURE_GEN!D64="","",NOMENCLATURE_GEN!D64)</f>
        <v>150</v>
      </c>
      <c r="E64" s="4" t="str">
        <f ca="1">IF(NOMENCLATURE_GEN!E64="","",NOMENCLATURE_GEN!E64)</f>
        <v>A</v>
      </c>
      <c r="F64" s="4" t="str">
        <f>IF(NOMENCLATURE_GEN!F64="","",NOMENCLATURE_GEN!F64)</f>
        <v>TBE</v>
      </c>
      <c r="G64" s="154" t="str">
        <f>IF(NOMENCLATURE_GEN!G64="","",NOMENCLATURE_GEN!G64)</f>
        <v>Convoyeur de reprise By-pass des refus du liwell</v>
      </c>
      <c r="H64" s="320">
        <f>IF(NOMENCLATURE_GEN!H64="","",NOMENCLATURE_GEN!H64)</f>
        <v>1000</v>
      </c>
      <c r="I64" s="320">
        <f>IF(NOMENCLATURE_GEN!I64="","",NOMENCLATURE_GEN!I64)</f>
        <v>5250</v>
      </c>
      <c r="J64" s="321">
        <f>IF(NOMENCLATURE_GEN!J64="","",NOMENCLATURE_GEN!J64)</f>
        <v>0</v>
      </c>
      <c r="K64" s="411" t="s">
        <v>495</v>
      </c>
      <c r="L64" s="15">
        <v>1</v>
      </c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>
        <v>2</v>
      </c>
      <c r="AC64" s="17"/>
      <c r="AD64" s="7"/>
      <c r="AE64" s="7"/>
    </row>
    <row r="65" spans="1:31" s="8" customFormat="1" ht="39.950000000000003" customHeight="1">
      <c r="A65" s="3"/>
      <c r="B65" s="25" t="str">
        <f>IF(NOMENCLATURE_GEN!B65="","",NOMENCLATURE_GEN!B65)</f>
        <v/>
      </c>
      <c r="C65" s="243" t="str">
        <f>IF(NOMENCLATURE_GEN!C65="","",NOMENCLATURE_GEN!C65)</f>
        <v/>
      </c>
      <c r="D65" s="4">
        <f>IF(NOMENCLATURE_GEN!D65="","",NOMENCLATURE_GEN!D65)</f>
        <v>151</v>
      </c>
      <c r="E65" s="4" t="str">
        <f ca="1">IF(NOMENCLATURE_GEN!E65="","",NOMENCLATURE_GEN!E65)</f>
        <v>A</v>
      </c>
      <c r="F65" s="4" t="str">
        <f>IF(NOMENCLATURE_GEN!F65="","",NOMENCLATURE_GEN!F65)</f>
        <v>TBE</v>
      </c>
      <c r="G65" s="154" t="str">
        <f>IF(NOMENCLATURE_GEN!G65="","",NOMENCLATURE_GEN!G65)</f>
        <v>Convoyeur de reprise By-pass des refus du balistique 1</v>
      </c>
      <c r="H65" s="320">
        <f>IF(NOMENCLATURE_GEN!H65="","",NOMENCLATURE_GEN!H65)</f>
        <v>1000</v>
      </c>
      <c r="I65" s="320">
        <f>IF(NOMENCLATURE_GEN!I65="","",NOMENCLATURE_GEN!I65)</f>
        <v>5250</v>
      </c>
      <c r="J65" s="321">
        <f>IF(NOMENCLATURE_GEN!J65="","",NOMENCLATURE_GEN!J65)</f>
        <v>0</v>
      </c>
      <c r="K65" s="411" t="s">
        <v>495</v>
      </c>
      <c r="L65" s="15">
        <v>1</v>
      </c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>
        <v>2</v>
      </c>
      <c r="AC65" s="17"/>
      <c r="AD65" s="7"/>
      <c r="AE65" s="7"/>
    </row>
    <row r="66" spans="1:31" s="8" customFormat="1" ht="39.950000000000003" customHeight="1">
      <c r="A66" s="3"/>
      <c r="B66" s="25" t="str">
        <f>IF(NOMENCLATURE_GEN!B66="","",NOMENCLATURE_GEN!B66)</f>
        <v/>
      </c>
      <c r="C66" s="243" t="str">
        <f>IF(NOMENCLATURE_GEN!C66="","",NOMENCLATURE_GEN!C66)</f>
        <v/>
      </c>
      <c r="D66" s="4">
        <f>IF(NOMENCLATURE_GEN!D66="","",NOMENCLATURE_GEN!D66)</f>
        <v>152</v>
      </c>
      <c r="E66" s="4" t="str">
        <f ca="1">IF(NOMENCLATURE_GEN!E66="","",NOMENCLATURE_GEN!E66)</f>
        <v>A</v>
      </c>
      <c r="F66" s="4" t="str">
        <f>IF(NOMENCLATURE_GEN!F66="","",NOMENCLATURE_GEN!F66)</f>
        <v>TBE</v>
      </c>
      <c r="G66" s="154" t="str">
        <f>IF(NOMENCLATURE_GEN!G66="","",NOMENCLATURE_GEN!G66)</f>
        <v>Convoyeur de transfert des refus vers module de sur-tri</v>
      </c>
      <c r="H66" s="320">
        <f>IF(NOMENCLATURE_GEN!H66="","",NOMENCLATURE_GEN!H66)</f>
        <v>1000</v>
      </c>
      <c r="I66" s="320">
        <f>IF(NOMENCLATURE_GEN!I66="","",NOMENCLATURE_GEN!I66)</f>
        <v>15000</v>
      </c>
      <c r="J66" s="321">
        <f>IF(NOMENCLATURE_GEN!J66="","",NOMENCLATURE_GEN!J66)</f>
        <v>8</v>
      </c>
      <c r="K66" s="411" t="s">
        <v>495</v>
      </c>
      <c r="L66" s="15">
        <v>1</v>
      </c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>
        <v>1</v>
      </c>
      <c r="AC66" s="17"/>
      <c r="AD66" s="7"/>
      <c r="AE66" s="7"/>
    </row>
    <row r="67" spans="1:31" s="8" customFormat="1" ht="39.950000000000003" customHeight="1">
      <c r="A67" s="3"/>
      <c r="B67" s="25" t="str">
        <f>IF(NOMENCLATURE_GEN!B67="","",NOMENCLATURE_GEN!B67)</f>
        <v/>
      </c>
      <c r="C67" s="243" t="str">
        <f>IF(NOMENCLATURE_GEN!C67="","",NOMENCLATURE_GEN!C67)</f>
        <v/>
      </c>
      <c r="D67" s="4">
        <f>IF(NOMENCLATURE_GEN!D67="","",NOMENCLATURE_GEN!D67)</f>
        <v>153</v>
      </c>
      <c r="E67" s="4" t="str">
        <f ca="1">IF(NOMENCLATURE_GEN!E67="","",NOMENCLATURE_GEN!E67)</f>
        <v>A</v>
      </c>
      <c r="F67" s="4" t="str">
        <f>IF(NOMENCLATURE_GEN!F67="","",NOMENCLATURE_GEN!F67)</f>
        <v>TBE</v>
      </c>
      <c r="G67" s="154" t="str">
        <f>IF(NOMENCLATURE_GEN!G67="","",NOMENCLATURE_GEN!G67)</f>
        <v>Convoyeur de transfert des refus vers module de sur-tri</v>
      </c>
      <c r="H67" s="320">
        <f>IF(NOMENCLATURE_GEN!H67="","",NOMENCLATURE_GEN!H67)</f>
        <v>1000</v>
      </c>
      <c r="I67" s="320">
        <f>IF(NOMENCLATURE_GEN!I67="","",NOMENCLATURE_GEN!I67)</f>
        <v>5000</v>
      </c>
      <c r="J67" s="321">
        <f>IF(NOMENCLATURE_GEN!J67="","",NOMENCLATURE_GEN!J67)</f>
        <v>18</v>
      </c>
      <c r="K67" s="411" t="s">
        <v>495</v>
      </c>
      <c r="L67" s="15">
        <v>1</v>
      </c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>
        <v>1</v>
      </c>
      <c r="AC67" s="17"/>
      <c r="AD67" s="7"/>
      <c r="AE67" s="7"/>
    </row>
    <row r="68" spans="1:31" s="8" customFormat="1" ht="39.950000000000003" customHeight="1">
      <c r="A68" s="3"/>
      <c r="B68" s="25" t="str">
        <f>IF(NOMENCLATURE_GEN!B68="","",NOMENCLATURE_GEN!B68)</f>
        <v/>
      </c>
      <c r="C68" s="243" t="str">
        <f>IF(NOMENCLATURE_GEN!C68="","",NOMENCLATURE_GEN!C68)</f>
        <v/>
      </c>
      <c r="D68" s="4">
        <f>IF(NOMENCLATURE_GEN!D68="","",NOMENCLATURE_GEN!D68)</f>
        <v>154</v>
      </c>
      <c r="E68" s="4" t="str">
        <f ca="1">IF(NOMENCLATURE_GEN!E68="","",NOMENCLATURE_GEN!E68)</f>
        <v>A</v>
      </c>
      <c r="F68" s="4" t="str">
        <f>IF(NOMENCLATURE_GEN!F68="","",NOMENCLATURE_GEN!F68)</f>
        <v>TBE</v>
      </c>
      <c r="G68" s="154" t="str">
        <f>IF(NOMENCLATURE_GEN!G68="","",NOMENCLATURE_GEN!G68)</f>
        <v>Convoyeur de transfert des refus vers module de sur-tri</v>
      </c>
      <c r="H68" s="320">
        <f>IF(NOMENCLATURE_GEN!H68="","",NOMENCLATURE_GEN!H68)</f>
        <v>1000</v>
      </c>
      <c r="I68" s="320">
        <f>IF(NOMENCLATURE_GEN!I68="","",NOMENCLATURE_GEN!I68)</f>
        <v>26250</v>
      </c>
      <c r="J68" s="321">
        <f>IF(NOMENCLATURE_GEN!J68="","",NOMENCLATURE_GEN!J68)</f>
        <v>18</v>
      </c>
      <c r="K68" s="411" t="s">
        <v>495</v>
      </c>
      <c r="L68" s="15">
        <v>1</v>
      </c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>
        <v>1</v>
      </c>
      <c r="AC68" s="17"/>
      <c r="AD68" s="7"/>
      <c r="AE68" s="7"/>
    </row>
    <row r="69" spans="1:31" s="8" customFormat="1" ht="39.950000000000003" customHeight="1">
      <c r="A69" s="3"/>
      <c r="B69" s="25" t="str">
        <f>IF(NOMENCLATURE_GEN!B69="","",NOMENCLATURE_GEN!B69)</f>
        <v/>
      </c>
      <c r="C69" s="243" t="str">
        <f>IF(NOMENCLATURE_GEN!C69="","",NOMENCLATURE_GEN!C69)</f>
        <v/>
      </c>
      <c r="D69" s="4">
        <f>IF(NOMENCLATURE_GEN!D69="","",NOMENCLATURE_GEN!D69)</f>
        <v>155</v>
      </c>
      <c r="E69" s="4" t="str">
        <f ca="1">IF(NOMENCLATURE_GEN!E69="","",NOMENCLATURE_GEN!E69)</f>
        <v>A</v>
      </c>
      <c r="F69" s="4" t="str">
        <f>IF(NOMENCLATURE_GEN!F69="","",NOMENCLATURE_GEN!F69)</f>
        <v>TFM</v>
      </c>
      <c r="G69" s="154" t="str">
        <f>IF(NOMENCLATURE_GEN!G69="","",NOMENCLATURE_GEN!G69)</f>
        <v>Table densimétrique FM150 - Moteur balourd</v>
      </c>
      <c r="H69" s="320" t="str">
        <f>IF(NOMENCLATURE_GEN!H69="","",NOMENCLATURE_GEN!H69)</f>
        <v/>
      </c>
      <c r="I69" s="320" t="str">
        <f>IF(NOMENCLATURE_GEN!I69="","",NOMENCLATURE_GEN!I69)</f>
        <v/>
      </c>
      <c r="J69" s="321" t="str">
        <f>IF(NOMENCLATURE_GEN!J69="","",NOMENCLATURE_GEN!J69)</f>
        <v/>
      </c>
      <c r="K69" s="411" t="s">
        <v>495</v>
      </c>
      <c r="L69" s="15">
        <v>1</v>
      </c>
      <c r="M69" s="16"/>
      <c r="N69" s="16"/>
      <c r="O69" s="16"/>
      <c r="P69" s="16"/>
      <c r="Q69" s="16"/>
      <c r="R69" s="16"/>
      <c r="S69" s="16">
        <v>4</v>
      </c>
      <c r="T69" s="16"/>
      <c r="U69" s="16"/>
      <c r="V69" s="16"/>
      <c r="W69" s="16"/>
      <c r="X69" s="16"/>
      <c r="Y69" s="16"/>
      <c r="Z69" s="16"/>
      <c r="AA69" s="16"/>
      <c r="AB69" s="16">
        <v>1</v>
      </c>
      <c r="AC69" s="579" t="s">
        <v>662</v>
      </c>
      <c r="AD69" s="7"/>
      <c r="AE69" s="7"/>
    </row>
    <row r="70" spans="1:31" s="8" customFormat="1" ht="39.950000000000003" customHeight="1">
      <c r="A70" s="3"/>
      <c r="B70" s="25" t="str">
        <f>IF(NOMENCLATURE_GEN!B70="","",NOMENCLATURE_GEN!B70)</f>
        <v/>
      </c>
      <c r="C70" s="243" t="str">
        <f>IF(NOMENCLATURE_GEN!C70="","",NOMENCLATURE_GEN!C70)</f>
        <v/>
      </c>
      <c r="D70" s="4">
        <f>IF(NOMENCLATURE_GEN!D70="","",NOMENCLATURE_GEN!D70)</f>
        <v>155</v>
      </c>
      <c r="E70" s="4" t="str">
        <f ca="1">IF(NOMENCLATURE_GEN!E70="","",NOMENCLATURE_GEN!E70)</f>
        <v>B</v>
      </c>
      <c r="F70" s="4" t="str">
        <f>IF(NOMENCLATURE_GEN!F70="","",NOMENCLATURE_GEN!F70)</f>
        <v>TFM</v>
      </c>
      <c r="G70" s="154" t="str">
        <f>IF(NOMENCLATURE_GEN!G70="","",NOMENCLATURE_GEN!G70)</f>
        <v>Table densimétrique FM150 - Ventilateur de fluidisation</v>
      </c>
      <c r="H70" s="320" t="str">
        <f>IF(NOMENCLATURE_GEN!H70="","",NOMENCLATURE_GEN!H70)</f>
        <v/>
      </c>
      <c r="I70" s="320" t="str">
        <f>IF(NOMENCLATURE_GEN!I70="","",NOMENCLATURE_GEN!I70)</f>
        <v/>
      </c>
      <c r="J70" s="321" t="str">
        <f>IF(NOMENCLATURE_GEN!J70="","",NOMENCLATURE_GEN!J70)</f>
        <v/>
      </c>
      <c r="K70" s="411" t="s">
        <v>495</v>
      </c>
      <c r="L70" s="15">
        <v>1</v>
      </c>
      <c r="M70" s="16"/>
      <c r="N70" s="16"/>
      <c r="O70" s="16"/>
      <c r="P70" s="16"/>
      <c r="Q70" s="16"/>
      <c r="R70" s="16"/>
      <c r="S70" s="16"/>
      <c r="T70" s="16"/>
      <c r="U70" s="10" t="s">
        <v>666</v>
      </c>
      <c r="V70" s="16"/>
      <c r="W70" s="16"/>
      <c r="X70" s="16"/>
      <c r="Y70" s="16"/>
      <c r="Z70" s="16"/>
      <c r="AA70" s="16"/>
      <c r="AB70" s="16"/>
      <c r="AC70" s="17"/>
      <c r="AD70" s="7"/>
      <c r="AE70" s="7"/>
    </row>
    <row r="71" spans="1:31" s="8" customFormat="1" ht="39.950000000000003" customHeight="1">
      <c r="A71" s="3"/>
      <c r="B71" s="25" t="str">
        <f>IF(NOMENCLATURE_GEN!B71="","",NOMENCLATURE_GEN!B71)</f>
        <v/>
      </c>
      <c r="C71" s="243" t="str">
        <f>IF(NOMENCLATURE_GEN!C71="","",NOMENCLATURE_GEN!C71)</f>
        <v/>
      </c>
      <c r="D71" s="4">
        <f>IF(NOMENCLATURE_GEN!D71="","",NOMENCLATURE_GEN!D71)</f>
        <v>155</v>
      </c>
      <c r="E71" s="4" t="str">
        <f ca="1">IF(NOMENCLATURE_GEN!E71="","",NOMENCLATURE_GEN!E71)</f>
        <v>C</v>
      </c>
      <c r="F71" s="4" t="str">
        <f>IF(NOMENCLATURE_GEN!F71="","",NOMENCLATURE_GEN!F71)</f>
        <v>TFM</v>
      </c>
      <c r="G71" s="154" t="str">
        <f>IF(NOMENCLATURE_GEN!G71="","",NOMENCLATURE_GEN!G71)</f>
        <v>Table densimétrique FM150 - Ecluse utra lourds</v>
      </c>
      <c r="H71" s="320" t="str">
        <f>IF(NOMENCLATURE_GEN!H71="","",NOMENCLATURE_GEN!H71)</f>
        <v/>
      </c>
      <c r="I71" s="320" t="str">
        <f>IF(NOMENCLATURE_GEN!I71="","",NOMENCLATURE_GEN!I71)</f>
        <v/>
      </c>
      <c r="J71" s="321" t="str">
        <f>IF(NOMENCLATURE_GEN!J71="","",NOMENCLATURE_GEN!J71)</f>
        <v/>
      </c>
      <c r="K71" s="411" t="s">
        <v>495</v>
      </c>
      <c r="L71" s="15">
        <v>1</v>
      </c>
      <c r="M71" s="16"/>
      <c r="N71" s="16"/>
      <c r="O71" s="16"/>
      <c r="P71" s="16"/>
      <c r="Q71" s="16"/>
      <c r="R71" s="16"/>
      <c r="S71" s="16"/>
      <c r="T71" s="16"/>
      <c r="U71" s="10" t="s">
        <v>666</v>
      </c>
      <c r="V71" s="16"/>
      <c r="W71" s="16"/>
      <c r="X71" s="16"/>
      <c r="Y71" s="16"/>
      <c r="Z71" s="16"/>
      <c r="AA71" s="16"/>
      <c r="AB71" s="16"/>
      <c r="AC71" s="17"/>
      <c r="AD71" s="7"/>
      <c r="AE71" s="7"/>
    </row>
    <row r="72" spans="1:31" s="8" customFormat="1" ht="39.950000000000003" customHeight="1">
      <c r="A72" s="3"/>
      <c r="B72" s="25" t="str">
        <f>IF(NOMENCLATURE_GEN!B72="","",NOMENCLATURE_GEN!B72)</f>
        <v/>
      </c>
      <c r="C72" s="243" t="str">
        <f>IF(NOMENCLATURE_GEN!C72="","",NOMENCLATURE_GEN!C72)</f>
        <v/>
      </c>
      <c r="D72" s="4">
        <f>IF(NOMENCLATURE_GEN!D72="","",NOMENCLATURE_GEN!D72)</f>
        <v>155</v>
      </c>
      <c r="E72" s="4" t="str">
        <f ca="1">IF(NOMENCLATURE_GEN!E72="","",NOMENCLATURE_GEN!E72)</f>
        <v>D</v>
      </c>
      <c r="F72" s="4" t="str">
        <f>IF(NOMENCLATURE_GEN!F72="","",NOMENCLATURE_GEN!F72)</f>
        <v>TFM</v>
      </c>
      <c r="G72" s="154" t="str">
        <f>IF(NOMENCLATURE_GEN!G72="","",NOMENCLATURE_GEN!G72)</f>
        <v>Table densimétrique FM150 - Clapet motorisé</v>
      </c>
      <c r="H72" s="320" t="str">
        <f>IF(NOMENCLATURE_GEN!H72="","",NOMENCLATURE_GEN!H72)</f>
        <v/>
      </c>
      <c r="I72" s="320" t="str">
        <f>IF(NOMENCLATURE_GEN!I72="","",NOMENCLATURE_GEN!I72)</f>
        <v/>
      </c>
      <c r="J72" s="321" t="str">
        <f>IF(NOMENCLATURE_GEN!J72="","",NOMENCLATURE_GEN!J72)</f>
        <v/>
      </c>
      <c r="K72" s="411" t="s">
        <v>495</v>
      </c>
      <c r="L72" s="15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0" t="s">
        <v>663</v>
      </c>
      <c r="X72" s="16"/>
      <c r="Y72" s="16"/>
      <c r="Z72" s="16"/>
      <c r="AA72" s="16"/>
      <c r="AB72" s="16"/>
      <c r="AC72" s="11" t="s">
        <v>663</v>
      </c>
      <c r="AD72" s="7"/>
      <c r="AE72" s="7"/>
    </row>
    <row r="73" spans="1:31" s="8" customFormat="1" ht="39.950000000000003" customHeight="1">
      <c r="A73" s="3"/>
      <c r="B73" s="25" t="str">
        <f>IF(NOMENCLATURE_GEN!B73="","",NOMENCLATURE_GEN!B73)</f>
        <v/>
      </c>
      <c r="C73" s="243" t="str">
        <f>IF(NOMENCLATURE_GEN!C73="","",NOMENCLATURE_GEN!C73)</f>
        <v/>
      </c>
      <c r="D73" s="4">
        <f>IF(NOMENCLATURE_GEN!D73="","",NOMENCLATURE_GEN!D73)</f>
        <v>156</v>
      </c>
      <c r="E73" s="4" t="str">
        <f ca="1">IF(NOMENCLATURE_GEN!E73="","",NOMENCLATURE_GEN!E73)</f>
        <v>A</v>
      </c>
      <c r="F73" s="4" t="str">
        <f>IF(NOMENCLATURE_GEN!F73="","",NOMENCLATURE_GEN!F73)</f>
        <v>TBE</v>
      </c>
      <c r="G73" s="154" t="str">
        <f>IF(NOMENCLATURE_GEN!G73="","",NOMENCLATURE_GEN!G73)</f>
        <v>Convoyeur de reprise des refus lourds et transfert vers centralisation</v>
      </c>
      <c r="H73" s="320">
        <f>IF(NOMENCLATURE_GEN!H73="","",NOMENCLATURE_GEN!H73)</f>
        <v>800</v>
      </c>
      <c r="I73" s="320">
        <f>IF(NOMENCLATURE_GEN!I73="","",NOMENCLATURE_GEN!I73)</f>
        <v>3000</v>
      </c>
      <c r="J73" s="321">
        <f>IF(NOMENCLATURE_GEN!J73="","",NOMENCLATURE_GEN!J73)</f>
        <v>0</v>
      </c>
      <c r="K73" s="411" t="s">
        <v>495</v>
      </c>
      <c r="L73" s="15">
        <v>1</v>
      </c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>
        <v>1</v>
      </c>
      <c r="AC73" s="17"/>
      <c r="AD73" s="7"/>
      <c r="AE73" s="7"/>
    </row>
    <row r="74" spans="1:31" s="8" customFormat="1" ht="39.950000000000003" customHeight="1">
      <c r="A74" s="3"/>
      <c r="B74" s="25" t="str">
        <f>IF(NOMENCLATURE_GEN!B74="","",NOMENCLATURE_GEN!B74)</f>
        <v/>
      </c>
      <c r="C74" s="243" t="str">
        <f>IF(NOMENCLATURE_GEN!C74="","",NOMENCLATURE_GEN!C74)</f>
        <v/>
      </c>
      <c r="D74" s="4">
        <f>IF(NOMENCLATURE_GEN!D74="","",NOMENCLATURE_GEN!D74)</f>
        <v>157</v>
      </c>
      <c r="E74" s="4" t="str">
        <f ca="1">IF(NOMENCLATURE_GEN!E74="","",NOMENCLATURE_GEN!E74)</f>
        <v>A</v>
      </c>
      <c r="F74" s="4" t="str">
        <f>IF(NOMENCLATURE_GEN!F74="","",NOMENCLATURE_GEN!F74)</f>
        <v>TBE</v>
      </c>
      <c r="G74" s="154" t="str">
        <f>IF(NOMENCLATURE_GEN!G74="","",NOMENCLATURE_GEN!G74)</f>
        <v>Convoyeur de reprise des refus lourds et transfert vers centralisation</v>
      </c>
      <c r="H74" s="320">
        <f>IF(NOMENCLATURE_GEN!H74="","",NOMENCLATURE_GEN!H74)</f>
        <v>800</v>
      </c>
      <c r="I74" s="320">
        <f>IF(NOMENCLATURE_GEN!I74="","",NOMENCLATURE_GEN!I74)</f>
        <v>10000</v>
      </c>
      <c r="J74" s="321">
        <f>IF(NOMENCLATURE_GEN!J74="","",NOMENCLATURE_GEN!J74)</f>
        <v>6</v>
      </c>
      <c r="K74" s="411" t="s">
        <v>495</v>
      </c>
      <c r="L74" s="15">
        <v>1</v>
      </c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>
        <v>1</v>
      </c>
      <c r="AC74" s="17"/>
      <c r="AD74" s="7"/>
      <c r="AE74" s="7"/>
    </row>
    <row r="75" spans="1:31" s="8" customFormat="1" ht="39.950000000000003" customHeight="1">
      <c r="A75" s="3"/>
      <c r="B75" s="25" t="str">
        <f>IF(NOMENCLATURE_GEN!B75="","",NOMENCLATURE_GEN!B75)</f>
        <v/>
      </c>
      <c r="C75" s="243" t="str">
        <f>IF(NOMENCLATURE_GEN!C75="","",NOMENCLATURE_GEN!C75)</f>
        <v/>
      </c>
      <c r="D75" s="4">
        <f>IF(NOMENCLATURE_GEN!D75="","",NOMENCLATURE_GEN!D75)</f>
        <v>158</v>
      </c>
      <c r="E75" s="4" t="str">
        <f ca="1">IF(NOMENCLATURE_GEN!E75="","",NOMENCLATURE_GEN!E75)</f>
        <v>A</v>
      </c>
      <c r="F75" s="4" t="str">
        <f>IF(NOMENCLATURE_GEN!F75="","",NOMENCLATURE_GEN!F75)</f>
        <v>TBE</v>
      </c>
      <c r="G75" s="154" t="str">
        <f>IF(NOMENCLATURE_GEN!G75="","",NOMENCLATURE_GEN!G75)</f>
        <v>Convoyeur de reprise des lourds 0-8mm</v>
      </c>
      <c r="H75" s="320">
        <f>IF(NOMENCLATURE_GEN!H75="","",NOMENCLATURE_GEN!H75)</f>
        <v>1800</v>
      </c>
      <c r="I75" s="320">
        <f>IF(NOMENCLATURE_GEN!I75="","",NOMENCLATURE_GEN!I75)</f>
        <v>4000</v>
      </c>
      <c r="J75" s="321">
        <f>IF(NOMENCLATURE_GEN!J75="","",NOMENCLATURE_GEN!J75)</f>
        <v>12</v>
      </c>
      <c r="K75" s="411" t="s">
        <v>495</v>
      </c>
      <c r="L75" s="15">
        <v>1</v>
      </c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>
        <v>1</v>
      </c>
      <c r="AC75" s="17"/>
      <c r="AD75" s="7"/>
      <c r="AE75" s="7"/>
    </row>
    <row r="76" spans="1:31" s="8" customFormat="1" ht="39.950000000000003" hidden="1" customHeight="1">
      <c r="A76" s="3"/>
      <c r="B76" s="25" t="str">
        <f>IF(NOMENCLATURE_GEN!B76="","",NOMENCLATURE_GEN!B76)</f>
        <v>SUP</v>
      </c>
      <c r="C76" s="243" t="str">
        <f>IF(NOMENCLATURE_GEN!C76="","",NOMENCLATURE_GEN!C76)</f>
        <v/>
      </c>
      <c r="D76" s="4">
        <f>IF(NOMENCLATURE_GEN!D76="","",NOMENCLATURE_GEN!D76)</f>
        <v>159</v>
      </c>
      <c r="E76" s="4" t="str">
        <f ca="1">IF(NOMENCLATURE_GEN!E76="","",NOMENCLATURE_GEN!E76)</f>
        <v>A</v>
      </c>
      <c r="F76" s="4" t="str">
        <f>IF(NOMENCLATURE_GEN!F76="","",NOMENCLATURE_GEN!F76)</f>
        <v>GLT</v>
      </c>
      <c r="G76" s="154" t="str">
        <f>IF(NOMENCLATURE_GEN!G76="","",NOMENCLATURE_GEN!G76)</f>
        <v>Goulotte de reprise des légers de la table FM150</v>
      </c>
      <c r="H76" s="320" t="str">
        <f>IF(NOMENCLATURE_GEN!H76="","",NOMENCLATURE_GEN!H76)</f>
        <v/>
      </c>
      <c r="I76" s="320" t="str">
        <f>IF(NOMENCLATURE_GEN!I76="","",NOMENCLATURE_GEN!I76)</f>
        <v/>
      </c>
      <c r="J76" s="321" t="str">
        <f>IF(NOMENCLATURE_GEN!J76="","",NOMENCLATURE_GEN!J76)</f>
        <v/>
      </c>
      <c r="K76" s="411" t="s">
        <v>494</v>
      </c>
      <c r="L76" s="15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7"/>
      <c r="AD76" s="7"/>
      <c r="AE76" s="7"/>
    </row>
    <row r="77" spans="1:31" s="8" customFormat="1" ht="39.950000000000003" customHeight="1">
      <c r="A77" s="3"/>
      <c r="B77" s="25" t="str">
        <f>IF(NOMENCLATURE_GEN!B77="","",NOMENCLATURE_GEN!B77)</f>
        <v/>
      </c>
      <c r="C77" s="243" t="str">
        <f>IF(NOMENCLATURE_GEN!C77="","",NOMENCLATURE_GEN!C77)</f>
        <v/>
      </c>
      <c r="D77" s="4">
        <f>IF(NOMENCLATURE_GEN!D77="","",NOMENCLATURE_GEN!D77)</f>
        <v>160</v>
      </c>
      <c r="E77" s="4" t="str">
        <f ca="1">IF(NOMENCLATURE_GEN!E77="","",NOMENCLATURE_GEN!E77)</f>
        <v>A</v>
      </c>
      <c r="F77" s="4" t="str">
        <f>IF(NOMENCLATURE_GEN!F77="","",NOMENCLATURE_GEN!F77)</f>
        <v>TBE</v>
      </c>
      <c r="G77" s="154" t="str">
        <f>IF(NOMENCLATURE_GEN!G77="","",NOMENCLATURE_GEN!G77)</f>
        <v>Convoyeur double sens de remplissage de la benne FFOM</v>
      </c>
      <c r="H77" s="320">
        <f>IF(NOMENCLATURE_GEN!H77="","",NOMENCLATURE_GEN!H77)</f>
        <v>800</v>
      </c>
      <c r="I77" s="320">
        <f>IF(NOMENCLATURE_GEN!I77="","",NOMENCLATURE_GEN!I77)</f>
        <v>5000</v>
      </c>
      <c r="J77" s="321">
        <f>IF(NOMENCLATURE_GEN!J77="","",NOMENCLATURE_GEN!J77)</f>
        <v>0</v>
      </c>
      <c r="K77" s="411" t="s">
        <v>495</v>
      </c>
      <c r="L77" s="15">
        <v>1</v>
      </c>
      <c r="M77" s="16"/>
      <c r="N77" s="16"/>
      <c r="O77" s="16"/>
      <c r="P77" s="16"/>
      <c r="Q77" s="16"/>
      <c r="R77" s="16"/>
      <c r="S77" s="16"/>
      <c r="T77" s="16"/>
      <c r="U77" s="16"/>
      <c r="V77" s="16">
        <v>2</v>
      </c>
      <c r="W77" s="16"/>
      <c r="X77" s="16"/>
      <c r="Y77" s="16"/>
      <c r="Z77" s="16"/>
      <c r="AA77" s="16"/>
      <c r="AB77" s="16">
        <v>2</v>
      </c>
      <c r="AC77" s="17"/>
      <c r="AD77" s="7"/>
      <c r="AE77" s="7"/>
    </row>
    <row r="78" spans="1:31" s="8" customFormat="1" ht="39.950000000000003" customHeight="1">
      <c r="A78" s="3"/>
      <c r="B78" s="25" t="str">
        <f>IF(NOMENCLATURE_GEN!B78="","",NOMENCLATURE_GEN!B78)</f>
        <v/>
      </c>
      <c r="C78" s="243" t="str">
        <f>IF(NOMENCLATURE_GEN!C78="","",NOMENCLATURE_GEN!C78)</f>
        <v/>
      </c>
      <c r="D78" s="4">
        <f>IF(NOMENCLATURE_GEN!D78="","",NOMENCLATURE_GEN!D78)</f>
        <v>161</v>
      </c>
      <c r="E78" s="4" t="str">
        <f ca="1">IF(NOMENCLATURE_GEN!E78="","",NOMENCLATURE_GEN!E78)</f>
        <v>A</v>
      </c>
      <c r="F78" s="4" t="str">
        <f>IF(NOMENCLATURE_GEN!F78="","",NOMENCLATURE_GEN!F78)</f>
        <v>NAV</v>
      </c>
      <c r="G78" s="154" t="str">
        <f>IF(NOMENCLATURE_GEN!G78="","",NOMENCLATURE_GEN!G78)</f>
        <v>Système navette pour convoyeur double sens</v>
      </c>
      <c r="H78" s="320" t="str">
        <f>IF(NOMENCLATURE_GEN!H78="","",NOMENCLATURE_GEN!H78)</f>
        <v/>
      </c>
      <c r="I78" s="320" t="str">
        <f>IF(NOMENCLATURE_GEN!I78="","",NOMENCLATURE_GEN!I78)</f>
        <v/>
      </c>
      <c r="J78" s="321" t="str">
        <f>IF(NOMENCLATURE_GEN!J78="","",NOMENCLATURE_GEN!J78)</f>
        <v/>
      </c>
      <c r="K78" s="411" t="s">
        <v>495</v>
      </c>
      <c r="L78" s="9" t="s">
        <v>664</v>
      </c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>
        <v>4</v>
      </c>
      <c r="X78" s="16"/>
      <c r="Y78" s="16"/>
      <c r="Z78" s="16"/>
      <c r="AA78" s="16"/>
      <c r="AB78" s="16">
        <v>2</v>
      </c>
      <c r="AC78" s="17"/>
      <c r="AD78" s="7"/>
      <c r="AE78" s="7"/>
    </row>
    <row r="79" spans="1:31" s="8" customFormat="1" ht="39.950000000000003" customHeight="1">
      <c r="A79" s="3"/>
      <c r="B79" s="25" t="str">
        <f>IF(NOMENCLATURE_GEN!B79="","",NOMENCLATURE_GEN!B79)</f>
        <v/>
      </c>
      <c r="C79" s="243" t="str">
        <f>IF(NOMENCLATURE_GEN!C79="","",NOMENCLATURE_GEN!C79)</f>
        <v/>
      </c>
      <c r="D79" s="4">
        <f>IF(NOMENCLATURE_GEN!D79="","",NOMENCLATURE_GEN!D79)</f>
        <v>162</v>
      </c>
      <c r="E79" s="4" t="str">
        <f ca="1">IF(NOMENCLATURE_GEN!E79="","",NOMENCLATURE_GEN!E79)</f>
        <v>A</v>
      </c>
      <c r="F79" s="4" t="str">
        <f>IF(NOMENCLATURE_GEN!F79="","",NOMENCLATURE_GEN!F79)</f>
        <v>TBE</v>
      </c>
      <c r="G79" s="154" t="str">
        <f>IF(NOMENCLATURE_GEN!G79="","",NOMENCLATURE_GEN!G79)</f>
        <v>Convoyeur de reprise des aciers 0-30 et &gt; 180mm</v>
      </c>
      <c r="H79" s="320">
        <f>IF(NOMENCLATURE_GEN!H79="","",NOMENCLATURE_GEN!H79)</f>
        <v>1000</v>
      </c>
      <c r="I79" s="320">
        <f>IF(NOMENCLATURE_GEN!I79="","",NOMENCLATURE_GEN!I79)</f>
        <v>15500</v>
      </c>
      <c r="J79" s="321">
        <f>IF(NOMENCLATURE_GEN!J79="","",NOMENCLATURE_GEN!J79)</f>
        <v>0</v>
      </c>
      <c r="K79" s="411" t="s">
        <v>495</v>
      </c>
      <c r="L79" s="15">
        <v>1</v>
      </c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>
        <v>1</v>
      </c>
      <c r="AC79" s="17"/>
      <c r="AD79" s="7"/>
      <c r="AE79" s="7"/>
    </row>
    <row r="80" spans="1:31" s="8" customFormat="1" ht="39.950000000000003" customHeight="1">
      <c r="A80" s="3"/>
      <c r="B80" s="25" t="str">
        <f>IF(NOMENCLATURE_GEN!B80="","",NOMENCLATURE_GEN!B80)</f>
        <v/>
      </c>
      <c r="C80" s="243" t="str">
        <f>IF(NOMENCLATURE_GEN!C80="","",NOMENCLATURE_GEN!C80)</f>
        <v/>
      </c>
      <c r="D80" s="4">
        <f>IF(NOMENCLATURE_GEN!D80="","",NOMENCLATURE_GEN!D80)</f>
        <v>163</v>
      </c>
      <c r="E80" s="4" t="str">
        <f ca="1">IF(NOMENCLATURE_GEN!E80="","",NOMENCLATURE_GEN!E80)</f>
        <v>A</v>
      </c>
      <c r="F80" s="4" t="str">
        <f>IF(NOMENCLATURE_GEN!F80="","",NOMENCLATURE_GEN!F80)</f>
        <v>TBE</v>
      </c>
      <c r="G80" s="154" t="str">
        <f>IF(NOMENCLATURE_GEN!G80="","",NOMENCLATURE_GEN!G80)</f>
        <v>Convoyeur de centralisation des aciers</v>
      </c>
      <c r="H80" s="320">
        <f>IF(NOMENCLATURE_GEN!H80="","",NOMENCLATURE_GEN!H80)</f>
        <v>1000</v>
      </c>
      <c r="I80" s="320">
        <f>IF(NOMENCLATURE_GEN!I80="","",NOMENCLATURE_GEN!I80)</f>
        <v>4000</v>
      </c>
      <c r="J80" s="321">
        <f>IF(NOMENCLATURE_GEN!J80="","",NOMENCLATURE_GEN!J80)</f>
        <v>15</v>
      </c>
      <c r="K80" s="411" t="s">
        <v>495</v>
      </c>
      <c r="L80" s="15">
        <v>1</v>
      </c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>
        <v>1</v>
      </c>
      <c r="AC80" s="17"/>
      <c r="AD80" s="7"/>
      <c r="AE80" s="7"/>
    </row>
    <row r="81" spans="1:31" s="8" customFormat="1" ht="39.950000000000003" customHeight="1">
      <c r="A81" s="3"/>
      <c r="B81" s="25" t="str">
        <f>IF(NOMENCLATURE_GEN!B81="","",NOMENCLATURE_GEN!B81)</f>
        <v/>
      </c>
      <c r="C81" s="243" t="str">
        <f>IF(NOMENCLATURE_GEN!C81="","",NOMENCLATURE_GEN!C81)</f>
        <v/>
      </c>
      <c r="D81" s="4">
        <f>IF(NOMENCLATURE_GEN!D81="","",NOMENCLATURE_GEN!D81)</f>
        <v>164</v>
      </c>
      <c r="E81" s="4" t="str">
        <f ca="1">IF(NOMENCLATURE_GEN!E81="","",NOMENCLATURE_GEN!E81)</f>
        <v>A</v>
      </c>
      <c r="F81" s="4" t="str">
        <f>IF(NOMENCLATURE_GEN!F81="","",NOMENCLATURE_GEN!F81)</f>
        <v>TBE</v>
      </c>
      <c r="G81" s="154" t="str">
        <f>IF(NOMENCLATURE_GEN!G81="","",NOMENCLATURE_GEN!G81)</f>
        <v>Convoyeur de transfert des aciers vers benne</v>
      </c>
      <c r="H81" s="320">
        <f>IF(NOMENCLATURE_GEN!H81="","",NOMENCLATURE_GEN!H81)</f>
        <v>1000</v>
      </c>
      <c r="I81" s="320">
        <f>IF(NOMENCLATURE_GEN!I81="","",NOMENCLATURE_GEN!I81)</f>
        <v>11500</v>
      </c>
      <c r="J81" s="321">
        <f>IF(NOMENCLATURE_GEN!J81="","",NOMENCLATURE_GEN!J81)</f>
        <v>25</v>
      </c>
      <c r="K81" s="411" t="s">
        <v>495</v>
      </c>
      <c r="L81" s="15">
        <v>1</v>
      </c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>
        <v>1</v>
      </c>
      <c r="AC81" s="17"/>
      <c r="AD81" s="7"/>
      <c r="AE81" s="7"/>
    </row>
    <row r="82" spans="1:31" s="8" customFormat="1" ht="39.950000000000003" customHeight="1">
      <c r="A82" s="3"/>
      <c r="B82" s="25" t="str">
        <f>IF(NOMENCLATURE_GEN!B82="","",NOMENCLATURE_GEN!B82)</f>
        <v/>
      </c>
      <c r="C82" s="243" t="str">
        <f>IF(NOMENCLATURE_GEN!C82="","",NOMENCLATURE_GEN!C82)</f>
        <v/>
      </c>
      <c r="D82" s="4">
        <f>IF(NOMENCLATURE_GEN!D82="","",NOMENCLATURE_GEN!D82)</f>
        <v>165</v>
      </c>
      <c r="E82" s="4" t="str">
        <f ca="1">IF(NOMENCLATURE_GEN!E82="","",NOMENCLATURE_GEN!E82)</f>
        <v>A</v>
      </c>
      <c r="F82" s="4" t="str">
        <f>IF(NOMENCLATURE_GEN!F82="","",NOMENCLATURE_GEN!F82)</f>
        <v>TBE</v>
      </c>
      <c r="G82" s="154" t="str">
        <f>IF(NOMENCLATURE_GEN!G82="","",NOMENCLATURE_GEN!G82)</f>
        <v>Convoyeur navette double sens de remplissage de la benne acier</v>
      </c>
      <c r="H82" s="320">
        <f>IF(NOMENCLATURE_GEN!H82="","",NOMENCLATURE_GEN!H82)</f>
        <v>1000</v>
      </c>
      <c r="I82" s="320">
        <f>IF(NOMENCLATURE_GEN!I82="","",NOMENCLATURE_GEN!I82)</f>
        <v>3000</v>
      </c>
      <c r="J82" s="321">
        <f>IF(NOMENCLATURE_GEN!J82="","",NOMENCLATURE_GEN!J82)</f>
        <v>0</v>
      </c>
      <c r="K82" s="411" t="s">
        <v>495</v>
      </c>
      <c r="L82" s="15">
        <v>1</v>
      </c>
      <c r="M82" s="16"/>
      <c r="N82" s="16"/>
      <c r="O82" s="16"/>
      <c r="P82" s="16"/>
      <c r="Q82" s="16"/>
      <c r="R82" s="16"/>
      <c r="S82" s="16"/>
      <c r="T82" s="16"/>
      <c r="U82" s="16"/>
      <c r="V82" s="16">
        <v>2</v>
      </c>
      <c r="W82" s="16"/>
      <c r="X82" s="16"/>
      <c r="Y82" s="16"/>
      <c r="Z82" s="16"/>
      <c r="AA82" s="16"/>
      <c r="AB82" s="16">
        <v>2</v>
      </c>
      <c r="AC82" s="17"/>
      <c r="AD82" s="7"/>
      <c r="AE82" s="7"/>
    </row>
    <row r="83" spans="1:31" s="8" customFormat="1" ht="39.950000000000003" customHeight="1">
      <c r="A83" s="3"/>
      <c r="B83" s="25" t="str">
        <f>IF(NOMENCLATURE_GEN!B83="","",NOMENCLATURE_GEN!B83)</f>
        <v/>
      </c>
      <c r="C83" s="243" t="str">
        <f>IF(NOMENCLATURE_GEN!C83="","",NOMENCLATURE_GEN!C83)</f>
        <v/>
      </c>
      <c r="D83" s="4">
        <f>IF(NOMENCLATURE_GEN!D83="","",NOMENCLATURE_GEN!D83)</f>
        <v>166</v>
      </c>
      <c r="E83" s="4" t="str">
        <f ca="1">IF(NOMENCLATURE_GEN!E83="","",NOMENCLATURE_GEN!E83)</f>
        <v>A</v>
      </c>
      <c r="F83" s="4" t="str">
        <f>IF(NOMENCLATURE_GEN!F83="","",NOMENCLATURE_GEN!F83)</f>
        <v>CYC</v>
      </c>
      <c r="G83" s="154" t="str">
        <f>IF(NOMENCLATURE_GEN!G83="","",NOMENCLATURE_GEN!G83)</f>
        <v>Cyclone &amp; écluse pour table densimétrique  - Ventilateur</v>
      </c>
      <c r="H83" s="320" t="str">
        <f>IF(NOMENCLATURE_GEN!H83="","",NOMENCLATURE_GEN!H83)</f>
        <v/>
      </c>
      <c r="I83" s="320" t="str">
        <f>IF(NOMENCLATURE_GEN!I83="","",NOMENCLATURE_GEN!I83)</f>
        <v/>
      </c>
      <c r="J83" s="321" t="str">
        <f>IF(NOMENCLATURE_GEN!J83="","",NOMENCLATURE_GEN!J83)</f>
        <v/>
      </c>
      <c r="K83" s="411" t="s">
        <v>495</v>
      </c>
      <c r="L83" s="15">
        <v>1</v>
      </c>
      <c r="M83" s="16"/>
      <c r="N83" s="16"/>
      <c r="O83" s="16"/>
      <c r="P83" s="16"/>
      <c r="Q83" s="16"/>
      <c r="R83" s="16"/>
      <c r="S83" s="16"/>
      <c r="T83" s="16"/>
      <c r="U83" s="10" t="s">
        <v>666</v>
      </c>
      <c r="V83" s="16"/>
      <c r="W83" s="16"/>
      <c r="X83" s="16"/>
      <c r="Y83" s="16"/>
      <c r="Z83" s="16"/>
      <c r="AA83" s="16"/>
      <c r="AB83" s="16">
        <v>1</v>
      </c>
      <c r="AC83" s="17"/>
      <c r="AD83" s="7"/>
      <c r="AE83" s="7"/>
    </row>
    <row r="84" spans="1:31" s="8" customFormat="1" ht="39.950000000000003" customHeight="1">
      <c r="A84" s="3"/>
      <c r="B84" s="25" t="str">
        <f>IF(NOMENCLATURE_GEN!B84="","",NOMENCLATURE_GEN!B84)</f>
        <v/>
      </c>
      <c r="C84" s="243" t="str">
        <f>IF(NOMENCLATURE_GEN!C84="","",NOMENCLATURE_GEN!C84)</f>
        <v/>
      </c>
      <c r="D84" s="4">
        <f>IF(NOMENCLATURE_GEN!D84="","",NOMENCLATURE_GEN!D84)</f>
        <v>166</v>
      </c>
      <c r="E84" s="4" t="str">
        <f ca="1">IF(NOMENCLATURE_GEN!E84="","",NOMENCLATURE_GEN!E84)</f>
        <v>B</v>
      </c>
      <c r="F84" s="4" t="str">
        <f>IF(NOMENCLATURE_GEN!F84="","",NOMENCLATURE_GEN!F84)</f>
        <v>CYC</v>
      </c>
      <c r="G84" s="154" t="str">
        <f>IF(NOMENCLATURE_GEN!G84="","",NOMENCLATURE_GEN!G84)</f>
        <v>Cyclone &amp; écluse pour table densimétrique - Ecluse</v>
      </c>
      <c r="H84" s="320" t="str">
        <f>IF(NOMENCLATURE_GEN!H84="","",NOMENCLATURE_GEN!H84)</f>
        <v/>
      </c>
      <c r="I84" s="320" t="str">
        <f>IF(NOMENCLATURE_GEN!I84="","",NOMENCLATURE_GEN!I84)</f>
        <v/>
      </c>
      <c r="J84" s="321" t="str">
        <f>IF(NOMENCLATURE_GEN!J84="","",NOMENCLATURE_GEN!J84)</f>
        <v/>
      </c>
      <c r="K84" s="411" t="s">
        <v>495</v>
      </c>
      <c r="L84" s="15">
        <v>1</v>
      </c>
      <c r="M84" s="16"/>
      <c r="N84" s="16"/>
      <c r="O84" s="16"/>
      <c r="P84" s="16"/>
      <c r="Q84" s="16"/>
      <c r="R84" s="16"/>
      <c r="S84" s="16"/>
      <c r="T84" s="16"/>
      <c r="U84" s="10" t="s">
        <v>666</v>
      </c>
      <c r="V84" s="16"/>
      <c r="W84" s="16"/>
      <c r="X84" s="16"/>
      <c r="Y84" s="16"/>
      <c r="Z84" s="16"/>
      <c r="AA84" s="16"/>
      <c r="AB84" s="16">
        <v>1</v>
      </c>
      <c r="AC84" s="17"/>
      <c r="AD84" s="7"/>
      <c r="AE84" s="7"/>
    </row>
    <row r="85" spans="1:31" s="8" customFormat="1" ht="39.950000000000003" customHeight="1">
      <c r="A85" s="3"/>
      <c r="B85" s="25" t="str">
        <f>IF(NOMENCLATURE_GEN!B85="","",NOMENCLATURE_GEN!B85)</f>
        <v/>
      </c>
      <c r="C85" s="243" t="str">
        <f>IF(NOMENCLATURE_GEN!C85="","",NOMENCLATURE_GEN!C85)</f>
        <v/>
      </c>
      <c r="D85" s="4">
        <f>IF(NOMENCLATURE_GEN!D85="","",NOMENCLATURE_GEN!D85)</f>
        <v>166</v>
      </c>
      <c r="E85" s="4" t="str">
        <f ca="1">IF(NOMENCLATURE_GEN!E85="","",NOMENCLATURE_GEN!E85)</f>
        <v>C</v>
      </c>
      <c r="F85" s="4" t="str">
        <f>IF(NOMENCLATURE_GEN!F85="","",NOMENCLATURE_GEN!F85)</f>
        <v>CYC</v>
      </c>
      <c r="G85" s="154" t="str">
        <f>IF(NOMENCLATURE_GEN!G85="","",NOMENCLATURE_GEN!G85)</f>
        <v>Cyclone &amp; écluse pour table densimétrique - Clapet motorisé</v>
      </c>
      <c r="H85" s="320" t="str">
        <f>IF(NOMENCLATURE_GEN!H85="","",NOMENCLATURE_GEN!H85)</f>
        <v/>
      </c>
      <c r="I85" s="320" t="str">
        <f>IF(NOMENCLATURE_GEN!I85="","",NOMENCLATURE_GEN!I85)</f>
        <v/>
      </c>
      <c r="J85" s="321" t="str">
        <f>IF(NOMENCLATURE_GEN!J85="","",NOMENCLATURE_GEN!J85)</f>
        <v/>
      </c>
      <c r="K85" s="411" t="s">
        <v>495</v>
      </c>
      <c r="L85" s="9" t="s">
        <v>667</v>
      </c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0" t="s">
        <v>663</v>
      </c>
      <c r="X85" s="16"/>
      <c r="Y85" s="16"/>
      <c r="Z85" s="16"/>
      <c r="AA85" s="16"/>
      <c r="AB85" s="16">
        <v>2</v>
      </c>
      <c r="AC85" s="11" t="s">
        <v>663</v>
      </c>
      <c r="AD85" s="7"/>
      <c r="AE85" s="7"/>
    </row>
    <row r="86" spans="1:31" s="8" customFormat="1" ht="39.950000000000003" customHeight="1">
      <c r="A86" s="3"/>
      <c r="B86" s="25" t="str">
        <f>IF(NOMENCLATURE_GEN!B86="","",NOMENCLATURE_GEN!B86)</f>
        <v/>
      </c>
      <c r="C86" s="243" t="str">
        <f>IF(NOMENCLATURE_GEN!C86="","",NOMENCLATURE_GEN!C86)</f>
        <v/>
      </c>
      <c r="D86" s="4">
        <f>IF(NOMENCLATURE_GEN!D86="","",NOMENCLATURE_GEN!D86)</f>
        <v>167</v>
      </c>
      <c r="E86" s="4" t="str">
        <f ca="1">IF(NOMENCLATURE_GEN!E86="","",NOMENCLATURE_GEN!E86)</f>
        <v>A</v>
      </c>
      <c r="F86" s="4" t="str">
        <f>IF(NOMENCLATURE_GEN!F86="","",NOMENCLATURE_GEN!F86)</f>
        <v>HYD</v>
      </c>
      <c r="G86" s="154" t="str">
        <f>IF(NOMENCLATURE_GEN!G86="","",NOMENCLATURE_GEN!G86)</f>
        <v>Centrale hydraulique de pilotage des FMA</v>
      </c>
      <c r="H86" s="320" t="str">
        <f>IF(NOMENCLATURE_GEN!H86="","",NOMENCLATURE_GEN!H86)</f>
        <v/>
      </c>
      <c r="I86" s="320" t="str">
        <f>IF(NOMENCLATURE_GEN!I86="","",NOMENCLATURE_GEN!I86)</f>
        <v/>
      </c>
      <c r="J86" s="321" t="str">
        <f>IF(NOMENCLATURE_GEN!J86="","",NOMENCLATURE_GEN!J86)</f>
        <v/>
      </c>
      <c r="K86" s="411" t="s">
        <v>495</v>
      </c>
      <c r="L86" s="9">
        <v>1</v>
      </c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1" t="s">
        <v>677</v>
      </c>
      <c r="AD86" s="7"/>
      <c r="AE86" s="7"/>
    </row>
    <row r="87" spans="1:31" s="8" customFormat="1" ht="39.950000000000003" hidden="1" customHeight="1">
      <c r="A87" s="3"/>
      <c r="B87" s="25" t="str">
        <f>IF(NOMENCLATURE_GEN!B87="","",NOMENCLATURE_GEN!B87)</f>
        <v>SUP</v>
      </c>
      <c r="C87" s="243" t="str">
        <f>IF(NOMENCLATURE_GEN!C87="","",NOMENCLATURE_GEN!C87)</f>
        <v/>
      </c>
      <c r="D87" s="4">
        <f>IF(NOMENCLATURE_GEN!D87="","",NOMENCLATURE_GEN!D87)</f>
        <v>168</v>
      </c>
      <c r="E87" s="4" t="str">
        <f ca="1">IF(NOMENCLATURE_GEN!E87="","",NOMENCLATURE_GEN!E87)</f>
        <v>A</v>
      </c>
      <c r="F87" s="4" t="str">
        <f>IF(NOMENCLATURE_GEN!F87="","",NOMENCLATURE_GEN!F87)</f>
        <v>FMA</v>
      </c>
      <c r="G87" s="154" t="str">
        <f>IF(NOMENCLATURE_GEN!G87="","",NOMENCLATURE_GEN!G87)</f>
        <v>Guide roue des FMA</v>
      </c>
      <c r="H87" s="320" t="str">
        <f>IF(NOMENCLATURE_GEN!H87="","",NOMENCLATURE_GEN!H87)</f>
        <v/>
      </c>
      <c r="I87" s="320" t="str">
        <f>IF(NOMENCLATURE_GEN!I87="","",NOMENCLATURE_GEN!I87)</f>
        <v/>
      </c>
      <c r="J87" s="321" t="str">
        <f>IF(NOMENCLATURE_GEN!J87="","",NOMENCLATURE_GEN!J87)</f>
        <v/>
      </c>
      <c r="K87" s="411" t="s">
        <v>494</v>
      </c>
      <c r="L87" s="15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7"/>
      <c r="AD87" s="7"/>
      <c r="AE87" s="7"/>
    </row>
    <row r="88" spans="1:31" s="8" customFormat="1" ht="15" hidden="1" customHeight="1">
      <c r="A88" s="3"/>
      <c r="B88" s="25" t="str">
        <f>IF(NOMENCLATURE_GEN!B88="","",NOMENCLATURE_GEN!B88)</f>
        <v>SUP</v>
      </c>
      <c r="C88" s="243" t="str">
        <f>IF(NOMENCLATURE_GEN!C88="","",NOMENCLATURE_GEN!C88)</f>
        <v/>
      </c>
      <c r="D88" s="4">
        <f>IF(NOMENCLATURE_GEN!D88="","",NOMENCLATURE_GEN!D88)</f>
        <v>169</v>
      </c>
      <c r="E88" s="4" t="str">
        <f ca="1">IF(NOMENCLATURE_GEN!E88="","",NOMENCLATURE_GEN!E88)</f>
        <v>A</v>
      </c>
      <c r="F88" s="4" t="str">
        <f>IF(NOMENCLATURE_GEN!F88="","",NOMENCLATURE_GEN!F88)</f>
        <v>FMA</v>
      </c>
      <c r="G88" s="154" t="str">
        <f>IF(NOMENCLATURE_GEN!G88="","",NOMENCLATURE_GEN!G88)</f>
        <v>Bloc roue des FMA</v>
      </c>
      <c r="H88" s="320" t="str">
        <f>IF(NOMENCLATURE_GEN!H88="","",NOMENCLATURE_GEN!H88)</f>
        <v/>
      </c>
      <c r="I88" s="320" t="str">
        <f>IF(NOMENCLATURE_GEN!I88="","",NOMENCLATURE_GEN!I88)</f>
        <v/>
      </c>
      <c r="J88" s="321" t="str">
        <f>IF(NOMENCLATURE_GEN!J88="","",NOMENCLATURE_GEN!J88)</f>
        <v/>
      </c>
      <c r="K88" s="411" t="s">
        <v>494</v>
      </c>
      <c r="L88" s="15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7"/>
      <c r="AD88" s="7"/>
      <c r="AE88" s="7"/>
    </row>
    <row r="89" spans="1:31" s="8" customFormat="1" ht="39.950000000000003" customHeight="1">
      <c r="A89" s="3"/>
      <c r="B89" s="25" t="str">
        <f>IF(NOMENCLATURE_GEN!B89="","",NOMENCLATURE_GEN!B89)</f>
        <v/>
      </c>
      <c r="C89" s="243" t="str">
        <f>IF(NOMENCLATURE_GEN!C89="","",NOMENCLATURE_GEN!C89)</f>
        <v/>
      </c>
      <c r="D89" s="4">
        <f>IF(NOMENCLATURE_GEN!D89="","",NOMENCLATURE_GEN!D89)</f>
        <v>170</v>
      </c>
      <c r="E89" s="4" t="str">
        <f ca="1">IF(NOMENCLATURE_GEN!E89="","",NOMENCLATURE_GEN!E89)</f>
        <v>A</v>
      </c>
      <c r="F89" s="4" t="str">
        <f>IF(NOMENCLATURE_GEN!F89="","",NOMENCLATURE_GEN!F89)</f>
        <v>COM</v>
      </c>
      <c r="G89" s="154" t="str">
        <f>IF(NOMENCLATURE_GEN!G89="","",NOMENCLATURE_GEN!G89)</f>
        <v>Compresseur + sécheur pour nettoyage trommel</v>
      </c>
      <c r="H89" s="320" t="str">
        <f>IF(NOMENCLATURE_GEN!H89="","",NOMENCLATURE_GEN!H89)</f>
        <v/>
      </c>
      <c r="I89" s="320" t="str">
        <f>IF(NOMENCLATURE_GEN!I89="","",NOMENCLATURE_GEN!I89)</f>
        <v/>
      </c>
      <c r="J89" s="321" t="str">
        <f>IF(NOMENCLATURE_GEN!J89="","",NOMENCLATURE_GEN!J89)</f>
        <v/>
      </c>
      <c r="K89" s="411" t="s">
        <v>495</v>
      </c>
      <c r="L89" s="15">
        <v>2</v>
      </c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1" t="s">
        <v>678</v>
      </c>
      <c r="AD89" s="7"/>
      <c r="AE89" s="7"/>
    </row>
    <row r="90" spans="1:31" s="8" customFormat="1" ht="39.950000000000003" customHeight="1">
      <c r="A90" s="3"/>
      <c r="B90" s="25" t="str">
        <f>IF(NOMENCLATURE_GEN!B90="","",NOMENCLATURE_GEN!B90)</f>
        <v/>
      </c>
      <c r="C90" s="243" t="str">
        <f>IF(NOMENCLATURE_GEN!C90="","",NOMENCLATURE_GEN!C90)</f>
        <v/>
      </c>
      <c r="D90" s="4">
        <f>IF(NOMENCLATURE_GEN!D90="","",NOMENCLATURE_GEN!D90)</f>
        <v>172</v>
      </c>
      <c r="E90" s="4" t="str">
        <f ca="1">IF(NOMENCLATURE_GEN!E90="","",NOMENCLATURE_GEN!E90)</f>
        <v>A</v>
      </c>
      <c r="F90" s="4" t="str">
        <f>IF(NOMENCLATURE_GEN!F90="","",NOMENCLATURE_GEN!F90)</f>
        <v>CBA</v>
      </c>
      <c r="G90" s="154" t="str">
        <f>IF(NOMENCLATURE_GEN!G90="","",NOMENCLATURE_GEN!G90)</f>
        <v>Convoyeur de reprise des légers 0-8mm by-pass (tampon ou métha)</v>
      </c>
      <c r="H90" s="320">
        <f>IF(NOMENCLATURE_GEN!H90="","",NOMENCLATURE_GEN!H90)</f>
        <v>1000</v>
      </c>
      <c r="I90" s="320">
        <f>IF(NOMENCLATURE_GEN!I90="","",NOMENCLATURE_GEN!I90)</f>
        <v>18250</v>
      </c>
      <c r="J90" s="321">
        <f>IF(NOMENCLATURE_GEN!J90="","",NOMENCLATURE_GEN!J90)</f>
        <v>12</v>
      </c>
      <c r="K90" s="411" t="s">
        <v>495</v>
      </c>
      <c r="L90" s="15">
        <v>1</v>
      </c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>
        <v>2</v>
      </c>
      <c r="AC90" s="17"/>
      <c r="AD90" s="7"/>
      <c r="AE90" s="7"/>
    </row>
    <row r="91" spans="1:31" s="8" customFormat="1" ht="39.950000000000003" customHeight="1">
      <c r="A91" s="3"/>
      <c r="B91" s="25" t="str">
        <f>IF(NOMENCLATURE_GEN!B91="","",NOMENCLATURE_GEN!B91)</f>
        <v/>
      </c>
      <c r="C91" s="243" t="str">
        <f>IF(NOMENCLATURE_GEN!C91="","",NOMENCLATURE_GEN!C91)</f>
        <v/>
      </c>
      <c r="D91" s="4">
        <f>IF(NOMENCLATURE_GEN!D91="","",NOMENCLATURE_GEN!D91)</f>
        <v>173</v>
      </c>
      <c r="E91" s="4" t="str">
        <f ca="1">IF(NOMENCLATURE_GEN!E91="","",NOMENCLATURE_GEN!E91)</f>
        <v>A</v>
      </c>
      <c r="F91" s="4" t="str">
        <f>IF(NOMENCLATURE_GEN!F91="","",NOMENCLATURE_GEN!F91)</f>
        <v>CBA</v>
      </c>
      <c r="G91" s="154" t="str">
        <f>IF(NOMENCLATURE_GEN!G91="","",NOMENCLATURE_GEN!G91)</f>
        <v>Convoyeur de transfert des légers 0-8mm vers métha</v>
      </c>
      <c r="H91" s="320">
        <f>IF(NOMENCLATURE_GEN!H91="","",NOMENCLATURE_GEN!H91)</f>
        <v>1000</v>
      </c>
      <c r="I91" s="320">
        <f>IF(NOMENCLATURE_GEN!I91="","",NOMENCLATURE_GEN!I91)</f>
        <v>12750</v>
      </c>
      <c r="J91" s="321">
        <f>IF(NOMENCLATURE_GEN!J91="","",NOMENCLATURE_GEN!J91)</f>
        <v>18</v>
      </c>
      <c r="K91" s="411" t="s">
        <v>495</v>
      </c>
      <c r="L91" s="15">
        <v>1</v>
      </c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>
        <v>1</v>
      </c>
      <c r="AC91" s="17"/>
      <c r="AD91" s="7"/>
      <c r="AE91" s="7"/>
    </row>
    <row r="92" spans="1:31" s="8" customFormat="1" ht="39.950000000000003" customHeight="1">
      <c r="A92" s="3"/>
      <c r="B92" s="25" t="str">
        <f>IF(NOMENCLATURE_GEN!B92="","",NOMENCLATURE_GEN!B92)</f>
        <v/>
      </c>
      <c r="C92" s="243" t="str">
        <f>IF(NOMENCLATURE_GEN!C92="","",NOMENCLATURE_GEN!C92)</f>
        <v/>
      </c>
      <c r="D92" s="4">
        <f>IF(NOMENCLATURE_GEN!D92="","",NOMENCLATURE_GEN!D92)</f>
        <v>174</v>
      </c>
      <c r="E92" s="4" t="str">
        <f ca="1">IF(NOMENCLATURE_GEN!E92="","",NOMENCLATURE_GEN!E92)</f>
        <v>A</v>
      </c>
      <c r="F92" s="4" t="str">
        <f>IF(NOMENCLATURE_GEN!F92="","",NOMENCLATURE_GEN!F92)</f>
        <v>CBA</v>
      </c>
      <c r="G92" s="154" t="str">
        <f>IF(NOMENCLATURE_GEN!G92="","",NOMENCLATURE_GEN!G92)</f>
        <v>Convoyeur de transfert vers tampon (casier de stockage ou trémie tampon)</v>
      </c>
      <c r="H92" s="320">
        <f>IF(NOMENCLATURE_GEN!H92="","",NOMENCLATURE_GEN!H92)</f>
        <v>1000</v>
      </c>
      <c r="I92" s="320">
        <f>IF(NOMENCLATURE_GEN!I92="","",NOMENCLATURE_GEN!I92)</f>
        <v>7250</v>
      </c>
      <c r="J92" s="321">
        <f>IF(NOMENCLATURE_GEN!J92="","",NOMENCLATURE_GEN!J92)</f>
        <v>15</v>
      </c>
      <c r="K92" s="411" t="s">
        <v>495</v>
      </c>
      <c r="L92" s="15">
        <v>1</v>
      </c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>
        <v>1</v>
      </c>
      <c r="AC92" s="17"/>
      <c r="AD92" s="7"/>
      <c r="AE92" s="7"/>
    </row>
    <row r="93" spans="1:31" s="8" customFormat="1" ht="39.950000000000003" customHeight="1">
      <c r="A93" s="3"/>
      <c r="B93" s="25" t="str">
        <f>IF(NOMENCLATURE_GEN!B93="","",NOMENCLATURE_GEN!B93)</f>
        <v/>
      </c>
      <c r="C93" s="243" t="str">
        <f>IF(NOMENCLATURE_GEN!C93="","",NOMENCLATURE_GEN!C93)</f>
        <v/>
      </c>
      <c r="D93" s="4">
        <f>IF(NOMENCLATURE_GEN!D93="","",NOMENCLATURE_GEN!D93)</f>
        <v>175</v>
      </c>
      <c r="E93" s="4" t="str">
        <f ca="1">IF(NOMENCLATURE_GEN!E93="","",NOMENCLATURE_GEN!E93)</f>
        <v>A</v>
      </c>
      <c r="F93" s="4" t="str">
        <f>IF(NOMENCLATURE_GEN!F93="","",NOMENCLATURE_GEN!F93)</f>
        <v>GLT</v>
      </c>
      <c r="G93" s="154" t="str">
        <f>IF(NOMENCLATURE_GEN!G93="","",NOMENCLATURE_GEN!G93)</f>
        <v>Goulotte by-pass (casier ou trémie tampon)</v>
      </c>
      <c r="H93" s="320" t="str">
        <f>IF(NOMENCLATURE_GEN!H93="","",NOMENCLATURE_GEN!H93)</f>
        <v/>
      </c>
      <c r="I93" s="320" t="str">
        <f>IF(NOMENCLATURE_GEN!I93="","",NOMENCLATURE_GEN!I93)</f>
        <v/>
      </c>
      <c r="J93" s="321" t="str">
        <f>IF(NOMENCLATURE_GEN!J93="","",NOMENCLATURE_GEN!J93)</f>
        <v/>
      </c>
      <c r="K93" s="411" t="s">
        <v>495</v>
      </c>
      <c r="L93" s="15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0" t="s">
        <v>668</v>
      </c>
      <c r="X93" s="16"/>
      <c r="Y93" s="16"/>
      <c r="Z93" s="16"/>
      <c r="AA93" s="16"/>
      <c r="AB93" s="16">
        <v>2</v>
      </c>
      <c r="AC93" s="11" t="s">
        <v>679</v>
      </c>
      <c r="AD93" s="7"/>
      <c r="AE93" s="7"/>
    </row>
    <row r="94" spans="1:31" s="8" customFormat="1" ht="39.950000000000003" hidden="1" customHeight="1">
      <c r="A94" s="3"/>
      <c r="B94" s="25" t="str">
        <f>IF(NOMENCLATURE_GEN!B94="","",NOMENCLATURE_GEN!B94)</f>
        <v>SUP</v>
      </c>
      <c r="C94" s="243" t="str">
        <f>IF(NOMENCLATURE_GEN!C94="","",NOMENCLATURE_GEN!C94)</f>
        <v/>
      </c>
      <c r="D94" s="4">
        <f>IF(NOMENCLATURE_GEN!D94="","",NOMENCLATURE_GEN!D94)</f>
        <v>176</v>
      </c>
      <c r="E94" s="4" t="str">
        <f ca="1">IF(NOMENCLATURE_GEN!E94="","",NOMENCLATURE_GEN!E94)</f>
        <v>A</v>
      </c>
      <c r="F94" s="4" t="str">
        <f>IF(NOMENCLATURE_GEN!F94="","",NOMENCLATURE_GEN!F94)</f>
        <v>TRE</v>
      </c>
      <c r="G94" s="154" t="str">
        <f>IF(NOMENCLATURE_GEN!G94="","",NOMENCLATURE_GEN!G94)</f>
        <v>Trémie de chargement</v>
      </c>
      <c r="H94" s="320" t="str">
        <f>IF(NOMENCLATURE_GEN!H94="","",NOMENCLATURE_GEN!H94)</f>
        <v/>
      </c>
      <c r="I94" s="320" t="str">
        <f>IF(NOMENCLATURE_GEN!I94="","",NOMENCLATURE_GEN!I94)</f>
        <v/>
      </c>
      <c r="J94" s="321" t="str">
        <f>IF(NOMENCLATURE_GEN!J94="","",NOMENCLATURE_GEN!J94)</f>
        <v/>
      </c>
      <c r="K94" s="411" t="s">
        <v>494</v>
      </c>
      <c r="L94" s="15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7"/>
      <c r="AD94" s="7"/>
      <c r="AE94" s="7"/>
    </row>
    <row r="95" spans="1:31" s="8" customFormat="1" ht="39.950000000000003" customHeight="1">
      <c r="A95" s="3"/>
      <c r="B95" s="25" t="str">
        <f>IF(NOMENCLATURE_GEN!B95="","",NOMENCLATURE_GEN!B95)</f>
        <v/>
      </c>
      <c r="C95" s="243" t="str">
        <f>IF(NOMENCLATURE_GEN!C95="","",NOMENCLATURE_GEN!C95)</f>
        <v/>
      </c>
      <c r="D95" s="4">
        <f>IF(NOMENCLATURE_GEN!D95="","",NOMENCLATURE_GEN!D95)</f>
        <v>177</v>
      </c>
      <c r="E95" s="4" t="str">
        <f ca="1">IF(NOMENCLATURE_GEN!E95="","",NOMENCLATURE_GEN!E95)</f>
        <v>A</v>
      </c>
      <c r="F95" s="4" t="str">
        <f>IF(NOMENCLATURE_GEN!F95="","",NOMENCLATURE_GEN!F95)</f>
        <v>EAB</v>
      </c>
      <c r="G95" s="154" t="str">
        <f>IF(NOMENCLATURE_GEN!G95="","",NOMENCLATURE_GEN!G95)</f>
        <v>Convoyeur alimentateur</v>
      </c>
      <c r="H95" s="320">
        <f>IF(NOMENCLATURE_GEN!H95="","",NOMENCLATURE_GEN!H95)</f>
        <v>1600</v>
      </c>
      <c r="I95" s="320">
        <f>IF(NOMENCLATURE_GEN!I95="","",NOMENCLATURE_GEN!I95)</f>
        <v>11500</v>
      </c>
      <c r="J95" s="321">
        <f>IF(NOMENCLATURE_GEN!J95="","",NOMENCLATURE_GEN!J95)</f>
        <v>8</v>
      </c>
      <c r="K95" s="411" t="s">
        <v>495</v>
      </c>
      <c r="L95" s="15">
        <v>1</v>
      </c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>
        <v>2</v>
      </c>
      <c r="AC95" s="17"/>
      <c r="AD95" s="7"/>
      <c r="AE95" s="7"/>
    </row>
    <row r="96" spans="1:31" s="8" customFormat="1" ht="39.950000000000003" customHeight="1">
      <c r="A96" s="3"/>
      <c r="B96" s="25" t="str">
        <f>IF(NOMENCLATURE_GEN!B96="","",NOMENCLATURE_GEN!B96)</f>
        <v/>
      </c>
      <c r="C96" s="243" t="str">
        <f>IF(NOMENCLATURE_GEN!C96="","",NOMENCLATURE_GEN!C96)</f>
        <v/>
      </c>
      <c r="D96" s="4">
        <f>IF(NOMENCLATURE_GEN!D96="","",NOMENCLATURE_GEN!D96)</f>
        <v>177</v>
      </c>
      <c r="E96" s="4" t="str">
        <f ca="1">IF(NOMENCLATURE_GEN!E96="","",NOMENCLATURE_GEN!E96)</f>
        <v>B</v>
      </c>
      <c r="F96" s="4" t="str">
        <f>IF(NOMENCLATURE_GEN!F96="","",NOMENCLATURE_GEN!F96)</f>
        <v>GRA</v>
      </c>
      <c r="G96" s="154" t="str">
        <f>IF(NOMENCLATURE_GEN!G96="","",NOMENCLATURE_GEN!G96)</f>
        <v>Convoyeur à bande et chaines - Centrale de graissage</v>
      </c>
      <c r="H96" s="320" t="str">
        <f>IF(NOMENCLATURE_GEN!H96="","",NOMENCLATURE_GEN!H96)</f>
        <v/>
      </c>
      <c r="I96" s="320" t="str">
        <f>IF(NOMENCLATURE_GEN!I96="","",NOMENCLATURE_GEN!I96)</f>
        <v/>
      </c>
      <c r="J96" s="321" t="str">
        <f>IF(NOMENCLATURE_GEN!J96="","",NOMENCLATURE_GEN!J96)</f>
        <v/>
      </c>
      <c r="K96" s="411" t="s">
        <v>495</v>
      </c>
      <c r="L96" s="15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1" t="s">
        <v>669</v>
      </c>
      <c r="AD96" s="7"/>
      <c r="AE96" s="7"/>
    </row>
    <row r="97" spans="1:31" s="8" customFormat="1" ht="39.950000000000003" customHeight="1">
      <c r="A97" s="3"/>
      <c r="B97" s="25" t="str">
        <f>IF(NOMENCLATURE_GEN!B97="","",NOMENCLATURE_GEN!B97)</f>
        <v/>
      </c>
      <c r="C97" s="243" t="str">
        <f>IF(NOMENCLATURE_GEN!C97="","",NOMENCLATURE_GEN!C97)</f>
        <v/>
      </c>
      <c r="D97" s="4">
        <f>IF(NOMENCLATURE_GEN!D97="","",NOMENCLATURE_GEN!D97)</f>
        <v>178</v>
      </c>
      <c r="E97" s="4" t="str">
        <f ca="1">IF(NOMENCLATURE_GEN!E97="","",NOMENCLATURE_GEN!E97)</f>
        <v>A</v>
      </c>
      <c r="F97" s="4" t="str">
        <f>IF(NOMENCLATURE_GEN!F97="","",NOMENCLATURE_GEN!F97)</f>
        <v>REG</v>
      </c>
      <c r="G97" s="154" t="str">
        <f>IF(NOMENCLATURE_GEN!G97="","",NOMENCLATURE_GEN!G97)</f>
        <v>Ebouleur</v>
      </c>
      <c r="H97" s="320">
        <f>IF(NOMENCLATURE_GEN!H97="","",NOMENCLATURE_GEN!H97)</f>
        <v>1600</v>
      </c>
      <c r="I97" s="320" t="str">
        <f>IF(NOMENCLATURE_GEN!I97="","",NOMENCLATURE_GEN!I97)</f>
        <v>Ø450</v>
      </c>
      <c r="J97" s="321" t="str">
        <f>IF(NOMENCLATURE_GEN!J97="","",NOMENCLATURE_GEN!J97)</f>
        <v/>
      </c>
      <c r="K97" s="411" t="s">
        <v>495</v>
      </c>
      <c r="L97" s="15">
        <v>1</v>
      </c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>
        <v>2</v>
      </c>
      <c r="AC97" s="17"/>
      <c r="AD97" s="7"/>
      <c r="AE97" s="7"/>
    </row>
    <row r="98" spans="1:31" s="8" customFormat="1" ht="39.950000000000003" customHeight="1">
      <c r="A98" s="3"/>
      <c r="B98" s="25" t="str">
        <f>IF(NOMENCLATURE_GEN!B98="","",NOMENCLATURE_GEN!B98)</f>
        <v/>
      </c>
      <c r="C98" s="243" t="str">
        <f>IF(NOMENCLATURE_GEN!C98="","",NOMENCLATURE_GEN!C98)</f>
        <v/>
      </c>
      <c r="D98" s="4">
        <f>IF(NOMENCLATURE_GEN!D98="","",NOMENCLATURE_GEN!D98)</f>
        <v>178</v>
      </c>
      <c r="E98" s="4" t="str">
        <f ca="1">IF(NOMENCLATURE_GEN!E98="","",NOMENCLATURE_GEN!E98)</f>
        <v>B</v>
      </c>
      <c r="F98" s="4" t="str">
        <f>IF(NOMENCLATURE_GEN!F98="","",NOMENCLATURE_GEN!F98)</f>
        <v>REG</v>
      </c>
      <c r="G98" s="154" t="str">
        <f>IF(NOMENCLATURE_GEN!G98="","",NOMENCLATURE_GEN!G98)</f>
        <v>Ebouleur</v>
      </c>
      <c r="H98" s="320">
        <f>IF(NOMENCLATURE_GEN!H98="","",NOMENCLATURE_GEN!H98)</f>
        <v>1600</v>
      </c>
      <c r="I98" s="320" t="str">
        <f>IF(NOMENCLATURE_GEN!I98="","",NOMENCLATURE_GEN!I98)</f>
        <v>Ø450</v>
      </c>
      <c r="J98" s="321" t="str">
        <f>IF(NOMENCLATURE_GEN!J98="","",NOMENCLATURE_GEN!J98)</f>
        <v/>
      </c>
      <c r="K98" s="411" t="s">
        <v>495</v>
      </c>
      <c r="L98" s="9" t="s">
        <v>670</v>
      </c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>
        <v>2</v>
      </c>
      <c r="AC98" s="17"/>
      <c r="AD98" s="7"/>
      <c r="AE98" s="7"/>
    </row>
    <row r="99" spans="1:31" s="8" customFormat="1" ht="39.950000000000003" customHeight="1">
      <c r="A99" s="3"/>
      <c r="B99" s="25" t="str">
        <f>IF(NOMENCLATURE_GEN!B99="","",NOMENCLATURE_GEN!B99)</f>
        <v/>
      </c>
      <c r="C99" s="243" t="str">
        <f>IF(NOMENCLATURE_GEN!C99="","",NOMENCLATURE_GEN!C99)</f>
        <v/>
      </c>
      <c r="D99" s="4">
        <f>IF(NOMENCLATURE_GEN!D99="","",NOMENCLATURE_GEN!D99)</f>
        <v>179</v>
      </c>
      <c r="E99" s="4" t="str">
        <f ca="1">IF(NOMENCLATURE_GEN!E99="","",NOMENCLATURE_GEN!E99)</f>
        <v>A</v>
      </c>
      <c r="F99" s="4" t="str">
        <f>IF(NOMENCLATURE_GEN!F99="","",NOMENCLATURE_GEN!F99)</f>
        <v>CBA</v>
      </c>
      <c r="G99" s="154" t="str">
        <f>IF(NOMENCLATURE_GEN!G99="","",NOMENCLATURE_GEN!G99)</f>
        <v>Convoyeur de transfert des légers 0-8mm vers métha</v>
      </c>
      <c r="H99" s="320">
        <f>IF(NOMENCLATURE_GEN!H99="","",NOMENCLATURE_GEN!H99)</f>
        <v>1000</v>
      </c>
      <c r="I99" s="320">
        <f>IF(NOMENCLATURE_GEN!I99="","",NOMENCLATURE_GEN!I99)</f>
        <v>18250</v>
      </c>
      <c r="J99" s="321">
        <f>IF(NOMENCLATURE_GEN!J99="","",NOMENCLATURE_GEN!J99)</f>
        <v>9</v>
      </c>
      <c r="K99" s="411" t="s">
        <v>495</v>
      </c>
      <c r="L99" s="15">
        <v>1</v>
      </c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>
        <v>1</v>
      </c>
      <c r="AC99" s="17"/>
      <c r="AD99" s="7"/>
      <c r="AE99" s="7"/>
    </row>
    <row r="100" spans="1:31" s="8" customFormat="1" ht="39.950000000000003" customHeight="1">
      <c r="A100" s="3"/>
      <c r="B100" s="25" t="str">
        <f>IF(NOMENCLATURE_GEN!B100="","",NOMENCLATURE_GEN!B100)</f>
        <v/>
      </c>
      <c r="C100" s="243" t="str">
        <f>IF(NOMENCLATURE_GEN!C100="","",NOMENCLATURE_GEN!C100)</f>
        <v/>
      </c>
      <c r="D100" s="4">
        <f>IF(NOMENCLATURE_GEN!D100="","",NOMENCLATURE_GEN!D100)</f>
        <v>180</v>
      </c>
      <c r="E100" s="4" t="str">
        <f ca="1">IF(NOMENCLATURE_GEN!E100="","",NOMENCLATURE_GEN!E100)</f>
        <v>A</v>
      </c>
      <c r="F100" s="4" t="str">
        <f>IF(NOMENCLATURE_GEN!F100="","",NOMENCLATURE_GEN!F100)</f>
        <v>CBA</v>
      </c>
      <c r="G100" s="154" t="str">
        <f>IF(NOMENCLATURE_GEN!G100="","",NOMENCLATURE_GEN!G100)</f>
        <v>Convoyeur de transfert des légers 0-8mm vers métha</v>
      </c>
      <c r="H100" s="320">
        <f>IF(NOMENCLATURE_GEN!H100="","",NOMENCLATURE_GEN!H100)</f>
        <v>1000</v>
      </c>
      <c r="I100" s="320">
        <f>IF(NOMENCLATURE_GEN!I100="","",NOMENCLATURE_GEN!I100)</f>
        <v>6250</v>
      </c>
      <c r="J100" s="321">
        <f>IF(NOMENCLATURE_GEN!J100="","",NOMENCLATURE_GEN!J100)</f>
        <v>18</v>
      </c>
      <c r="K100" s="411" t="s">
        <v>495</v>
      </c>
      <c r="L100" s="15">
        <v>1</v>
      </c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>
        <v>1</v>
      </c>
      <c r="AC100" s="17"/>
      <c r="AD100" s="7"/>
      <c r="AE100" s="7"/>
    </row>
    <row r="101" spans="1:31" s="8" customFormat="1" ht="39.950000000000003" customHeight="1">
      <c r="A101" s="3"/>
      <c r="B101" s="25" t="str">
        <f>IF(NOMENCLATURE_GEN!B101="","",NOMENCLATURE_GEN!B101)</f>
        <v/>
      </c>
      <c r="C101" s="243" t="str">
        <f>IF(NOMENCLATURE_GEN!C101="","",NOMENCLATURE_GEN!C101)</f>
        <v/>
      </c>
      <c r="D101" s="4">
        <f>IF(NOMENCLATURE_GEN!D101="","",NOMENCLATURE_GEN!D101)</f>
        <v>181</v>
      </c>
      <c r="E101" s="4" t="str">
        <f ca="1">IF(NOMENCLATURE_GEN!E101="","",NOMENCLATURE_GEN!E101)</f>
        <v>A</v>
      </c>
      <c r="F101" s="4" t="str">
        <f>IF(NOMENCLATURE_GEN!F101="","",NOMENCLATURE_GEN!F101)</f>
        <v>CBA</v>
      </c>
      <c r="G101" s="154" t="str">
        <f>IF(NOMENCLATURE_GEN!G101="","",NOMENCLATURE_GEN!G101)</f>
        <v>Convoyeur de transfert des légers 0-8mm vers métha</v>
      </c>
      <c r="H101" s="320">
        <f>IF(NOMENCLATURE_GEN!H101="","",NOMENCLATURE_GEN!H101)</f>
        <v>1000</v>
      </c>
      <c r="I101" s="320">
        <f>IF(NOMENCLATURE_GEN!I101="","",NOMENCLATURE_GEN!I101)</f>
        <v>22250</v>
      </c>
      <c r="J101" s="321">
        <f>IF(NOMENCLATURE_GEN!J101="","",NOMENCLATURE_GEN!J101)</f>
        <v>19</v>
      </c>
      <c r="K101" s="411" t="s">
        <v>495</v>
      </c>
      <c r="L101" s="15">
        <v>1</v>
      </c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>
        <v>1</v>
      </c>
      <c r="AC101" s="17"/>
      <c r="AD101" s="7"/>
      <c r="AE101" s="7"/>
    </row>
    <row r="102" spans="1:31" s="8" customFormat="1" ht="39.950000000000003" customHeight="1">
      <c r="A102" s="3"/>
      <c r="B102" s="25" t="str">
        <f>IF(NOMENCLATURE_GEN!B102="","",NOMENCLATURE_GEN!B102)</f>
        <v/>
      </c>
      <c r="C102" s="243" t="str">
        <f>IF(NOMENCLATURE_GEN!C102="","",NOMENCLATURE_GEN!C102)</f>
        <v/>
      </c>
      <c r="D102" s="4">
        <f>IF(NOMENCLATURE_GEN!D102="","",NOMENCLATURE_GEN!D102)</f>
        <v>182</v>
      </c>
      <c r="E102" s="4" t="str">
        <f ca="1">IF(NOMENCLATURE_GEN!E102="","",NOMENCLATURE_GEN!E102)</f>
        <v>A</v>
      </c>
      <c r="F102" s="4" t="str">
        <f>IF(NOMENCLATURE_GEN!F102="","",NOMENCLATURE_GEN!F102)</f>
        <v>NAV</v>
      </c>
      <c r="G102" s="154" t="str">
        <f>IF(NOMENCLATURE_GEN!G102="","",NOMENCLATURE_GEN!G102)</f>
        <v>Système navette pour convoyeur mobile remplissage REPERE 165 benne métaux</v>
      </c>
      <c r="H102" s="320" t="str">
        <f>IF(NOMENCLATURE_GEN!H102="","",NOMENCLATURE_GEN!H102)</f>
        <v/>
      </c>
      <c r="I102" s="320" t="str">
        <f>IF(NOMENCLATURE_GEN!I102="","",NOMENCLATURE_GEN!I102)</f>
        <v/>
      </c>
      <c r="J102" s="321" t="str">
        <f>IF(NOMENCLATURE_GEN!J102="","",NOMENCLATURE_GEN!J102)</f>
        <v/>
      </c>
      <c r="K102" s="412" t="s">
        <v>495</v>
      </c>
      <c r="L102" s="9" t="s">
        <v>671</v>
      </c>
      <c r="M102" s="16"/>
      <c r="N102" s="16"/>
      <c r="O102" s="16"/>
      <c r="P102" s="16"/>
      <c r="Q102" s="16"/>
      <c r="R102" s="16"/>
      <c r="S102" s="16"/>
      <c r="T102" s="16"/>
      <c r="U102" s="16"/>
      <c r="V102" s="16">
        <v>2</v>
      </c>
      <c r="W102" s="16">
        <v>4</v>
      </c>
      <c r="X102" s="16"/>
      <c r="Y102" s="16"/>
      <c r="Z102" s="16"/>
      <c r="AA102" s="16"/>
      <c r="AB102" s="16">
        <v>2</v>
      </c>
      <c r="AC102" s="17"/>
      <c r="AD102" s="7"/>
      <c r="AE102" s="7"/>
    </row>
    <row r="103" spans="1:31" s="8" customFormat="1" ht="39.950000000000003" hidden="1" customHeight="1">
      <c r="A103" s="3"/>
      <c r="B103" s="25" t="str">
        <f>IF(NOMENCLATURE_GEN!B103="","",NOMENCLATURE_GEN!B103)</f>
        <v/>
      </c>
      <c r="C103" s="243" t="str">
        <f>IF(NOMENCLATURE_GEN!C103="","",NOMENCLATURE_GEN!C103)</f>
        <v/>
      </c>
      <c r="D103" s="4">
        <f>IF(NOMENCLATURE_GEN!D103="","",NOMENCLATURE_GEN!D103)</f>
        <v>184</v>
      </c>
      <c r="E103" s="4" t="str">
        <f ca="1">IF(NOMENCLATURE_GEN!E103="","",NOMENCLATURE_GEN!E103)</f>
        <v>A</v>
      </c>
      <c r="F103" s="4" t="str">
        <f>IF(NOMENCLATURE_GEN!F103="","",NOMENCLATURE_GEN!F103)</f>
        <v>CHA</v>
      </c>
      <c r="G103" s="154" t="str">
        <f>IF(NOMENCLATURE_GEN!G103="","",NOMENCLATURE_GEN!G103)</f>
        <v>Charpente support trommel primaire &amp; passerelle d'accès maintenance</v>
      </c>
      <c r="H103" s="320" t="str">
        <f>IF(NOMENCLATURE_GEN!H103="","",NOMENCLATURE_GEN!H103)</f>
        <v/>
      </c>
      <c r="I103" s="320" t="str">
        <f>IF(NOMENCLATURE_GEN!I103="","",NOMENCLATURE_GEN!I103)</f>
        <v/>
      </c>
      <c r="J103" s="321" t="str">
        <f>IF(NOMENCLATURE_GEN!J103="","",NOMENCLATURE_GEN!J103)</f>
        <v/>
      </c>
      <c r="K103" s="412" t="s">
        <v>494</v>
      </c>
      <c r="L103" s="15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7"/>
      <c r="AD103" s="7"/>
      <c r="AE103" s="7"/>
    </row>
    <row r="104" spans="1:31" s="8" customFormat="1" ht="39.950000000000003" hidden="1" customHeight="1">
      <c r="A104" s="3"/>
      <c r="B104" s="25" t="str">
        <f>IF(NOMENCLATURE_GEN!B104="","",NOMENCLATURE_GEN!B104)</f>
        <v/>
      </c>
      <c r="C104" s="243" t="str">
        <f>IF(NOMENCLATURE_GEN!C104="","",NOMENCLATURE_GEN!C104)</f>
        <v/>
      </c>
      <c r="D104" s="4">
        <f>IF(NOMENCLATURE_GEN!D104="","",NOMENCLATURE_GEN!D104)</f>
        <v>185</v>
      </c>
      <c r="E104" s="4" t="str">
        <f ca="1">IF(NOMENCLATURE_GEN!E104="","",NOMENCLATURE_GEN!E104)</f>
        <v>A</v>
      </c>
      <c r="F104" s="4" t="str">
        <f>IF(NOMENCLATURE_GEN!F104="","",NOMENCLATURE_GEN!F104)</f>
        <v>CHA</v>
      </c>
      <c r="G104" s="154" t="str">
        <f>IF(NOMENCLATURE_GEN!G104="","",NOMENCLATURE_GEN!G104)</f>
        <v>Charpente support trommel secondaire &amp; passerelle d'accès maintenance</v>
      </c>
      <c r="H104" s="320" t="str">
        <f>IF(NOMENCLATURE_GEN!H104="","",NOMENCLATURE_GEN!H104)</f>
        <v/>
      </c>
      <c r="I104" s="320" t="str">
        <f>IF(NOMENCLATURE_GEN!I104="","",NOMENCLATURE_GEN!I104)</f>
        <v/>
      </c>
      <c r="J104" s="321" t="str">
        <f>IF(NOMENCLATURE_GEN!J104="","",NOMENCLATURE_GEN!J104)</f>
        <v/>
      </c>
      <c r="K104" s="412" t="s">
        <v>494</v>
      </c>
      <c r="L104" s="15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7"/>
      <c r="AD104" s="7"/>
      <c r="AE104" s="7"/>
    </row>
    <row r="105" spans="1:31" s="8" customFormat="1" ht="39.950000000000003" hidden="1" customHeight="1">
      <c r="A105" s="3"/>
      <c r="B105" s="25" t="str">
        <f>IF(NOMENCLATURE_GEN!B105="","",NOMENCLATURE_GEN!B105)</f>
        <v/>
      </c>
      <c r="C105" s="243" t="str">
        <f>IF(NOMENCLATURE_GEN!C105="","",NOMENCLATURE_GEN!C105)</f>
        <v/>
      </c>
      <c r="D105" s="4">
        <f>IF(NOMENCLATURE_GEN!D105="","",NOMENCLATURE_GEN!D105)</f>
        <v>186</v>
      </c>
      <c r="E105" s="4" t="str">
        <f ca="1">IF(NOMENCLATURE_GEN!E105="","",NOMENCLATURE_GEN!E105)</f>
        <v>A</v>
      </c>
      <c r="F105" s="4" t="str">
        <f>IF(NOMENCLATURE_GEN!F105="","",NOMENCLATURE_GEN!F105)</f>
        <v>CHA</v>
      </c>
      <c r="G105" s="154" t="str">
        <f>IF(NOMENCLATURE_GEN!G105="","",NOMENCLATURE_GEN!G105)</f>
        <v>Plateforme accès maintenancepour les SNF</v>
      </c>
      <c r="H105" s="320">
        <f>IF(NOMENCLATURE_GEN!H105="","",NOMENCLATURE_GEN!H105)</f>
        <v>12000</v>
      </c>
      <c r="I105" s="320">
        <f>IF(NOMENCLATURE_GEN!I105="","",NOMENCLATURE_GEN!I105)</f>
        <v>10000</v>
      </c>
      <c r="J105" s="321" t="str">
        <f>IF(NOMENCLATURE_GEN!J105="","",NOMENCLATURE_GEN!J105)</f>
        <v/>
      </c>
      <c r="K105" s="412" t="s">
        <v>494</v>
      </c>
      <c r="L105" s="15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7"/>
      <c r="AD105" s="7"/>
      <c r="AE105" s="7"/>
    </row>
    <row r="106" spans="1:31" s="8" customFormat="1" ht="39.950000000000003" hidden="1" customHeight="1">
      <c r="A106" s="3"/>
      <c r="B106" s="25" t="str">
        <f>IF(NOMENCLATURE_GEN!B106="","",NOMENCLATURE_GEN!B106)</f>
        <v/>
      </c>
      <c r="C106" s="243" t="str">
        <f>IF(NOMENCLATURE_GEN!C106="","",NOMENCLATURE_GEN!C106)</f>
        <v/>
      </c>
      <c r="D106" s="4">
        <f>IF(NOMENCLATURE_GEN!D106="","",NOMENCLATURE_GEN!D106)</f>
        <v>187</v>
      </c>
      <c r="E106" s="4" t="str">
        <f ca="1">IF(NOMENCLATURE_GEN!E106="","",NOMENCLATURE_GEN!E106)</f>
        <v>A</v>
      </c>
      <c r="F106" s="4" t="str">
        <f>IF(NOMENCLATURE_GEN!F106="","",NOMENCLATURE_GEN!F106)</f>
        <v>CHA</v>
      </c>
      <c r="G106" s="154" t="str">
        <f>IF(NOMENCLATURE_GEN!G106="","",NOMENCLATURE_GEN!G106)</f>
        <v>Charpente support pour OVB y compris goulotte inox et protection</v>
      </c>
      <c r="H106" s="320" t="str">
        <f>IF(NOMENCLATURE_GEN!H106="","",NOMENCLATURE_GEN!H106)</f>
        <v/>
      </c>
      <c r="I106" s="320" t="str">
        <f>IF(NOMENCLATURE_GEN!I106="","",NOMENCLATURE_GEN!I106)</f>
        <v/>
      </c>
      <c r="J106" s="321" t="str">
        <f>IF(NOMENCLATURE_GEN!J106="","",NOMENCLATURE_GEN!J106)</f>
        <v/>
      </c>
      <c r="K106" s="412" t="s">
        <v>494</v>
      </c>
      <c r="L106" s="15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7"/>
      <c r="AD106" s="7"/>
      <c r="AE106" s="7"/>
    </row>
    <row r="107" spans="1:31" s="8" customFormat="1" ht="39.950000000000003" hidden="1" customHeight="1">
      <c r="A107" s="3"/>
      <c r="B107" s="25" t="str">
        <f>IF(NOMENCLATURE_GEN!B107="","",NOMENCLATURE_GEN!B107)</f>
        <v/>
      </c>
      <c r="C107" s="243" t="str">
        <f>IF(NOMENCLATURE_GEN!C107="","",NOMENCLATURE_GEN!C107)</f>
        <v/>
      </c>
      <c r="D107" s="4">
        <f>IF(NOMENCLATURE_GEN!D107="","",NOMENCLATURE_GEN!D107)</f>
        <v>188</v>
      </c>
      <c r="E107" s="4" t="str">
        <f ca="1">IF(NOMENCLATURE_GEN!E107="","",NOMENCLATURE_GEN!E107)</f>
        <v>A</v>
      </c>
      <c r="F107" s="4" t="str">
        <f>IF(NOMENCLATURE_GEN!F107="","",NOMENCLATURE_GEN!F107)</f>
        <v>CHA</v>
      </c>
      <c r="G107" s="154" t="str">
        <f>IF(NOMENCLATURE_GEN!G107="","",NOMENCLATURE_GEN!G107)</f>
        <v>Plateforme accès maintenance NIV1 pour balistiques &amp; crible trampoline</v>
      </c>
      <c r="H107" s="320">
        <f>IF(NOMENCLATURE_GEN!H107="","",NOMENCLATURE_GEN!H107)</f>
        <v>5200</v>
      </c>
      <c r="I107" s="320">
        <f>IF(NOMENCLATURE_GEN!I107="","",NOMENCLATURE_GEN!I107)</f>
        <v>26500</v>
      </c>
      <c r="J107" s="321" t="str">
        <f>IF(NOMENCLATURE_GEN!J107="","",NOMENCLATURE_GEN!J107)</f>
        <v/>
      </c>
      <c r="K107" s="412" t="s">
        <v>494</v>
      </c>
      <c r="L107" s="15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7"/>
      <c r="AD107" s="7"/>
      <c r="AE107" s="7"/>
    </row>
    <row r="108" spans="1:31" s="8" customFormat="1" ht="39.950000000000003" hidden="1" customHeight="1">
      <c r="A108" s="3"/>
      <c r="B108" s="25" t="str">
        <f>IF(NOMENCLATURE_GEN!B108="","",NOMENCLATURE_GEN!B108)</f>
        <v/>
      </c>
      <c r="C108" s="243" t="str">
        <f>IF(NOMENCLATURE_GEN!C108="","",NOMENCLATURE_GEN!C108)</f>
        <v/>
      </c>
      <c r="D108" s="4">
        <f>IF(NOMENCLATURE_GEN!D108="","",NOMENCLATURE_GEN!D108)</f>
        <v>189</v>
      </c>
      <c r="E108" s="4" t="str">
        <f ca="1">IF(NOMENCLATURE_GEN!E108="","",NOMENCLATURE_GEN!E108)</f>
        <v>A</v>
      </c>
      <c r="F108" s="4" t="str">
        <f>IF(NOMENCLATURE_GEN!F108="","",NOMENCLATURE_GEN!F108)</f>
        <v>CHA</v>
      </c>
      <c r="G108" s="154" t="str">
        <f>IF(NOMENCLATURE_GEN!G108="","",NOMENCLATURE_GEN!G108)</f>
        <v>Plateforme accès maintenance NIV2 pour balistiques &amp; crible trampoline</v>
      </c>
      <c r="H108" s="320">
        <f>IF(NOMENCLATURE_GEN!H108="","",NOMENCLATURE_GEN!H108)</f>
        <v>5200</v>
      </c>
      <c r="I108" s="320">
        <f>IF(NOMENCLATURE_GEN!I108="","",NOMENCLATURE_GEN!I108)</f>
        <v>23000</v>
      </c>
      <c r="J108" s="321" t="str">
        <f>IF(NOMENCLATURE_GEN!J108="","",NOMENCLATURE_GEN!J108)</f>
        <v/>
      </c>
      <c r="K108" s="412" t="s">
        <v>494</v>
      </c>
      <c r="L108" s="15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7"/>
      <c r="AD108" s="7"/>
      <c r="AE108" s="7"/>
    </row>
    <row r="109" spans="1:31" s="8" customFormat="1" ht="39.950000000000003" hidden="1" customHeight="1">
      <c r="A109" s="3"/>
      <c r="B109" s="25" t="str">
        <f>IF(NOMENCLATURE_GEN!B109="","",NOMENCLATURE_GEN!B109)</f>
        <v/>
      </c>
      <c r="C109" s="243" t="str">
        <f>IF(NOMENCLATURE_GEN!C109="","",NOMENCLATURE_GEN!C109)</f>
        <v/>
      </c>
      <c r="D109" s="4">
        <f>IF(NOMENCLATURE_GEN!D109="","",NOMENCLATURE_GEN!D109)</f>
        <v>190</v>
      </c>
      <c r="E109" s="4" t="str">
        <f ca="1">IF(NOMENCLATURE_GEN!E109="","",NOMENCLATURE_GEN!E109)</f>
        <v>A</v>
      </c>
      <c r="F109" s="4" t="str">
        <f>IF(NOMENCLATURE_GEN!F109="","",NOMENCLATURE_GEN!F109)</f>
        <v>CHA</v>
      </c>
      <c r="G109" s="154" t="str">
        <f>IF(NOMENCLATURE_GEN!G109="","",NOMENCLATURE_GEN!G109)</f>
        <v>Plateforme accès maintenance pour crible trampoline + charpente</v>
      </c>
      <c r="H109" s="320" t="str">
        <f>IF(NOMENCLATURE_GEN!H109="","",NOMENCLATURE_GEN!H109)</f>
        <v/>
      </c>
      <c r="I109" s="320" t="str">
        <f>IF(NOMENCLATURE_GEN!I109="","",NOMENCLATURE_GEN!I109)</f>
        <v/>
      </c>
      <c r="J109" s="321" t="str">
        <f>IF(NOMENCLATURE_GEN!J109="","",NOMENCLATURE_GEN!J109)</f>
        <v/>
      </c>
      <c r="K109" s="412" t="s">
        <v>494</v>
      </c>
      <c r="L109" s="15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7"/>
      <c r="AD109" s="7"/>
      <c r="AE109" s="7"/>
    </row>
    <row r="110" spans="1:31" s="8" customFormat="1" ht="39.950000000000003" hidden="1" customHeight="1">
      <c r="A110" s="3"/>
      <c r="B110" s="25" t="str">
        <f>IF(NOMENCLATURE_GEN!B110="","",NOMENCLATURE_GEN!B110)</f>
        <v/>
      </c>
      <c r="C110" s="243" t="str">
        <f>IF(NOMENCLATURE_GEN!C110="","",NOMENCLATURE_GEN!C110)</f>
        <v/>
      </c>
      <c r="D110" s="4">
        <f>IF(NOMENCLATURE_GEN!D110="","",NOMENCLATURE_GEN!D110)</f>
        <v>191</v>
      </c>
      <c r="E110" s="4" t="str">
        <f ca="1">IF(NOMENCLATURE_GEN!E110="","",NOMENCLATURE_GEN!E110)</f>
        <v>A</v>
      </c>
      <c r="F110" s="4" t="str">
        <f>IF(NOMENCLATURE_GEN!F110="","",NOMENCLATURE_GEN!F110)</f>
        <v>CHA</v>
      </c>
      <c r="G110" s="154" t="str">
        <f>IF(NOMENCLATURE_GEN!G110="","",NOMENCLATURE_GEN!G110)</f>
        <v>Plateforme accès maintenance table TF &amp; cyclone</v>
      </c>
      <c r="H110" s="320">
        <f>IF(NOMENCLATURE_GEN!H110="","",NOMENCLATURE_GEN!H110)</f>
        <v>5500</v>
      </c>
      <c r="I110" s="320">
        <f>IF(NOMENCLATURE_GEN!I110="","",NOMENCLATURE_GEN!I110)</f>
        <v>9600</v>
      </c>
      <c r="J110" s="321" t="str">
        <f>IF(NOMENCLATURE_GEN!J110="","",NOMENCLATURE_GEN!J110)</f>
        <v/>
      </c>
      <c r="K110" s="412" t="s">
        <v>494</v>
      </c>
      <c r="L110" s="15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7"/>
      <c r="AD110" s="7"/>
      <c r="AE110" s="7"/>
    </row>
    <row r="111" spans="1:31" s="8" customFormat="1" ht="39.950000000000003" hidden="1" customHeight="1">
      <c r="A111" s="3"/>
      <c r="B111" s="25" t="str">
        <f>IF(NOMENCLATURE_GEN!B111="","",NOMENCLATURE_GEN!B111)</f>
        <v/>
      </c>
      <c r="C111" s="243" t="str">
        <f>IF(NOMENCLATURE_GEN!C111="","",NOMENCLATURE_GEN!C111)</f>
        <v/>
      </c>
      <c r="D111" s="4">
        <f>IF(NOMENCLATURE_GEN!D111="","",NOMENCLATURE_GEN!D111)</f>
        <v>192</v>
      </c>
      <c r="E111" s="4" t="str">
        <f ca="1">IF(NOMENCLATURE_GEN!E111="","",NOMENCLATURE_GEN!E111)</f>
        <v>A</v>
      </c>
      <c r="F111" s="4" t="str">
        <f>IF(NOMENCLATURE_GEN!F111="","",NOMENCLATURE_GEN!F111)</f>
        <v>CHA</v>
      </c>
      <c r="G111" s="154" t="str">
        <f>IF(NOMENCLATURE_GEN!G111="","",NOMENCLATURE_GEN!G111)</f>
        <v>Ensemble des passerelles d'accès maintenance tête &amp; pied CVY</v>
      </c>
      <c r="H111" s="320">
        <f>IF(NOMENCLATURE_GEN!H111="","",NOMENCLATURE_GEN!H111)</f>
        <v>4500</v>
      </c>
      <c r="I111" s="320">
        <f>IF(NOMENCLATURE_GEN!I111="","",NOMENCLATURE_GEN!I111)</f>
        <v>4500</v>
      </c>
      <c r="J111" s="321" t="str">
        <f>IF(NOMENCLATURE_GEN!J111="","",NOMENCLATURE_GEN!J111)</f>
        <v/>
      </c>
      <c r="K111" s="412" t="s">
        <v>494</v>
      </c>
      <c r="L111" s="15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7"/>
      <c r="AD111" s="7"/>
      <c r="AE111" s="7"/>
    </row>
    <row r="112" spans="1:31" s="8" customFormat="1" ht="39.950000000000003" hidden="1" customHeight="1">
      <c r="A112" s="3"/>
      <c r="B112" s="25" t="str">
        <f>IF(NOMENCLATURE_GEN!B112="","",NOMENCLATURE_GEN!B112)</f>
        <v/>
      </c>
      <c r="C112" s="243" t="str">
        <f>IF(NOMENCLATURE_GEN!C112="","",NOMENCLATURE_GEN!C112)</f>
        <v/>
      </c>
      <c r="D112" s="4">
        <f>IF(NOMENCLATURE_GEN!D112="","",NOMENCLATURE_GEN!D112)</f>
        <v>193</v>
      </c>
      <c r="E112" s="4" t="str">
        <f ca="1">IF(NOMENCLATURE_GEN!E112="","",NOMENCLATURE_GEN!E112)</f>
        <v>A</v>
      </c>
      <c r="F112" s="4" t="str">
        <f>IF(NOMENCLATURE_GEN!F112="","",NOMENCLATURE_GEN!F112)</f>
        <v>CHA</v>
      </c>
      <c r="G112" s="154" t="str">
        <f>IF(NOMENCLATURE_GEN!G112="","",NOMENCLATURE_GEN!G112)</f>
        <v>Ensemble des passerelles de liaison</v>
      </c>
      <c r="H112" s="320">
        <f>IF(NOMENCLATURE_GEN!H112="","",NOMENCLATURE_GEN!H112)</f>
        <v>900</v>
      </c>
      <c r="I112" s="320">
        <f>IF(NOMENCLATURE_GEN!I112="","",NOMENCLATURE_GEN!I112)</f>
        <v>50000</v>
      </c>
      <c r="J112" s="321" t="str">
        <f>IF(NOMENCLATURE_GEN!J112="","",NOMENCLATURE_GEN!J112)</f>
        <v/>
      </c>
      <c r="K112" s="412" t="s">
        <v>494</v>
      </c>
      <c r="L112" s="15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7"/>
      <c r="AD112" s="7"/>
      <c r="AE112" s="7"/>
    </row>
    <row r="113" spans="1:31" s="8" customFormat="1" ht="39.950000000000003" hidden="1" customHeight="1">
      <c r="A113" s="3"/>
      <c r="B113" s="25" t="str">
        <f>IF(NOMENCLATURE_GEN!B113="","",NOMENCLATURE_GEN!B113)</f>
        <v/>
      </c>
      <c r="C113" s="243" t="str">
        <f>IF(NOMENCLATURE_GEN!C113="","",NOMENCLATURE_GEN!C113)</f>
        <v/>
      </c>
      <c r="D113" s="4">
        <f>IF(NOMENCLATURE_GEN!D113="","",NOMENCLATURE_GEN!D113)</f>
        <v>194</v>
      </c>
      <c r="E113" s="4" t="str">
        <f ca="1">IF(NOMENCLATURE_GEN!E113="","",NOMENCLATURE_GEN!E113)</f>
        <v>A</v>
      </c>
      <c r="F113" s="4" t="str">
        <f>IF(NOMENCLATURE_GEN!F113="","",NOMENCLATURE_GEN!F113)</f>
        <v>CHA</v>
      </c>
      <c r="G113" s="154" t="str">
        <f>IF(NOMENCLATURE_GEN!G113="","",NOMENCLATURE_GEN!G113)</f>
        <v>Ensemble des escaliers d'accès maintenance</v>
      </c>
      <c r="H113" s="320">
        <f>IF(NOMENCLATURE_GEN!H113="","",NOMENCLATURE_GEN!H113)</f>
        <v>900</v>
      </c>
      <c r="I113" s="320">
        <f>IF(NOMENCLATURE_GEN!I113="","",NOMENCLATURE_GEN!I113)</f>
        <v>4500</v>
      </c>
      <c r="J113" s="321" t="str">
        <f>IF(NOMENCLATURE_GEN!J113="","",NOMENCLATURE_GEN!J113)</f>
        <v/>
      </c>
      <c r="K113" s="412" t="s">
        <v>494</v>
      </c>
      <c r="L113" s="15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7"/>
      <c r="AD113" s="7"/>
      <c r="AE113" s="7"/>
    </row>
    <row r="114" spans="1:31" s="8" customFormat="1" ht="39.950000000000003" hidden="1" customHeight="1">
      <c r="A114" s="3"/>
      <c r="B114" s="25" t="str">
        <f>IF(NOMENCLATURE_GEN!B114="","",NOMENCLATURE_GEN!B114)</f>
        <v/>
      </c>
      <c r="C114" s="243" t="str">
        <f>IF(NOMENCLATURE_GEN!C114="","",NOMENCLATURE_GEN!C114)</f>
        <v/>
      </c>
      <c r="D114" s="4">
        <f>IF(NOMENCLATURE_GEN!D114="","",NOMENCLATURE_GEN!D114)</f>
        <v>195</v>
      </c>
      <c r="E114" s="4" t="str">
        <f ca="1">IF(NOMENCLATURE_GEN!E114="","",NOMENCLATURE_GEN!E114)</f>
        <v>A</v>
      </c>
      <c r="F114" s="4" t="str">
        <f>IF(NOMENCLATURE_GEN!F114="","",NOMENCLATURE_GEN!F114)</f>
        <v>CHA</v>
      </c>
      <c r="G114" s="154" t="str">
        <f>IF(NOMENCLATURE_GEN!G114="","",NOMENCLATURE_GEN!G114)</f>
        <v>Ensemble des potences et rails de maintenance + 2 portiques</v>
      </c>
      <c r="H114" s="320" t="str">
        <f>IF(NOMENCLATURE_GEN!H114="","",NOMENCLATURE_GEN!H114)</f>
        <v/>
      </c>
      <c r="I114" s="320" t="str">
        <f>IF(NOMENCLATURE_GEN!I114="","",NOMENCLATURE_GEN!I114)</f>
        <v/>
      </c>
      <c r="J114" s="321" t="str">
        <f>IF(NOMENCLATURE_GEN!J114="","",NOMENCLATURE_GEN!J114)</f>
        <v/>
      </c>
      <c r="K114" s="412" t="s">
        <v>494</v>
      </c>
      <c r="L114" s="15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7"/>
      <c r="AD114" s="7"/>
      <c r="AE114" s="7"/>
    </row>
    <row r="115" spans="1:31" s="8" customFormat="1" ht="39.950000000000003" hidden="1" customHeight="1">
      <c r="A115" s="3"/>
      <c r="B115" s="25" t="str">
        <f>IF(NOMENCLATURE_GEN!B115="","",NOMENCLATURE_GEN!B115)</f>
        <v/>
      </c>
      <c r="C115" s="243" t="str">
        <f>IF(NOMENCLATURE_GEN!C115="","",NOMENCLATURE_GEN!C115)</f>
        <v/>
      </c>
      <c r="D115" s="4">
        <f>IF(NOMENCLATURE_GEN!D115="","",NOMENCLATURE_GEN!D115)</f>
        <v>196</v>
      </c>
      <c r="E115" s="4" t="str">
        <f ca="1">IF(NOMENCLATURE_GEN!E115="","",NOMENCLATURE_GEN!E115)</f>
        <v>A</v>
      </c>
      <c r="F115" s="4" t="str">
        <f>IF(NOMENCLATURE_GEN!F115="","",NOMENCLATURE_GEN!F115)</f>
        <v>CHA</v>
      </c>
      <c r="G115" s="154" t="str">
        <f>IF(NOMENCLATURE_GEN!G115="","",NOMENCLATURE_GEN!G115)</f>
        <v>Ensemble passerelles et rails pour convoyeur navettes refus légers</v>
      </c>
      <c r="H115" s="320">
        <f>IF(NOMENCLATURE_GEN!H115="","",NOMENCLATURE_GEN!H115)</f>
        <v>8150</v>
      </c>
      <c r="I115" s="320">
        <f>IF(NOMENCLATURE_GEN!I115="","",NOMENCLATURE_GEN!I115)</f>
        <v>15600</v>
      </c>
      <c r="J115" s="321" t="str">
        <f>IF(NOMENCLATURE_GEN!J115="","",NOMENCLATURE_GEN!J115)</f>
        <v/>
      </c>
      <c r="K115" s="412" t="s">
        <v>494</v>
      </c>
      <c r="L115" s="15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7"/>
      <c r="AD115" s="7"/>
      <c r="AE115" s="7"/>
    </row>
    <row r="116" spans="1:31" s="8" customFormat="1" ht="39.950000000000003" hidden="1" customHeight="1">
      <c r="A116" s="3"/>
      <c r="B116" s="25" t="str">
        <f>IF(NOMENCLATURE_GEN!B116="","",NOMENCLATURE_GEN!B116)</f>
        <v/>
      </c>
      <c r="C116" s="243" t="str">
        <f>IF(NOMENCLATURE_GEN!C116="","",NOMENCLATURE_GEN!C116)</f>
        <v/>
      </c>
      <c r="D116" s="4">
        <f>IF(NOMENCLATURE_GEN!D116="","",NOMENCLATURE_GEN!D116)</f>
        <v>197</v>
      </c>
      <c r="E116" s="4" t="str">
        <f ca="1">IF(NOMENCLATURE_GEN!E116="","",NOMENCLATURE_GEN!E116)</f>
        <v>A</v>
      </c>
      <c r="F116" s="4" t="str">
        <f>IF(NOMENCLATURE_GEN!F116="","",NOMENCLATURE_GEN!F116)</f>
        <v>CHA</v>
      </c>
      <c r="G116" s="154" t="str">
        <f>IF(NOMENCLATURE_GEN!G116="","",NOMENCLATURE_GEN!G116)</f>
        <v>Ensemble passerelles et rails pour convoyeurs navettes métaux</v>
      </c>
      <c r="H116" s="320">
        <f>IF(NOMENCLATURE_GEN!H116="","",NOMENCLATURE_GEN!H116)</f>
        <v>8150</v>
      </c>
      <c r="I116" s="320">
        <f>IF(NOMENCLATURE_GEN!I116="","",NOMENCLATURE_GEN!I116)</f>
        <v>7000</v>
      </c>
      <c r="J116" s="321" t="str">
        <f>IF(NOMENCLATURE_GEN!J116="","",NOMENCLATURE_GEN!J116)</f>
        <v/>
      </c>
      <c r="K116" s="412" t="s">
        <v>494</v>
      </c>
      <c r="L116" s="15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7"/>
      <c r="AD116" s="7"/>
      <c r="AE116" s="7"/>
    </row>
    <row r="117" spans="1:31" s="8" customFormat="1" ht="39.950000000000003" customHeight="1">
      <c r="A117" s="3"/>
      <c r="B117" s="25" t="str">
        <f>IF(NOMENCLATURE_GEN!B117="","",NOMENCLATURE_GEN!B117)</f>
        <v/>
      </c>
      <c r="C117" s="243" t="str">
        <f>IF(NOMENCLATURE_GEN!C117="","",NOMENCLATURE_GEN!C117)</f>
        <v/>
      </c>
      <c r="D117" s="4">
        <f>IF(NOMENCLATURE_GEN!D117="","",NOMENCLATURE_GEN!D117)</f>
        <v>199</v>
      </c>
      <c r="E117" s="4" t="str">
        <f ca="1">IF(NOMENCLATURE_GEN!E117="","",NOMENCLATURE_GEN!E117)</f>
        <v>A</v>
      </c>
      <c r="F117" s="4" t="str">
        <f>IF(NOMENCLATURE_GEN!F117="","",NOMENCLATURE_GEN!F117)</f>
        <v>BRO</v>
      </c>
      <c r="G117" s="154" t="str">
        <f>IF(NOMENCLATURE_GEN!G117="","",NOMENCLATURE_GEN!G117)</f>
        <v>Broyeur pour métaux 30-180mm</v>
      </c>
      <c r="H117" s="320" t="str">
        <f>IF(NOMENCLATURE_GEN!H117="","",NOMENCLATURE_GEN!H117)</f>
        <v/>
      </c>
      <c r="I117" s="320" t="str">
        <f>IF(NOMENCLATURE_GEN!I117="","",NOMENCLATURE_GEN!I117)</f>
        <v/>
      </c>
      <c r="J117" s="321" t="str">
        <f>IF(NOMENCLATURE_GEN!J117="","",NOMENCLATURE_GEN!J117)</f>
        <v/>
      </c>
      <c r="K117" s="412" t="s">
        <v>495</v>
      </c>
      <c r="L117" s="15">
        <v>1</v>
      </c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1" t="s">
        <v>656</v>
      </c>
      <c r="AD117" s="7"/>
      <c r="AE117" s="7"/>
    </row>
    <row r="118" spans="1:31" s="8" customFormat="1" ht="39.950000000000003" customHeight="1">
      <c r="A118" s="3"/>
      <c r="B118" s="25" t="str">
        <f>IF(NOMENCLATURE_GEN!B118="","",NOMENCLATURE_GEN!B118)</f>
        <v/>
      </c>
      <c r="C118" s="243" t="str">
        <f>IF(NOMENCLATURE_GEN!C118="","",NOMENCLATURE_GEN!C118)</f>
        <v/>
      </c>
      <c r="D118" s="4">
        <f>IF(NOMENCLATURE_GEN!D118="","",NOMENCLATURE_GEN!D118)</f>
        <v>200</v>
      </c>
      <c r="E118" s="4" t="str">
        <f ca="1">IF(NOMENCLATURE_GEN!E118="","",NOMENCLATURE_GEN!E118)</f>
        <v>A</v>
      </c>
      <c r="F118" s="4" t="str">
        <f>IF(NOMENCLATURE_GEN!F118="","",NOMENCLATURE_GEN!F118)</f>
        <v>TBE</v>
      </c>
      <c r="G118" s="154" t="str">
        <f>IF(NOMENCLATURE_GEN!G118="","",NOMENCLATURE_GEN!G118)</f>
        <v>Convoyeur de reprise sous broyeur des aciers 30-180mm</v>
      </c>
      <c r="H118" s="320">
        <f>IF(NOMENCLATURE_GEN!H118="","",NOMENCLATURE_GEN!H118)</f>
        <v>1000</v>
      </c>
      <c r="I118" s="320">
        <f>IF(NOMENCLATURE_GEN!I118="","",NOMENCLATURE_GEN!I118)</f>
        <v>6000</v>
      </c>
      <c r="J118" s="321">
        <f>IF(NOMENCLATURE_GEN!J118="","",NOMENCLATURE_GEN!J118)</f>
        <v>13</v>
      </c>
      <c r="K118" s="412" t="s">
        <v>495</v>
      </c>
      <c r="L118" s="15">
        <v>1</v>
      </c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>
        <v>1</v>
      </c>
      <c r="AC118" s="17"/>
      <c r="AD118" s="7"/>
      <c r="AE118" s="7"/>
    </row>
    <row r="119" spans="1:31" s="8" customFormat="1" ht="39.950000000000003" customHeight="1">
      <c r="A119" s="3"/>
      <c r="B119" s="25" t="str">
        <f>IF(NOMENCLATURE_GEN!B119="","",NOMENCLATURE_GEN!B119)</f>
        <v/>
      </c>
      <c r="C119" s="243" t="str">
        <f>IF(NOMENCLATURE_GEN!C119="","",NOMENCLATURE_GEN!C119)</f>
        <v/>
      </c>
      <c r="D119" s="4">
        <f>IF(NOMENCLATURE_GEN!D119="","",NOMENCLATURE_GEN!D119)</f>
        <v>201</v>
      </c>
      <c r="E119" s="4" t="str">
        <f ca="1">IF(NOMENCLATURE_GEN!E119="","",NOMENCLATURE_GEN!E119)</f>
        <v>A</v>
      </c>
      <c r="F119" s="4" t="str">
        <f>IF(NOMENCLATURE_GEN!F119="","",NOMENCLATURE_GEN!F119)</f>
        <v>TBE</v>
      </c>
      <c r="G119" s="154" t="str">
        <f>IF(NOMENCLATURE_GEN!G119="","",NOMENCLATURE_GEN!G119)</f>
        <v>Convoyeur de transfert des aciers 30-180mm vers OVB</v>
      </c>
      <c r="H119" s="320">
        <f>IF(NOMENCLATURE_GEN!H119="","",NOMENCLATURE_GEN!H119)</f>
        <v>1000</v>
      </c>
      <c r="I119" s="320">
        <f>IF(NOMENCLATURE_GEN!I119="","",NOMENCLATURE_GEN!I119)</f>
        <v>14750</v>
      </c>
      <c r="J119" s="321">
        <f>IF(NOMENCLATURE_GEN!J119="","",NOMENCLATURE_GEN!J119)</f>
        <v>19</v>
      </c>
      <c r="K119" s="412" t="s">
        <v>495</v>
      </c>
      <c r="L119" s="15">
        <v>1</v>
      </c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>
        <v>1</v>
      </c>
      <c r="AC119" s="17"/>
      <c r="AD119" s="7"/>
      <c r="AE119" s="7"/>
    </row>
    <row r="120" spans="1:31" s="8" customFormat="1" ht="39.950000000000003" customHeight="1">
      <c r="A120" s="3"/>
      <c r="B120" s="25" t="str">
        <f>IF(NOMENCLATURE_GEN!B120="","",NOMENCLATURE_GEN!B120)</f>
        <v/>
      </c>
      <c r="C120" s="243" t="str">
        <f>IF(NOMENCLATURE_GEN!C120="","",NOMENCLATURE_GEN!C120)</f>
        <v/>
      </c>
      <c r="D120" s="4">
        <f>IF(NOMENCLATURE_GEN!D120="","",NOMENCLATURE_GEN!D120)</f>
        <v>202</v>
      </c>
      <c r="E120" s="4" t="str">
        <f ca="1">IF(NOMENCLATURE_GEN!E120="","",NOMENCLATURE_GEN!E120)</f>
        <v>A</v>
      </c>
      <c r="F120" s="4" t="str">
        <f>IF(NOMENCLATURE_GEN!F120="","",NOMENCLATURE_GEN!F120)</f>
        <v>TBE</v>
      </c>
      <c r="G120" s="154" t="str">
        <f>IF(NOMENCLATURE_GEN!G120="","",NOMENCLATURE_GEN!G120)</f>
        <v>Convoyeur d'alimentation du séparateur de ferreux</v>
      </c>
      <c r="H120" s="320">
        <f>IF(NOMENCLATURE_GEN!H120="","",NOMENCLATURE_GEN!H120)</f>
        <v>1000</v>
      </c>
      <c r="I120" s="320">
        <f>IF(NOMENCLATURE_GEN!I120="","",NOMENCLATURE_GEN!I120)</f>
        <v>7500</v>
      </c>
      <c r="J120" s="321">
        <f>IF(NOMENCLATURE_GEN!J120="","",NOMENCLATURE_GEN!J120)</f>
        <v>19</v>
      </c>
      <c r="K120" s="412" t="s">
        <v>495</v>
      </c>
      <c r="L120" s="15">
        <v>1</v>
      </c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>
        <v>1</v>
      </c>
      <c r="AC120" s="17"/>
      <c r="AD120" s="7"/>
      <c r="AE120" s="7"/>
    </row>
    <row r="121" spans="1:31" s="8" customFormat="1" ht="39.950000000000003" customHeight="1">
      <c r="A121" s="3"/>
      <c r="B121" s="25" t="str">
        <f>IF(NOMENCLATURE_GEN!B121="","",NOMENCLATURE_GEN!B121)</f>
        <v/>
      </c>
      <c r="C121" s="243" t="str">
        <f>IF(NOMENCLATURE_GEN!C121="","",NOMENCLATURE_GEN!C121)</f>
        <v/>
      </c>
      <c r="D121" s="4">
        <f>IF(NOMENCLATURE_GEN!D121="","",NOMENCLATURE_GEN!D121)</f>
        <v>203</v>
      </c>
      <c r="E121" s="4" t="str">
        <f ca="1">IF(NOMENCLATURE_GEN!E121="","",NOMENCLATURE_GEN!E121)</f>
        <v>A</v>
      </c>
      <c r="F121" s="4" t="str">
        <f>IF(NOMENCLATURE_GEN!F121="","",NOMENCLATURE_GEN!F121)</f>
        <v>OVB</v>
      </c>
      <c r="G121" s="154" t="str">
        <f>IF(NOMENCLATURE_GEN!G121="","",NOMENCLATURE_GEN!G121)</f>
        <v>Séparateur magnétique à aimant permament</v>
      </c>
      <c r="H121" s="320">
        <f>IF(NOMENCLATURE_GEN!H121="","",NOMENCLATURE_GEN!H121)</f>
        <v>1000</v>
      </c>
      <c r="I121" s="320">
        <f>IF(NOMENCLATURE_GEN!I121="","",NOMENCLATURE_GEN!I121)</f>
        <v>2500</v>
      </c>
      <c r="J121" s="321" t="str">
        <f>IF(NOMENCLATURE_GEN!J121="","",NOMENCLATURE_GEN!J121)</f>
        <v/>
      </c>
      <c r="K121" s="412" t="s">
        <v>495</v>
      </c>
      <c r="L121" s="15">
        <v>1</v>
      </c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0" t="s">
        <v>668</v>
      </c>
      <c r="X121" s="16"/>
      <c r="Y121" s="16"/>
      <c r="Z121" s="16"/>
      <c r="AA121" s="16"/>
      <c r="AB121" s="16">
        <v>2</v>
      </c>
      <c r="AC121" s="11" t="s">
        <v>679</v>
      </c>
      <c r="AD121" s="7"/>
      <c r="AE121" s="7"/>
    </row>
    <row r="122" spans="1:31" s="8" customFormat="1" ht="39.950000000000003" customHeight="1">
      <c r="A122" s="3"/>
      <c r="B122" s="25" t="str">
        <f>IF(NOMENCLATURE_GEN!B122="","",NOMENCLATURE_GEN!B122)</f>
        <v/>
      </c>
      <c r="C122" s="243" t="str">
        <f>IF(NOMENCLATURE_GEN!C122="","",NOMENCLATURE_GEN!C122)</f>
        <v/>
      </c>
      <c r="D122" s="4">
        <f>IF(NOMENCLATURE_GEN!D122="","",NOMENCLATURE_GEN!D122)</f>
        <v>203</v>
      </c>
      <c r="E122" s="4" t="str">
        <f ca="1">IF(NOMENCLATURE_GEN!E122="","",NOMENCLATURE_GEN!E122)</f>
        <v>B</v>
      </c>
      <c r="F122" s="4" t="str">
        <f>IF(NOMENCLATURE_GEN!F122="","",NOMENCLATURE_GEN!F122)</f>
        <v>GLT</v>
      </c>
      <c r="G122" s="154" t="str">
        <f>IF(NOMENCLATURE_GEN!G122="","",NOMENCLATURE_GEN!G122)</f>
        <v>GOULOTTE AVEC VERIN</v>
      </c>
      <c r="H122" s="320" t="str">
        <f>IF(NOMENCLATURE_GEN!H122="","",NOMENCLATURE_GEN!H122)</f>
        <v/>
      </c>
      <c r="I122" s="320" t="str">
        <f>IF(NOMENCLATURE_GEN!I122="","",NOMENCLATURE_GEN!I122)</f>
        <v/>
      </c>
      <c r="J122" s="321" t="str">
        <f>IF(NOMENCLATURE_GEN!J122="","",NOMENCLATURE_GEN!J122)</f>
        <v/>
      </c>
      <c r="K122" s="412" t="s">
        <v>495</v>
      </c>
      <c r="L122" s="15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7"/>
      <c r="AD122" s="7"/>
      <c r="AE122" s="7"/>
    </row>
    <row r="123" spans="1:31" s="8" customFormat="1" ht="39.950000000000003" hidden="1" customHeight="1">
      <c r="A123" s="3"/>
      <c r="B123" s="25" t="str">
        <f>IF(NOMENCLATURE_GEN!B123="","",NOMENCLATURE_GEN!B123)</f>
        <v>SUP</v>
      </c>
      <c r="C123" s="243" t="str">
        <f>IF(NOMENCLATURE_GEN!C123="","",NOMENCLATURE_GEN!C123)</f>
        <v/>
      </c>
      <c r="D123" s="4">
        <f>IF(NOMENCLATURE_GEN!D123="","",NOMENCLATURE_GEN!D123)</f>
        <v>204</v>
      </c>
      <c r="E123" s="4" t="str">
        <f ca="1">IF(NOMENCLATURE_GEN!E123="","",NOMENCLATURE_GEN!E123)</f>
        <v>A</v>
      </c>
      <c r="F123" s="4" t="str">
        <f>IF(NOMENCLATURE_GEN!F123="","",NOMENCLATURE_GEN!F123)</f>
        <v>CHA</v>
      </c>
      <c r="G123" s="154" t="str">
        <f>IF(NOMENCLATURE_GEN!G123="","",NOMENCLATURE_GEN!G123)</f>
        <v>Charpente support OVB + protection grillagée et goulotte inox</v>
      </c>
      <c r="H123" s="320" t="str">
        <f>IF(NOMENCLATURE_GEN!H123="","",NOMENCLATURE_GEN!H123)</f>
        <v/>
      </c>
      <c r="I123" s="320" t="str">
        <f>IF(NOMENCLATURE_GEN!I123="","",NOMENCLATURE_GEN!I123)</f>
        <v/>
      </c>
      <c r="J123" s="321" t="str">
        <f>IF(NOMENCLATURE_GEN!J123="","",NOMENCLATURE_GEN!J123)</f>
        <v/>
      </c>
      <c r="K123" s="412" t="s">
        <v>494</v>
      </c>
      <c r="L123" s="15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7"/>
      <c r="AD123" s="7"/>
      <c r="AE123" s="7"/>
    </row>
    <row r="124" spans="1:31" s="8" customFormat="1" ht="39.950000000000003" hidden="1" customHeight="1">
      <c r="A124" s="3"/>
      <c r="B124" s="25" t="str">
        <f>IF(NOMENCLATURE_GEN!B124="","",NOMENCLATURE_GEN!B124)</f>
        <v>SUP</v>
      </c>
      <c r="C124" s="243" t="str">
        <f>IF(NOMENCLATURE_GEN!C124="","",NOMENCLATURE_GEN!C124)</f>
        <v/>
      </c>
      <c r="D124" s="4">
        <f>IF(NOMENCLATURE_GEN!D124="","",NOMENCLATURE_GEN!D124)</f>
        <v>205</v>
      </c>
      <c r="E124" s="4" t="str">
        <f ca="1">IF(NOMENCLATURE_GEN!E124="","",NOMENCLATURE_GEN!E124)</f>
        <v>A</v>
      </c>
      <c r="F124" s="4" t="str">
        <f>IF(NOMENCLATURE_GEN!F124="","",NOMENCLATURE_GEN!F124)</f>
        <v>CHA</v>
      </c>
      <c r="G124" s="154" t="str">
        <f>IF(NOMENCLATURE_GEN!G124="","",NOMENCLATURE_GEN!G124)</f>
        <v>Charpente support et accès maintenance broyeur</v>
      </c>
      <c r="H124" s="320">
        <f>IF(NOMENCLATURE_GEN!H124="","",NOMENCLATURE_GEN!H124)</f>
        <v>3500</v>
      </c>
      <c r="I124" s="320">
        <f>IF(NOMENCLATURE_GEN!I124="","",NOMENCLATURE_GEN!I124)</f>
        <v>4000</v>
      </c>
      <c r="J124" s="321" t="str">
        <f>IF(NOMENCLATURE_GEN!J124="","",NOMENCLATURE_GEN!J124)</f>
        <v/>
      </c>
      <c r="K124" s="412" t="s">
        <v>494</v>
      </c>
      <c r="L124" s="15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7"/>
      <c r="AD124" s="7"/>
      <c r="AE124" s="7"/>
    </row>
    <row r="125" spans="1:31" s="8" customFormat="1" ht="39.950000000000003" customHeight="1">
      <c r="A125" s="3"/>
      <c r="B125" s="25" t="str">
        <f>IF(NOMENCLATURE_GEN!B125="","",NOMENCLATURE_GEN!B125)</f>
        <v/>
      </c>
      <c r="C125" s="243" t="str">
        <f>IF(NOMENCLATURE_GEN!C125="","",NOMENCLATURE_GEN!C125)</f>
        <v/>
      </c>
      <c r="D125" s="4">
        <f>IF(NOMENCLATURE_GEN!D125="","",NOMENCLATURE_GEN!D125)</f>
        <v>207</v>
      </c>
      <c r="E125" s="4" t="str">
        <f ca="1">IF(NOMENCLATURE_GEN!E125="","",NOMENCLATURE_GEN!E125)</f>
        <v>A</v>
      </c>
      <c r="F125" s="4" t="str">
        <f>IF(NOMENCLATURE_GEN!F125="","",NOMENCLATURE_GEN!F125)</f>
        <v>TBE</v>
      </c>
      <c r="G125" s="154" t="str">
        <f>IF(NOMENCLATURE_GEN!G125="","",NOMENCLATURE_GEN!G125)</f>
        <v>Convoyeur by-pass presse à paquets</v>
      </c>
      <c r="H125" s="320">
        <f>IF(NOMENCLATURE_GEN!H125="","",NOMENCLATURE_GEN!H125)</f>
        <v>800</v>
      </c>
      <c r="I125" s="320">
        <f>IF(NOMENCLATURE_GEN!I125="","",NOMENCLATURE_GEN!I125)</f>
        <v>3500</v>
      </c>
      <c r="J125" s="321">
        <f>IF(NOMENCLATURE_GEN!J125="","",NOMENCLATURE_GEN!J125)</f>
        <v>0</v>
      </c>
      <c r="K125" s="412" t="s">
        <v>495</v>
      </c>
      <c r="L125" s="15">
        <v>1</v>
      </c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>
        <v>1</v>
      </c>
      <c r="AC125" s="17"/>
      <c r="AD125" s="7"/>
      <c r="AE125" s="7"/>
    </row>
    <row r="126" spans="1:31" s="8" customFormat="1" ht="39.950000000000003" customHeight="1">
      <c r="A126" s="3"/>
      <c r="B126" s="25" t="str">
        <f>IF(NOMENCLATURE_GEN!B126="","",NOMENCLATURE_GEN!B126)</f>
        <v/>
      </c>
      <c r="C126" s="243" t="str">
        <f>IF(NOMENCLATURE_GEN!C126="","",NOMENCLATURE_GEN!C126)</f>
        <v/>
      </c>
      <c r="D126" s="4">
        <f>IF(NOMENCLATURE_GEN!D126="","",NOMENCLATURE_GEN!D126)</f>
        <v>208</v>
      </c>
      <c r="E126" s="4" t="str">
        <f ca="1">IF(NOMENCLATURE_GEN!E126="","",NOMENCLATURE_GEN!E126)</f>
        <v>A</v>
      </c>
      <c r="F126" s="4" t="str">
        <f>IF(NOMENCLATURE_GEN!F126="","",NOMENCLATURE_GEN!F126)</f>
        <v>SOL</v>
      </c>
      <c r="G126" s="154" t="str">
        <f>IF(NOMENCLATURE_GEN!G126="","",NOMENCLATURE_GEN!G126)</f>
        <v>RLX séparateur objets longs SUR CVY 162</v>
      </c>
      <c r="H126" s="320" t="str">
        <f>IF(NOMENCLATURE_GEN!H126="","",NOMENCLATURE_GEN!H126)</f>
        <v/>
      </c>
      <c r="I126" s="320" t="str">
        <f>IF(NOMENCLATURE_GEN!I126="","",NOMENCLATURE_GEN!I126)</f>
        <v/>
      </c>
      <c r="J126" s="321" t="str">
        <f>IF(NOMENCLATURE_GEN!J126="","",NOMENCLATURE_GEN!J126)</f>
        <v/>
      </c>
      <c r="K126" s="412" t="s">
        <v>495</v>
      </c>
      <c r="L126" s="15">
        <v>1</v>
      </c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>
        <v>1</v>
      </c>
      <c r="AC126" s="17"/>
      <c r="AD126" s="7"/>
      <c r="AE126" s="7"/>
    </row>
    <row r="127" spans="1:31" s="8" customFormat="1" ht="39.950000000000003" customHeight="1">
      <c r="A127" s="3"/>
      <c r="B127" s="25" t="str">
        <f>IF(NOMENCLATURE_GEN!B127="","",NOMENCLATURE_GEN!B127)</f>
        <v/>
      </c>
      <c r="C127" s="243" t="str">
        <f>IF(NOMENCLATURE_GEN!C127="","",NOMENCLATURE_GEN!C127)</f>
        <v/>
      </c>
      <c r="D127" s="4">
        <f>IF(NOMENCLATURE_GEN!D127="","",NOMENCLATURE_GEN!D127)</f>
        <v>209</v>
      </c>
      <c r="E127" s="4" t="str">
        <f ca="1">IF(NOMENCLATURE_GEN!E127="","",NOMENCLATURE_GEN!E127)</f>
        <v>A</v>
      </c>
      <c r="F127" s="4" t="str">
        <f>IF(NOMENCLATURE_GEN!F127="","",NOMENCLATURE_GEN!F127)</f>
        <v>PRP</v>
      </c>
      <c r="G127" s="154" t="str">
        <f>IF(NOMENCLATURE_GEN!G127="","",NOMENCLATURE_GEN!G127)</f>
        <v>Fourniture et pose d'une presse à paquets PP11</v>
      </c>
      <c r="H127" s="320" t="str">
        <f>IF(NOMENCLATURE_GEN!H127="","",NOMENCLATURE_GEN!H127)</f>
        <v/>
      </c>
      <c r="I127" s="320" t="str">
        <f>IF(NOMENCLATURE_GEN!I127="","",NOMENCLATURE_GEN!I127)</f>
        <v/>
      </c>
      <c r="J127" s="321" t="str">
        <f>IF(NOMENCLATURE_GEN!J127="","",NOMENCLATURE_GEN!J127)</f>
        <v/>
      </c>
      <c r="K127" s="412" t="s">
        <v>495</v>
      </c>
      <c r="L127" s="15">
        <v>1</v>
      </c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7"/>
      <c r="AD127" s="7"/>
      <c r="AE127" s="7"/>
    </row>
    <row r="128" spans="1:31" s="8" customFormat="1" ht="39.950000000000003" hidden="1" customHeight="1">
      <c r="A128" s="3"/>
      <c r="B128" s="25" t="str">
        <f>IF(NOMENCLATURE_GEN!B128="","",NOMENCLATURE_GEN!B128)</f>
        <v>SUP</v>
      </c>
      <c r="C128" s="243" t="str">
        <f>IF(NOMENCLATURE_GEN!C128="","",NOMENCLATURE_GEN!C128)</f>
        <v/>
      </c>
      <c r="D128" s="4">
        <f>IF(NOMENCLATURE_GEN!D128="","",NOMENCLATURE_GEN!D128)</f>
        <v>210</v>
      </c>
      <c r="E128" s="4" t="str">
        <f ca="1">IF(NOMENCLATURE_GEN!E128="","",NOMENCLATURE_GEN!E128)</f>
        <v>A</v>
      </c>
      <c r="F128" s="4" t="str">
        <f>IF(NOMENCLATURE_GEN!F128="","",NOMENCLATURE_GEN!F128)</f>
        <v>COU</v>
      </c>
      <c r="G128" s="154" t="str">
        <f>IF(NOMENCLATURE_GEN!G128="","",NOMENCLATURE_GEN!G128)</f>
        <v>Moins value pour suppressions Couronne rotatif pour convoyeur de mise en tas FFOM</v>
      </c>
      <c r="H128" s="320" t="str">
        <f>IF(NOMENCLATURE_GEN!H128="","",NOMENCLATURE_GEN!H128)</f>
        <v/>
      </c>
      <c r="I128" s="320" t="str">
        <f>IF(NOMENCLATURE_GEN!I128="","",NOMENCLATURE_GEN!I128)</f>
        <v/>
      </c>
      <c r="J128" s="321" t="str">
        <f>IF(NOMENCLATURE_GEN!J128="","",NOMENCLATURE_GEN!J128)</f>
        <v/>
      </c>
      <c r="K128" s="412" t="s">
        <v>494</v>
      </c>
      <c r="L128" s="15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7"/>
      <c r="AD128" s="7"/>
      <c r="AE128" s="7"/>
    </row>
    <row r="129" spans="1:31" s="8" customFormat="1" ht="39.950000000000003" customHeight="1">
      <c r="A129" s="3"/>
      <c r="B129" s="25" t="str">
        <f>IF(NOMENCLATURE_GEN!B129="","",NOMENCLATURE_GEN!B129)</f>
        <v/>
      </c>
      <c r="C129" s="243" t="str">
        <f>IF(NOMENCLATURE_GEN!C129="","",NOMENCLATURE_GEN!C129)</f>
        <v/>
      </c>
      <c r="D129" s="4">
        <f>IF(NOMENCLATURE_GEN!D129="","",NOMENCLATURE_GEN!D129)</f>
        <v>211</v>
      </c>
      <c r="E129" s="4" t="str">
        <f ca="1">IF(NOMENCLATURE_GEN!E129="","",NOMENCLATURE_GEN!E129)</f>
        <v>A</v>
      </c>
      <c r="F129" s="4" t="str">
        <f>IF(NOMENCLATURE_GEN!F129="","",NOMENCLATURE_GEN!F129)</f>
        <v>NAV</v>
      </c>
      <c r="G129" s="154" t="str">
        <f>IF(NOMENCLATURE_GEN!G129="","",NOMENCLATURE_GEN!G129)</f>
        <v>Navette pour convoyeur mobile remplissage benne FFOM TBE 160</v>
      </c>
      <c r="H129" s="320" t="str">
        <f>IF(NOMENCLATURE_GEN!H129="","",NOMENCLATURE_GEN!H129)</f>
        <v/>
      </c>
      <c r="I129" s="320" t="str">
        <f>IF(NOMENCLATURE_GEN!I129="","",NOMENCLATURE_GEN!I129)</f>
        <v/>
      </c>
      <c r="J129" s="321" t="str">
        <f>IF(NOMENCLATURE_GEN!J129="","",NOMENCLATURE_GEN!J129)</f>
        <v/>
      </c>
      <c r="K129" s="412" t="s">
        <v>495</v>
      </c>
      <c r="L129" s="9" t="s">
        <v>673</v>
      </c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>
        <v>4</v>
      </c>
      <c r="X129" s="16"/>
      <c r="Y129" s="16"/>
      <c r="Z129" s="16"/>
      <c r="AA129" s="16"/>
      <c r="AB129" s="16">
        <v>2</v>
      </c>
      <c r="AC129" s="17"/>
      <c r="AD129" s="7"/>
      <c r="AE129" s="7"/>
    </row>
    <row r="130" spans="1:31" s="8" customFormat="1" ht="39.950000000000003" hidden="1" customHeight="1">
      <c r="A130" s="3"/>
      <c r="B130" s="25" t="str">
        <f>IF(NOMENCLATURE_GEN!B130="","",NOMENCLATURE_GEN!B130)</f>
        <v/>
      </c>
      <c r="C130" s="243" t="str">
        <f>IF(NOMENCLATURE_GEN!C130="","",NOMENCLATURE_GEN!C130)</f>
        <v/>
      </c>
      <c r="D130" s="4">
        <f>IF(NOMENCLATURE_GEN!D130="","",NOMENCLATURE_GEN!D130)</f>
        <v>212</v>
      </c>
      <c r="E130" s="4" t="str">
        <f ca="1">IF(NOMENCLATURE_GEN!E130="","",NOMENCLATURE_GEN!E130)</f>
        <v>A</v>
      </c>
      <c r="F130" s="4" t="str">
        <f>IF(NOMENCLATURE_GEN!F130="","",NOMENCLATURE_GEN!F130)</f>
        <v>CHA</v>
      </c>
      <c r="G130" s="154" t="str">
        <f>IF(NOMENCLATURE_GEN!G130="","",NOMENCLATURE_GEN!G130)</f>
        <v>Ensemble passerelle pour convoyeur navette FFOM</v>
      </c>
      <c r="H130" s="320" t="str">
        <f>IF(NOMENCLATURE_GEN!H130="","",NOMENCLATURE_GEN!H130)</f>
        <v/>
      </c>
      <c r="I130" s="320" t="str">
        <f>IF(NOMENCLATURE_GEN!I130="","",NOMENCLATURE_GEN!I130)</f>
        <v/>
      </c>
      <c r="J130" s="321" t="str">
        <f>IF(NOMENCLATURE_GEN!J130="","",NOMENCLATURE_GEN!J130)</f>
        <v/>
      </c>
      <c r="K130" s="412" t="s">
        <v>494</v>
      </c>
      <c r="L130" s="15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7"/>
      <c r="AD130" s="7"/>
      <c r="AE130" s="7"/>
    </row>
    <row r="131" spans="1:31" s="8" customFormat="1" ht="39.950000000000003" hidden="1" customHeight="1">
      <c r="A131" s="3"/>
      <c r="B131" s="25" t="str">
        <f>IF(NOMENCLATURE_GEN!B131="","",NOMENCLATURE_GEN!B131)</f>
        <v/>
      </c>
      <c r="C131" s="243" t="str">
        <f>IF(NOMENCLATURE_GEN!C131="","",NOMENCLATURE_GEN!C131)</f>
        <v/>
      </c>
      <c r="D131" s="4">
        <f>IF(NOMENCLATURE_GEN!D131="","",NOMENCLATURE_GEN!D131)</f>
        <v>213</v>
      </c>
      <c r="E131" s="4" t="str">
        <f ca="1">IF(NOMENCLATURE_GEN!E131="","",NOMENCLATURE_GEN!E131)</f>
        <v>A</v>
      </c>
      <c r="F131" s="4" t="str">
        <f>IF(NOMENCLATURE_GEN!F131="","",NOMENCLATURE_GEN!F131)</f>
        <v>PES</v>
      </c>
      <c r="G131" s="154" t="str">
        <f>IF(NOMENCLATURE_GEN!G131="","",NOMENCLATURE_GEN!G131)</f>
        <v>Pesage des paquets d'aciers en sortie</v>
      </c>
      <c r="H131" s="320" t="str">
        <f>IF(NOMENCLATURE_GEN!H131="","",NOMENCLATURE_GEN!H131)</f>
        <v/>
      </c>
      <c r="I131" s="320" t="str">
        <f>IF(NOMENCLATURE_GEN!I131="","",NOMENCLATURE_GEN!I131)</f>
        <v/>
      </c>
      <c r="J131" s="321" t="str">
        <f>IF(NOMENCLATURE_GEN!J131="","",NOMENCLATURE_GEN!J131)</f>
        <v/>
      </c>
      <c r="K131" s="412" t="s">
        <v>494</v>
      </c>
      <c r="L131" s="15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7"/>
      <c r="AD131" s="7"/>
      <c r="AE131" s="7"/>
    </row>
    <row r="132" spans="1:31" s="8" customFormat="1" ht="39.950000000000003" hidden="1" customHeight="1">
      <c r="A132" s="3"/>
      <c r="B132" s="25" t="str">
        <f>IF(NOMENCLATURE_GEN!B132="","",NOMENCLATURE_GEN!B132)</f>
        <v/>
      </c>
      <c r="C132" s="243" t="str">
        <f>IF(NOMENCLATURE_GEN!C132="","",NOMENCLATURE_GEN!C132)</f>
        <v/>
      </c>
      <c r="D132" s="4">
        <f>IF(NOMENCLATURE_GEN!D132="","",NOMENCLATURE_GEN!D132)</f>
        <v>215</v>
      </c>
      <c r="E132" s="4" t="str">
        <f ca="1">IF(NOMENCLATURE_GEN!E132="","",NOMENCLATURE_GEN!E132)</f>
        <v>A</v>
      </c>
      <c r="F132" s="4" t="str">
        <f>IF(NOMENCLATURE_GEN!F132="","",NOMENCLATURE_GEN!F132)</f>
        <v>ELEC</v>
      </c>
      <c r="G132" s="154" t="str">
        <f>IF(NOMENCLATURE_GEN!G132="","",NOMENCLATURE_GEN!G132)</f>
        <v>Cablage électrique + capteurs</v>
      </c>
      <c r="H132" s="320" t="str">
        <f>IF(NOMENCLATURE_GEN!H132="","",NOMENCLATURE_GEN!H132)</f>
        <v/>
      </c>
      <c r="I132" s="320" t="str">
        <f>IF(NOMENCLATURE_GEN!I132="","",NOMENCLATURE_GEN!I132)</f>
        <v/>
      </c>
      <c r="J132" s="321" t="str">
        <f>IF(NOMENCLATURE_GEN!J132="","",NOMENCLATURE_GEN!J132)</f>
        <v/>
      </c>
      <c r="K132" s="412" t="s">
        <v>494</v>
      </c>
      <c r="L132" s="15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7"/>
      <c r="AD132" s="7"/>
      <c r="AE132" s="7"/>
    </row>
    <row r="133" spans="1:31" s="8" customFormat="1" ht="39.950000000000003" hidden="1" customHeight="1">
      <c r="A133" s="3"/>
      <c r="B133" s="25" t="str">
        <f>IF(NOMENCLATURE_GEN!B133="","",NOMENCLATURE_GEN!B133)</f>
        <v/>
      </c>
      <c r="C133" s="243" t="str">
        <f>IF(NOMENCLATURE_GEN!C133="","",NOMENCLATURE_GEN!C133)</f>
        <v/>
      </c>
      <c r="D133" s="4">
        <f>IF(NOMENCLATURE_GEN!D133="","",NOMENCLATURE_GEN!D133)</f>
        <v>219</v>
      </c>
      <c r="E133" s="4" t="str">
        <f ca="1">IF(NOMENCLATURE_GEN!E133="","",NOMENCLATURE_GEN!E133)</f>
        <v>A</v>
      </c>
      <c r="F133" s="4" t="str">
        <f>IF(NOMENCLATURE_GEN!F133="","",NOMENCLATURE_GEN!F133)</f>
        <v>PES</v>
      </c>
      <c r="G133" s="154" t="str">
        <f>IF(NOMENCLATURE_GEN!G133="","",NOMENCLATURE_GEN!G133)</f>
        <v>Station de pesage dynamique sur CBA 199 fraction FFOM vers métha</v>
      </c>
      <c r="H133" s="320" t="str">
        <f>IF(NOMENCLATURE_GEN!H133="","",NOMENCLATURE_GEN!H133)</f>
        <v/>
      </c>
      <c r="I133" s="320" t="str">
        <f>IF(NOMENCLATURE_GEN!I133="","",NOMENCLATURE_GEN!I133)</f>
        <v/>
      </c>
      <c r="J133" s="321" t="str">
        <f>IF(NOMENCLATURE_GEN!J133="","",NOMENCLATURE_GEN!J133)</f>
        <v/>
      </c>
      <c r="K133" s="412" t="s">
        <v>494</v>
      </c>
      <c r="L133" s="15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7"/>
      <c r="AD133" s="7"/>
      <c r="AE133" s="7"/>
    </row>
    <row r="134" spans="1:31" s="8" customFormat="1" ht="39.950000000000003" hidden="1" customHeight="1">
      <c r="A134" s="3"/>
      <c r="B134" s="25" t="str">
        <f>IF(NOMENCLATURE_GEN!B134="","",NOMENCLATURE_GEN!B134)</f>
        <v>SUP</v>
      </c>
      <c r="C134" s="243" t="str">
        <f>IF(NOMENCLATURE_GEN!C134="","",NOMENCLATURE_GEN!C134)</f>
        <v/>
      </c>
      <c r="D134" s="4">
        <f>IF(NOMENCLATURE_GEN!D134="","",NOMENCLATURE_GEN!D134)</f>
        <v>221</v>
      </c>
      <c r="E134" s="4" t="str">
        <f ca="1">IF(NOMENCLATURE_GEN!E134="","",NOMENCLATURE_GEN!E134)</f>
        <v>A</v>
      </c>
      <c r="F134" s="4" t="str">
        <f>IF(NOMENCLATURE_GEN!F134="","",NOMENCLATURE_GEN!F134)</f>
        <v>TVB</v>
      </c>
      <c r="G134" s="154" t="str">
        <f>IF(NOMENCLATURE_GEN!G134="","",NOMENCLATURE_GEN!G134)</f>
        <v>Alimentateur vibrant pour tri optique verre</v>
      </c>
      <c r="H134" s="320" t="str">
        <f>IF(NOMENCLATURE_GEN!H134="","",NOMENCLATURE_GEN!H134)</f>
        <v/>
      </c>
      <c r="I134" s="320" t="str">
        <f>IF(NOMENCLATURE_GEN!I134="","",NOMENCLATURE_GEN!I134)</f>
        <v/>
      </c>
      <c r="J134" s="321" t="str">
        <f>IF(NOMENCLATURE_GEN!J134="","",NOMENCLATURE_GEN!J134)</f>
        <v/>
      </c>
      <c r="K134" s="412" t="s">
        <v>494</v>
      </c>
      <c r="L134" s="15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7"/>
      <c r="AD134" s="7"/>
      <c r="AE134" s="7"/>
    </row>
    <row r="135" spans="1:31" s="8" customFormat="1" ht="39.950000000000003" hidden="1" customHeight="1">
      <c r="A135" s="3"/>
      <c r="B135" s="25" t="str">
        <f>IF(NOMENCLATURE_GEN!B135="","",NOMENCLATURE_GEN!B135)</f>
        <v>SUP</v>
      </c>
      <c r="C135" s="243" t="str">
        <f>IF(NOMENCLATURE_GEN!C135="","",NOMENCLATURE_GEN!C135)</f>
        <v/>
      </c>
      <c r="D135" s="4">
        <f>IF(NOMENCLATURE_GEN!D135="","",NOMENCLATURE_GEN!D135)</f>
        <v>222</v>
      </c>
      <c r="E135" s="4" t="str">
        <f ca="1">IF(NOMENCLATURE_GEN!E135="","",NOMENCLATURE_GEN!E135)</f>
        <v>A</v>
      </c>
      <c r="F135" s="4" t="str">
        <f>IF(NOMENCLATURE_GEN!F135="","",NOMENCLATURE_GEN!F135)</f>
        <v>SOP</v>
      </c>
      <c r="G135" s="154" t="str">
        <f>IF(NOMENCLATURE_GEN!G135="","",NOMENCLATURE_GEN!G135)</f>
        <v>Séparateur optique verre</v>
      </c>
      <c r="H135" s="320" t="str">
        <f>IF(NOMENCLATURE_GEN!H135="","",NOMENCLATURE_GEN!H135)</f>
        <v/>
      </c>
      <c r="I135" s="320" t="str">
        <f>IF(NOMENCLATURE_GEN!I135="","",NOMENCLATURE_GEN!I135)</f>
        <v/>
      </c>
      <c r="J135" s="321" t="str">
        <f>IF(NOMENCLATURE_GEN!J135="","",NOMENCLATURE_GEN!J135)</f>
        <v/>
      </c>
      <c r="K135" s="412" t="s">
        <v>494</v>
      </c>
      <c r="L135" s="15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7"/>
      <c r="AD135" s="7"/>
      <c r="AE135" s="7"/>
    </row>
    <row r="136" spans="1:31" s="8" customFormat="1" ht="39.950000000000003" hidden="1" customHeight="1">
      <c r="A136" s="3"/>
      <c r="B136" s="25" t="str">
        <f>IF(NOMENCLATURE_GEN!B136="","",NOMENCLATURE_GEN!B136)</f>
        <v>SUP</v>
      </c>
      <c r="C136" s="243" t="str">
        <f>IF(NOMENCLATURE_GEN!C136="","",NOMENCLATURE_GEN!C136)</f>
        <v/>
      </c>
      <c r="D136" s="4">
        <f>IF(NOMENCLATURE_GEN!D136="","",NOMENCLATURE_GEN!D136)</f>
        <v>224</v>
      </c>
      <c r="E136" s="4" t="str">
        <f ca="1">IF(NOMENCLATURE_GEN!E136="","",NOMENCLATURE_GEN!E136)</f>
        <v>A</v>
      </c>
      <c r="F136" s="4" t="str">
        <f>IF(NOMENCLATURE_GEN!F136="","",NOMENCLATURE_GEN!F136)</f>
        <v>CHA</v>
      </c>
      <c r="G136" s="154" t="str">
        <f>IF(NOMENCLATURE_GEN!G136="","",NOMENCLATURE_GEN!G136)</f>
        <v>Plateforme d'accès maintenance pour tri optique et vibrant</v>
      </c>
      <c r="H136" s="320" t="str">
        <f>IF(NOMENCLATURE_GEN!H136="","",NOMENCLATURE_GEN!H136)</f>
        <v/>
      </c>
      <c r="I136" s="320" t="str">
        <f>IF(NOMENCLATURE_GEN!I136="","",NOMENCLATURE_GEN!I136)</f>
        <v/>
      </c>
      <c r="J136" s="321" t="str">
        <f>IF(NOMENCLATURE_GEN!J136="","",NOMENCLATURE_GEN!J136)</f>
        <v/>
      </c>
      <c r="K136" s="412" t="s">
        <v>494</v>
      </c>
      <c r="L136" s="15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7"/>
      <c r="AD136" s="7"/>
      <c r="AE136" s="7"/>
    </row>
    <row r="137" spans="1:31" s="8" customFormat="1" ht="39.950000000000003" hidden="1" customHeight="1">
      <c r="A137" s="3"/>
      <c r="B137" s="25" t="str">
        <f>IF(NOMENCLATURE_GEN!B137="","",NOMENCLATURE_GEN!B137)</f>
        <v>SUP</v>
      </c>
      <c r="C137" s="243" t="str">
        <f>IF(NOMENCLATURE_GEN!C137="","",NOMENCLATURE_GEN!C137)</f>
        <v/>
      </c>
      <c r="D137" s="4">
        <f>IF(NOMENCLATURE_GEN!D137="","",NOMENCLATURE_GEN!D137)</f>
        <v>225</v>
      </c>
      <c r="E137" s="4" t="str">
        <f ca="1">IF(NOMENCLATURE_GEN!E137="","",NOMENCLATURE_GEN!E137)</f>
        <v>A</v>
      </c>
      <c r="F137" s="4" t="str">
        <f>IF(NOMENCLATURE_GEN!F137="","",NOMENCLATURE_GEN!F137)</f>
        <v>COM</v>
      </c>
      <c r="G137" s="154" t="str">
        <f>IF(NOMENCLATURE_GEN!G137="","",NOMENCLATURE_GEN!G137)</f>
        <v>Compresseur + sécheur + réseau pour tri optique verre</v>
      </c>
      <c r="H137" s="320" t="str">
        <f>IF(NOMENCLATURE_GEN!H137="","",NOMENCLATURE_GEN!H137)</f>
        <v/>
      </c>
      <c r="I137" s="320" t="str">
        <f>IF(NOMENCLATURE_GEN!I137="","",NOMENCLATURE_GEN!I137)</f>
        <v/>
      </c>
      <c r="J137" s="321" t="str">
        <f>IF(NOMENCLATURE_GEN!J137="","",NOMENCLATURE_GEN!J137)</f>
        <v/>
      </c>
      <c r="K137" s="412" t="s">
        <v>494</v>
      </c>
      <c r="L137" s="15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7"/>
      <c r="AD137" s="7"/>
      <c r="AE137" s="7"/>
    </row>
    <row r="138" spans="1:31" s="8" customFormat="1" ht="39.950000000000003" hidden="1" customHeight="1">
      <c r="A138" s="3"/>
      <c r="B138" s="25" t="str">
        <f>IF(NOMENCLATURE_GEN!B138="","",NOMENCLATURE_GEN!B138)</f>
        <v>SUP</v>
      </c>
      <c r="C138" s="243" t="str">
        <f>IF(NOMENCLATURE_GEN!C138="","",NOMENCLATURE_GEN!C138)</f>
        <v/>
      </c>
      <c r="D138" s="4">
        <f>IF(NOMENCLATURE_GEN!D138="","",NOMENCLATURE_GEN!D138)</f>
        <v>227</v>
      </c>
      <c r="E138" s="4" t="str">
        <f ca="1">IF(NOMENCLATURE_GEN!E138="","",NOMENCLATURE_GEN!E138)</f>
        <v>A</v>
      </c>
      <c r="F138" s="4" t="str">
        <f>IF(NOMENCLATURE_GEN!F138="","",NOMENCLATURE_GEN!F138)</f>
        <v>ELEC</v>
      </c>
      <c r="G138" s="154" t="str">
        <f>IF(NOMENCLATURE_GEN!G138="","",NOMENCLATURE_GEN!G138)</f>
        <v>Cablage électrique + capteurs</v>
      </c>
      <c r="H138" s="320" t="str">
        <f>IF(NOMENCLATURE_GEN!H138="","",NOMENCLATURE_GEN!H138)</f>
        <v/>
      </c>
      <c r="I138" s="320" t="str">
        <f>IF(NOMENCLATURE_GEN!I138="","",NOMENCLATURE_GEN!I138)</f>
        <v/>
      </c>
      <c r="J138" s="321" t="str">
        <f>IF(NOMENCLATURE_GEN!J138="","",NOMENCLATURE_GEN!J138)</f>
        <v/>
      </c>
      <c r="K138" s="412" t="s">
        <v>494</v>
      </c>
      <c r="L138" s="15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7"/>
      <c r="AD138" s="7"/>
      <c r="AE138" s="7"/>
    </row>
    <row r="139" spans="1:31" s="8" customFormat="1" ht="39.950000000000003" hidden="1" customHeight="1">
      <c r="A139" s="3"/>
      <c r="B139" s="25" t="str">
        <f>IF(NOMENCLATURE_GEN!B139="","",NOMENCLATURE_GEN!B139)</f>
        <v/>
      </c>
      <c r="C139" s="243" t="str">
        <f>IF(NOMENCLATURE_GEN!C139="","",NOMENCLATURE_GEN!C139)</f>
        <v/>
      </c>
      <c r="D139" s="4">
        <f>IF(NOMENCLATURE_GEN!D139="","",NOMENCLATURE_GEN!D139)</f>
        <v>231</v>
      </c>
      <c r="E139" s="4" t="str">
        <f ca="1">IF(NOMENCLATURE_GEN!E139="","",NOMENCLATURE_GEN!E139)</f>
        <v>A</v>
      </c>
      <c r="F139" s="4" t="str">
        <f>IF(NOMENCLATURE_GEN!F139="","",NOMENCLATURE_GEN!F139)</f>
        <v>DIV</v>
      </c>
      <c r="G139" s="154" t="str">
        <f>IF(NOMENCLATURE_GEN!G139="","",NOMENCLATURE_GEN!G139)</f>
        <v>lot de pièces de premières urgences</v>
      </c>
      <c r="H139" s="320" t="str">
        <f>IF(NOMENCLATURE_GEN!H139="","",NOMENCLATURE_GEN!H139)</f>
        <v/>
      </c>
      <c r="I139" s="320" t="str">
        <f>IF(NOMENCLATURE_GEN!I139="","",NOMENCLATURE_GEN!I139)</f>
        <v/>
      </c>
      <c r="J139" s="321" t="str">
        <f>IF(NOMENCLATURE_GEN!J139="","",NOMENCLATURE_GEN!J139)</f>
        <v/>
      </c>
      <c r="K139" s="412" t="s">
        <v>494</v>
      </c>
      <c r="L139" s="15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7"/>
      <c r="AD139" s="7"/>
      <c r="AE139" s="7"/>
    </row>
    <row r="140" spans="1:31" s="8" customFormat="1" ht="39.950000000000003" customHeight="1" thickBot="1">
      <c r="A140" s="3"/>
      <c r="B140" s="302" t="str">
        <f>IF(NOMENCLATURE_GEN!B140="","",NOMENCLATURE_GEN!B140)</f>
        <v/>
      </c>
      <c r="C140" s="285" t="str">
        <f>IF(NOMENCLATURE_GEN!C140="","",NOMENCLATURE_GEN!C140)</f>
        <v/>
      </c>
      <c r="D140" s="286" t="str">
        <f>IF(NOMENCLATURE_GEN!D140="","",NOMENCLATURE_GEN!D140)</f>
        <v/>
      </c>
      <c r="E140" s="286" t="str">
        <f ca="1">IF(NOMENCLATURE_GEN!E140="","",NOMENCLATURE_GEN!E140)</f>
        <v>A</v>
      </c>
      <c r="F140" s="286" t="str">
        <f>IF(NOMENCLATURE_GEN!F140="","",NOMENCLATURE_GEN!F140)</f>
        <v/>
      </c>
      <c r="G140" s="303" t="str">
        <f>IF(NOMENCLATURE_GEN!G140="","",NOMENCLATURE_GEN!G140)</f>
        <v/>
      </c>
      <c r="H140" s="322" t="str">
        <f>IF(NOMENCLATURE_GEN!H140="","",NOMENCLATURE_GEN!H140)</f>
        <v/>
      </c>
      <c r="I140" s="322" t="str">
        <f>IF(NOMENCLATURE_GEN!I140="","",NOMENCLATURE_GEN!I140)</f>
        <v/>
      </c>
      <c r="J140" s="323" t="str">
        <f>IF(NOMENCLATURE_GEN!J140="","",NOMENCLATURE_GEN!J140)</f>
        <v/>
      </c>
      <c r="K140" s="413"/>
      <c r="L140" s="304"/>
      <c r="M140" s="155"/>
      <c r="N140" s="155"/>
      <c r="O140" s="155"/>
      <c r="P140" s="155"/>
      <c r="Q140" s="155"/>
      <c r="R140" s="155"/>
      <c r="S140" s="155"/>
      <c r="T140" s="155"/>
      <c r="U140" s="155"/>
      <c r="V140" s="155"/>
      <c r="W140" s="155"/>
      <c r="X140" s="155"/>
      <c r="Y140" s="155"/>
      <c r="Z140" s="155"/>
      <c r="AA140" s="155"/>
      <c r="AB140" s="155"/>
      <c r="AC140" s="157"/>
      <c r="AD140" s="7"/>
      <c r="AE140" s="7"/>
    </row>
    <row r="141" spans="1:31" s="49" customFormat="1" ht="15" customHeight="1" thickBot="1">
      <c r="B141" s="8"/>
      <c r="C141" s="8"/>
      <c r="D141" s="8"/>
      <c r="E141" s="8"/>
      <c r="F141" s="8"/>
      <c r="G141" s="8"/>
      <c r="H141" s="152"/>
      <c r="I141" s="152"/>
      <c r="J141" s="152"/>
      <c r="K141" s="152"/>
      <c r="O141" s="51"/>
      <c r="P141" s="51"/>
      <c r="Q141" s="51"/>
      <c r="R141" s="51"/>
      <c r="S141" s="51"/>
      <c r="T141" s="51"/>
      <c r="U141" s="51"/>
      <c r="V141" s="51"/>
      <c r="W141" s="51"/>
      <c r="X141" s="51"/>
    </row>
    <row r="142" spans="1:31" s="49" customFormat="1" ht="30" customHeight="1" thickBot="1">
      <c r="B142" s="266" t="s">
        <v>311</v>
      </c>
      <c r="C142" s="267" t="s">
        <v>100</v>
      </c>
      <c r="D142" s="267" t="s">
        <v>312</v>
      </c>
      <c r="E142" s="695" t="s">
        <v>313</v>
      </c>
      <c r="F142" s="695"/>
      <c r="G142" s="695"/>
      <c r="H142" s="695"/>
      <c r="I142" s="695"/>
      <c r="J142" s="695"/>
      <c r="K142" s="430" t="s">
        <v>365</v>
      </c>
      <c r="O142" s="51"/>
      <c r="P142" s="51"/>
      <c r="Q142" s="51"/>
      <c r="R142" s="51"/>
      <c r="S142" s="51"/>
      <c r="T142" s="51"/>
      <c r="U142" s="51"/>
      <c r="V142" s="51"/>
      <c r="W142" s="51"/>
      <c r="X142" s="51"/>
    </row>
    <row r="143" spans="1:31" s="49" customFormat="1" ht="30" customHeight="1">
      <c r="B143" s="268" t="s">
        <v>354</v>
      </c>
      <c r="C143" s="269" t="s">
        <v>10</v>
      </c>
      <c r="D143" s="269" t="s">
        <v>355</v>
      </c>
      <c r="E143" s="694" t="s">
        <v>314</v>
      </c>
      <c r="F143" s="694"/>
      <c r="G143" s="694"/>
      <c r="H143" s="694"/>
      <c r="I143" s="694"/>
      <c r="J143" s="694"/>
      <c r="K143" s="275" t="s">
        <v>355</v>
      </c>
      <c r="O143" s="51"/>
      <c r="P143" s="51"/>
      <c r="Q143" s="51"/>
      <c r="R143" s="51"/>
      <c r="S143" s="51"/>
      <c r="T143" s="51"/>
      <c r="U143" s="51"/>
      <c r="V143" s="51"/>
      <c r="W143" s="51"/>
      <c r="X143" s="51"/>
    </row>
    <row r="144" spans="1:31" s="49" customFormat="1" ht="30" customHeight="1">
      <c r="B144" s="9" t="s">
        <v>518</v>
      </c>
      <c r="C144" s="10" t="s">
        <v>501</v>
      </c>
      <c r="D144" s="422">
        <v>45434</v>
      </c>
      <c r="E144" s="692" t="s">
        <v>675</v>
      </c>
      <c r="F144" s="692"/>
      <c r="G144" s="692"/>
      <c r="H144" s="692"/>
      <c r="I144" s="692"/>
      <c r="J144" s="692"/>
      <c r="K144" s="439">
        <v>45434</v>
      </c>
      <c r="O144" s="51"/>
      <c r="P144" s="51"/>
      <c r="Q144" s="51"/>
      <c r="R144" s="51"/>
      <c r="S144" s="51"/>
      <c r="T144" s="51"/>
      <c r="U144" s="51"/>
      <c r="V144" s="51"/>
      <c r="W144" s="51"/>
      <c r="X144" s="51"/>
    </row>
    <row r="145" spans="2:24" s="49" customFormat="1" ht="30" customHeight="1">
      <c r="B145" s="9"/>
      <c r="C145" s="10"/>
      <c r="D145" s="10"/>
      <c r="E145" s="692"/>
      <c r="F145" s="692"/>
      <c r="G145" s="692"/>
      <c r="H145" s="692"/>
      <c r="I145" s="692"/>
      <c r="J145" s="692"/>
      <c r="K145" s="11"/>
      <c r="O145" s="51"/>
      <c r="P145" s="51"/>
      <c r="Q145" s="51"/>
      <c r="R145" s="51"/>
      <c r="S145" s="51"/>
      <c r="T145" s="51"/>
      <c r="U145" s="51"/>
      <c r="V145" s="51"/>
      <c r="W145" s="51"/>
      <c r="X145" s="51"/>
    </row>
    <row r="146" spans="2:24" s="49" customFormat="1" ht="30" customHeight="1">
      <c r="B146" s="9"/>
      <c r="C146" s="10"/>
      <c r="D146" s="10"/>
      <c r="E146" s="692"/>
      <c r="F146" s="692"/>
      <c r="G146" s="692"/>
      <c r="H146" s="692"/>
      <c r="I146" s="692"/>
      <c r="J146" s="692"/>
      <c r="K146" s="11"/>
      <c r="O146" s="51"/>
      <c r="P146" s="51"/>
      <c r="Q146" s="51"/>
      <c r="R146" s="51"/>
      <c r="S146" s="51"/>
      <c r="T146" s="51"/>
      <c r="U146" s="51"/>
      <c r="V146" s="51"/>
      <c r="W146" s="51"/>
      <c r="X146" s="51"/>
    </row>
    <row r="147" spans="2:24" s="49" customFormat="1" ht="30" customHeight="1">
      <c r="B147" s="9"/>
      <c r="C147" s="10"/>
      <c r="D147" s="10"/>
      <c r="E147" s="692"/>
      <c r="F147" s="692"/>
      <c r="G147" s="692"/>
      <c r="H147" s="692"/>
      <c r="I147" s="692"/>
      <c r="J147" s="692"/>
      <c r="K147" s="11"/>
      <c r="O147" s="51"/>
      <c r="P147" s="51"/>
      <c r="Q147" s="51"/>
      <c r="R147" s="51"/>
      <c r="S147" s="51"/>
      <c r="T147" s="51"/>
      <c r="U147" s="51"/>
      <c r="V147" s="51"/>
      <c r="W147" s="51"/>
      <c r="X147" s="51"/>
    </row>
    <row r="148" spans="2:24" s="49" customFormat="1" ht="30" customHeight="1">
      <c r="B148" s="9"/>
      <c r="C148" s="10"/>
      <c r="D148" s="10"/>
      <c r="E148" s="692"/>
      <c r="F148" s="692"/>
      <c r="G148" s="692"/>
      <c r="H148" s="692"/>
      <c r="I148" s="692"/>
      <c r="J148" s="692"/>
      <c r="K148" s="11"/>
      <c r="O148" s="51"/>
      <c r="P148" s="51"/>
      <c r="Q148" s="51"/>
      <c r="R148" s="51"/>
      <c r="S148" s="51"/>
      <c r="T148" s="51"/>
      <c r="U148" s="51"/>
      <c r="V148" s="51"/>
      <c r="W148" s="51"/>
      <c r="X148" s="51"/>
    </row>
    <row r="149" spans="2:24" s="49" customFormat="1" ht="30" customHeight="1">
      <c r="B149" s="9"/>
      <c r="C149" s="10"/>
      <c r="D149" s="10"/>
      <c r="E149" s="692"/>
      <c r="F149" s="692"/>
      <c r="G149" s="692"/>
      <c r="H149" s="692"/>
      <c r="I149" s="692"/>
      <c r="J149" s="692"/>
      <c r="K149" s="11"/>
      <c r="O149" s="51"/>
      <c r="P149" s="51"/>
      <c r="Q149" s="51"/>
      <c r="R149" s="51"/>
      <c r="S149" s="51"/>
      <c r="T149" s="51"/>
      <c r="U149" s="51"/>
      <c r="V149" s="51"/>
      <c r="W149" s="51"/>
      <c r="X149" s="51"/>
    </row>
    <row r="150" spans="2:24" s="49" customFormat="1" ht="30" customHeight="1">
      <c r="B150" s="9"/>
      <c r="C150" s="10"/>
      <c r="D150" s="10"/>
      <c r="E150" s="692"/>
      <c r="F150" s="692"/>
      <c r="G150" s="692"/>
      <c r="H150" s="692"/>
      <c r="I150" s="692"/>
      <c r="J150" s="692"/>
      <c r="K150" s="11"/>
      <c r="O150" s="51"/>
      <c r="P150" s="51"/>
      <c r="Q150" s="51"/>
      <c r="R150" s="51"/>
      <c r="S150" s="51"/>
      <c r="T150" s="51"/>
      <c r="U150" s="51"/>
      <c r="V150" s="51"/>
      <c r="W150" s="51"/>
      <c r="X150" s="51"/>
    </row>
    <row r="151" spans="2:24" s="49" customFormat="1" ht="30" customHeight="1">
      <c r="B151" s="9"/>
      <c r="C151" s="10"/>
      <c r="D151" s="10"/>
      <c r="E151" s="692"/>
      <c r="F151" s="692"/>
      <c r="G151" s="692"/>
      <c r="H151" s="692"/>
      <c r="I151" s="692"/>
      <c r="J151" s="692"/>
      <c r="K151" s="11"/>
      <c r="O151" s="51"/>
      <c r="P151" s="51"/>
      <c r="Q151" s="51"/>
      <c r="R151" s="51"/>
      <c r="S151" s="51"/>
      <c r="T151" s="51"/>
      <c r="U151" s="51"/>
      <c r="V151" s="51"/>
      <c r="W151" s="51"/>
      <c r="X151" s="51"/>
    </row>
    <row r="152" spans="2:24" s="49" customFormat="1" ht="30" customHeight="1" thickBot="1">
      <c r="B152" s="270"/>
      <c r="C152" s="271"/>
      <c r="D152" s="271"/>
      <c r="E152" s="693"/>
      <c r="F152" s="693"/>
      <c r="G152" s="693"/>
      <c r="H152" s="693"/>
      <c r="I152" s="693"/>
      <c r="J152" s="693"/>
      <c r="K152" s="431"/>
      <c r="O152" s="51"/>
      <c r="P152" s="51"/>
      <c r="Q152" s="51"/>
      <c r="R152" s="51"/>
      <c r="S152" s="51"/>
      <c r="T152" s="51"/>
      <c r="U152" s="51"/>
      <c r="V152" s="51"/>
      <c r="W152" s="51"/>
      <c r="X152" s="51"/>
    </row>
  </sheetData>
  <sheetProtection algorithmName="SHA-512" hashValue="HY1EZbDYSSC9pv7luyjIZWPCnR/tTG2CgM34HbAoNIvFt8wL4BCo3pbdNpZcAU8WihZ2PH/7eOsMT2cgRgayeg==" saltValue="cRb/yDM85fh7xDy55NbWeg==" spinCount="100000" sheet="1" objects="1" scenarios="1" formatCells="0" formatColumns="0" formatRows="0" insertHyperlinks="0" autoFilter="0" pivotTables="0"/>
  <autoFilter ref="B7:AC140" xr:uid="{00000000-0009-0000-0000-000008000000}">
    <filterColumn colId="9">
      <filters blank="1">
        <filter val="OUI"/>
      </filters>
    </filterColumn>
  </autoFilter>
  <mergeCells count="20">
    <mergeCell ref="E148:J148"/>
    <mergeCell ref="E149:J149"/>
    <mergeCell ref="E150:J150"/>
    <mergeCell ref="E151:J151"/>
    <mergeCell ref="E152:J152"/>
    <mergeCell ref="E143:J143"/>
    <mergeCell ref="E144:J144"/>
    <mergeCell ref="E145:J145"/>
    <mergeCell ref="E146:J146"/>
    <mergeCell ref="E147:J147"/>
    <mergeCell ref="K6:AC6"/>
    <mergeCell ref="E142:J142"/>
    <mergeCell ref="B2:C2"/>
    <mergeCell ref="P2:AE2"/>
    <mergeCell ref="B3:C3"/>
    <mergeCell ref="J4:J5"/>
    <mergeCell ref="D2:E2"/>
    <mergeCell ref="D3:E3"/>
    <mergeCell ref="B4:E4"/>
    <mergeCell ref="B5:E5"/>
  </mergeCells>
  <dataValidations count="1">
    <dataValidation allowBlank="1" showInputMessage="1" sqref="J6:J7 J1:K4 J153:K1048576 J141:K141 K7" xr:uid="{00000000-0002-0000-0800-000000000000}"/>
  </dataValidations>
  <printOptions horizontalCentered="1"/>
  <pageMargins left="0.25" right="0.25" top="0.75" bottom="0.75" header="0.3" footer="0.3"/>
  <pageSetup paperSize="8" scale="30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>
    <pageSetUpPr fitToPage="1"/>
  </sheetPr>
  <dimension ref="A1:AC152"/>
  <sheetViews>
    <sheetView showGridLines="0" view="pageBreakPreview" topLeftCell="A19" zoomScale="70" zoomScaleNormal="70" zoomScaleSheetLayoutView="70" workbookViewId="0">
      <selection activeCell="G35" sqref="G35"/>
    </sheetView>
  </sheetViews>
  <sheetFormatPr baseColWidth="10" defaultColWidth="11.42578125" defaultRowHeight="15"/>
  <cols>
    <col min="1" max="1" width="3.5703125" style="1" customWidth="1"/>
    <col min="2" max="2" width="12.5703125" style="1" customWidth="1"/>
    <col min="3" max="4" width="14.28515625" style="1" customWidth="1"/>
    <col min="5" max="5" width="7.140625" style="1" customWidth="1"/>
    <col min="6" max="6" width="13.5703125" style="1" customWidth="1"/>
    <col min="7" max="7" width="75.140625" style="1" bestFit="1" customWidth="1"/>
    <col min="8" max="8" width="14.140625" style="6" customWidth="1"/>
    <col min="9" max="9" width="20.140625" style="6" customWidth="1"/>
    <col min="10" max="12" width="20.28515625" style="6" customWidth="1"/>
    <col min="13" max="14" width="21.42578125" style="6" customWidth="1"/>
    <col min="15" max="15" width="20.85546875" style="6" customWidth="1"/>
    <col min="16" max="16" width="16.28515625" style="6" customWidth="1"/>
    <col min="17" max="17" width="20.42578125" style="6" customWidth="1"/>
    <col min="18" max="18" width="19.5703125" style="6" customWidth="1"/>
    <col min="19" max="19" width="14.28515625" style="6" customWidth="1"/>
    <col min="20" max="21" width="17.42578125" style="6" customWidth="1"/>
    <col min="22" max="22" width="15.7109375" style="6" customWidth="1"/>
    <col min="23" max="23" width="21.42578125" style="6" customWidth="1"/>
    <col min="24" max="24" width="35.28515625" style="6" customWidth="1"/>
    <col min="25" max="25" width="3.42578125" style="7" customWidth="1"/>
    <col min="26" max="26" width="3.5703125" style="7" customWidth="1"/>
    <col min="27" max="16384" width="11.42578125" style="6"/>
  </cols>
  <sheetData>
    <row r="1" spans="1:29" s="49" customFormat="1" ht="18.75" customHeight="1" thickBot="1">
      <c r="H1" s="51"/>
      <c r="I1" s="51"/>
      <c r="J1" s="51"/>
      <c r="K1" s="51"/>
      <c r="L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</row>
    <row r="2" spans="1:29" s="49" customFormat="1" ht="19.5" customHeight="1" thickBot="1">
      <c r="B2" s="696" t="s">
        <v>0</v>
      </c>
      <c r="C2" s="697"/>
      <c r="D2" s="696" t="s">
        <v>100</v>
      </c>
      <c r="E2" s="697"/>
      <c r="I2" s="51" t="s">
        <v>23</v>
      </c>
      <c r="J2" s="51"/>
      <c r="K2" s="51"/>
      <c r="L2" s="51"/>
      <c r="O2" s="51"/>
      <c r="P2" s="51"/>
      <c r="Q2" s="711"/>
      <c r="R2" s="711"/>
      <c r="S2" s="711"/>
      <c r="T2" s="711"/>
      <c r="U2" s="711"/>
      <c r="V2" s="711"/>
      <c r="W2" s="711"/>
      <c r="X2" s="711"/>
      <c r="Y2" s="711"/>
      <c r="Z2" s="711"/>
      <c r="AA2" s="711"/>
      <c r="AB2" s="711"/>
      <c r="AC2" s="711"/>
    </row>
    <row r="3" spans="1:29" s="49" customFormat="1" ht="30" customHeight="1" thickBot="1">
      <c r="B3" s="706">
        <f>NOMENCLATURE_GEN!B3</f>
        <v>224102</v>
      </c>
      <c r="C3" s="664"/>
      <c r="D3" s="706" t="str">
        <f>LOOKUP(2,1/(C:C&lt;&gt;""),C:C)</f>
        <v>A</v>
      </c>
      <c r="E3" s="664"/>
      <c r="I3" s="52" t="s">
        <v>13</v>
      </c>
      <c r="J3" s="51"/>
      <c r="K3" s="51"/>
      <c r="L3" s="51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</row>
    <row r="4" spans="1:29" s="49" customFormat="1" ht="19.5" customHeight="1" thickBot="1">
      <c r="B4" s="696" t="s">
        <v>159</v>
      </c>
      <c r="C4" s="705"/>
      <c r="D4" s="705"/>
      <c r="E4" s="697"/>
      <c r="H4" s="51"/>
      <c r="I4" s="51"/>
      <c r="J4" s="703"/>
      <c r="K4" s="51"/>
      <c r="L4" s="51"/>
    </row>
    <row r="5" spans="1:29" s="49" customFormat="1" ht="25.15" customHeight="1" thickBot="1">
      <c r="B5" s="706" t="str">
        <f>NOMENCLATURE_GEN!B5</f>
        <v>PAPREC - CHAGNY</v>
      </c>
      <c r="C5" s="663"/>
      <c r="D5" s="663"/>
      <c r="E5" s="664"/>
      <c r="H5" s="51"/>
      <c r="I5" s="51"/>
      <c r="J5" s="703"/>
      <c r="K5" s="51"/>
      <c r="L5" s="51"/>
    </row>
    <row r="6" spans="1:29" ht="32.25" customHeight="1" thickBot="1">
      <c r="H6" s="826" t="s">
        <v>290</v>
      </c>
      <c r="I6" s="827"/>
      <c r="J6" s="827"/>
      <c r="K6" s="827"/>
      <c r="L6" s="827"/>
      <c r="M6" s="827"/>
      <c r="N6" s="827"/>
      <c r="O6" s="827"/>
      <c r="P6" s="827"/>
      <c r="Q6" s="827"/>
      <c r="R6" s="827"/>
      <c r="S6" s="827"/>
      <c r="T6" s="827"/>
      <c r="U6" s="827"/>
      <c r="V6" s="827"/>
      <c r="W6" s="827"/>
      <c r="X6" s="828"/>
    </row>
    <row r="7" spans="1:29" ht="53.25" customHeight="1" thickBot="1">
      <c r="B7" s="249" t="str">
        <f>NOMENCLATURE_GEN!B7</f>
        <v>NVX /
SUP /
MOD /</v>
      </c>
      <c r="C7" s="245" t="str">
        <f>NOMENCLATURE_GEN!C7</f>
        <v>REPERE CLIENT</v>
      </c>
      <c r="D7" s="246" t="str">
        <f>NOMENCLATURE_GEN!D7</f>
        <v>REPERE VAUCHE</v>
      </c>
      <c r="E7" s="173" t="s">
        <v>353</v>
      </c>
      <c r="F7" s="246" t="str">
        <f>NOMENCLATURE_GEN!F7</f>
        <v xml:space="preserve">TYPE </v>
      </c>
      <c r="G7" s="246" t="str">
        <f>NOMENCLATURE_GEN!G7</f>
        <v>DESIGNATION</v>
      </c>
      <c r="H7" s="172" t="s">
        <v>291</v>
      </c>
      <c r="I7" s="173" t="s">
        <v>520</v>
      </c>
      <c r="J7" s="173" t="s">
        <v>303</v>
      </c>
      <c r="K7" s="173" t="s">
        <v>523</v>
      </c>
      <c r="L7" s="173" t="s">
        <v>297</v>
      </c>
      <c r="M7" s="173" t="s">
        <v>292</v>
      </c>
      <c r="N7" s="173" t="s">
        <v>293</v>
      </c>
      <c r="O7" s="173" t="s">
        <v>300</v>
      </c>
      <c r="P7" s="173" t="s">
        <v>295</v>
      </c>
      <c r="Q7" s="173" t="s">
        <v>316</v>
      </c>
      <c r="R7" s="173" t="s">
        <v>301</v>
      </c>
      <c r="S7" s="173" t="s">
        <v>294</v>
      </c>
      <c r="T7" s="173" t="s">
        <v>296</v>
      </c>
      <c r="U7" s="173" t="s">
        <v>302</v>
      </c>
      <c r="V7" s="173" t="s">
        <v>298</v>
      </c>
      <c r="W7" s="173" t="s">
        <v>299</v>
      </c>
      <c r="X7" s="174" t="s">
        <v>145</v>
      </c>
    </row>
    <row r="8" spans="1:29" s="8" customFormat="1" ht="39.950000000000003" customHeight="1">
      <c r="A8" s="3"/>
      <c r="B8" s="288" t="str">
        <f>IF(NOMENCLATURE_GEN!B8="","",NOMENCLATURE_GEN!B8)</f>
        <v/>
      </c>
      <c r="C8" s="127" t="str">
        <f>IF(NOMENCLATURE_GEN!C8="","",NOMENCLATURE_GEN!C8)</f>
        <v/>
      </c>
      <c r="D8" s="127">
        <f>IF(NOMENCLATURE_GEN!D8="","",NOMENCLATURE_GEN!D8)</f>
        <v>101</v>
      </c>
      <c r="E8" s="127" t="str">
        <f ca="1">IF(NOMENCLATURE_GEN!E8="","",NOMENCLATURE_GEN!E8)</f>
        <v>A</v>
      </c>
      <c r="F8" s="127" t="str">
        <f>IF(NOMENCLATURE_GEN!F8="","",NOMENCLATURE_GEN!F8)</f>
        <v>EAB</v>
      </c>
      <c r="G8" s="301" t="str">
        <f>IF(NOMENCLATURE_GEN!G8="","",NOMENCLATURE_GEN!G8)</f>
        <v>Convoyeur à bande et chaines de reprise des BRS</v>
      </c>
      <c r="H8" s="268">
        <v>1</v>
      </c>
      <c r="I8" s="269">
        <v>400</v>
      </c>
      <c r="J8" s="269" t="s">
        <v>521</v>
      </c>
      <c r="K8" s="269"/>
      <c r="L8" s="269" t="str">
        <f>IF(Motorisation!N8="","",Motorisation!N8)</f>
        <v>OUI</v>
      </c>
      <c r="M8" s="269">
        <f>IF(Motorisation!P8="","",Motorisation!P8)</f>
        <v>5.8</v>
      </c>
      <c r="N8" s="328">
        <f>IF(M8="","",M8*H8)</f>
        <v>5.8</v>
      </c>
      <c r="O8" s="269">
        <v>1</v>
      </c>
      <c r="P8" s="269"/>
      <c r="Q8" s="269" t="e">
        <f>IF(N8="","",N8*O8/P8)</f>
        <v>#DIV/0!</v>
      </c>
      <c r="R8" s="269"/>
      <c r="S8" s="305"/>
      <c r="T8" s="269" t="e">
        <f>IF(Q8="","",Q8*R8)</f>
        <v>#DIV/0!</v>
      </c>
      <c r="U8" s="269" t="e">
        <f>IF(Q8="","",Q8*TAN(ACOS(S8)))</f>
        <v>#DIV/0!</v>
      </c>
      <c r="V8" s="269" t="s">
        <v>495</v>
      </c>
      <c r="W8" s="269"/>
      <c r="X8" s="275"/>
      <c r="Y8" s="7"/>
      <c r="Z8" s="7"/>
    </row>
    <row r="9" spans="1:29" s="8" customFormat="1" ht="39.950000000000003" customHeight="1">
      <c r="A9" s="3"/>
      <c r="B9" s="25" t="str">
        <f>IF(NOMENCLATURE_GEN!B9="","",NOMENCLATURE_GEN!B9)</f>
        <v/>
      </c>
      <c r="C9" s="243" t="str">
        <f>IF(NOMENCLATURE_GEN!C9="","",NOMENCLATURE_GEN!C9)</f>
        <v/>
      </c>
      <c r="D9" s="4">
        <f>IF(NOMENCLATURE_GEN!D9="","",NOMENCLATURE_GEN!D9)</f>
        <v>101</v>
      </c>
      <c r="E9" s="4" t="str">
        <f ca="1">IF(NOMENCLATURE_GEN!E9="","",NOMENCLATURE_GEN!E9)</f>
        <v>B</v>
      </c>
      <c r="F9" s="4" t="str">
        <f>IF(NOMENCLATURE_GEN!F9="","",NOMENCLATURE_GEN!F9)</f>
        <v>GRA</v>
      </c>
      <c r="G9" s="154" t="str">
        <f>IF(NOMENCLATURE_GEN!G9="","",NOMENCLATURE_GEN!G9)</f>
        <v>Convoyeur à bande et chaines - Centrale de graissage</v>
      </c>
      <c r="H9" s="9">
        <v>1</v>
      </c>
      <c r="I9" s="10">
        <v>230</v>
      </c>
      <c r="J9" s="10" t="s">
        <v>521</v>
      </c>
      <c r="K9" s="10"/>
      <c r="L9" s="10" t="s">
        <v>680</v>
      </c>
      <c r="M9" s="10" t="str">
        <f>IF(Motorisation!P9="","",Motorisation!P9)</f>
        <v/>
      </c>
      <c r="N9" s="10" t="str">
        <f t="shared" ref="N9:N72" si="0">IF(M9="","",M9*H9)</f>
        <v/>
      </c>
      <c r="O9" s="10"/>
      <c r="P9" s="10"/>
      <c r="Q9" s="10"/>
      <c r="R9" s="10"/>
      <c r="S9" s="10"/>
      <c r="T9" s="10"/>
      <c r="U9" s="10"/>
      <c r="V9" s="10"/>
      <c r="W9" s="10"/>
      <c r="X9" s="11"/>
      <c r="Y9" s="7"/>
      <c r="Z9" s="7"/>
    </row>
    <row r="10" spans="1:29" s="8" customFormat="1" ht="39.950000000000003" customHeight="1">
      <c r="A10" s="3"/>
      <c r="B10" s="25" t="str">
        <f>IF(NOMENCLATURE_GEN!B10="","",NOMENCLATURE_GEN!B10)</f>
        <v/>
      </c>
      <c r="C10" s="243" t="str">
        <f>IF(NOMENCLATURE_GEN!C10="","",NOMENCLATURE_GEN!C10)</f>
        <v/>
      </c>
      <c r="D10" s="4">
        <f>IF(NOMENCLATURE_GEN!D10="","",NOMENCLATURE_GEN!D10)</f>
        <v>102</v>
      </c>
      <c r="E10" s="4" t="str">
        <f ca="1">IF(NOMENCLATURE_GEN!E10="","",NOMENCLATURE_GEN!E10)</f>
        <v>A</v>
      </c>
      <c r="F10" s="4" t="str">
        <f>IF(NOMENCLATURE_GEN!F10="","",NOMENCLATURE_GEN!F10)</f>
        <v>CBA</v>
      </c>
      <c r="G10" s="154" t="str">
        <f>IF(NOMENCLATURE_GEN!G10="","",NOMENCLATURE_GEN!G10)</f>
        <v>Convoyeur d'alimentation du trommel</v>
      </c>
      <c r="H10" s="9">
        <v>1</v>
      </c>
      <c r="I10" s="10">
        <v>400</v>
      </c>
      <c r="J10" s="10" t="s">
        <v>521</v>
      </c>
      <c r="K10" s="10"/>
      <c r="L10" s="10" t="str">
        <f>IF(Motorisation!N10="","",Motorisation!N10)</f>
        <v>OUI</v>
      </c>
      <c r="M10" s="10">
        <f>IF(Motorisation!P10="","",Motorisation!P10)</f>
        <v>4</v>
      </c>
      <c r="N10" s="10">
        <f t="shared" si="0"/>
        <v>4</v>
      </c>
      <c r="O10" s="10">
        <v>1</v>
      </c>
      <c r="P10" s="10"/>
      <c r="Q10" s="10"/>
      <c r="R10" s="10"/>
      <c r="S10" s="10"/>
      <c r="T10" s="10"/>
      <c r="U10" s="10"/>
      <c r="V10" s="10"/>
      <c r="W10" s="10"/>
      <c r="X10" s="11"/>
      <c r="Y10" s="7"/>
      <c r="Z10" s="7"/>
    </row>
    <row r="11" spans="1:29" s="8" customFormat="1" ht="39.950000000000003" customHeight="1">
      <c r="A11" s="3"/>
      <c r="B11" s="25" t="str">
        <f>IF(NOMENCLATURE_GEN!B11="","",NOMENCLATURE_GEN!B11)</f>
        <v/>
      </c>
      <c r="C11" s="243" t="str">
        <f>IF(NOMENCLATURE_GEN!C11="","",NOMENCLATURE_GEN!C11)</f>
        <v/>
      </c>
      <c r="D11" s="4">
        <f>IF(NOMENCLATURE_GEN!D11="","",NOMENCLATURE_GEN!D11)</f>
        <v>103</v>
      </c>
      <c r="E11" s="4" t="str">
        <f ca="1">IF(NOMENCLATURE_GEN!E11="","",NOMENCLATURE_GEN!E11)</f>
        <v>A</v>
      </c>
      <c r="F11" s="4" t="str">
        <f>IF(NOMENCLATURE_GEN!F11="","",NOMENCLATURE_GEN!F11)</f>
        <v>TRO</v>
      </c>
      <c r="G11" s="154" t="str">
        <f>IF(NOMENCLATURE_GEN!G11="","",NOMENCLATURE_GEN!G11)</f>
        <v>Trommel cribleur, maille Ø150/180mm avec peignes</v>
      </c>
      <c r="H11" s="9">
        <v>1</v>
      </c>
      <c r="I11" s="10">
        <v>400</v>
      </c>
      <c r="J11" s="10" t="s">
        <v>521</v>
      </c>
      <c r="K11" s="10"/>
      <c r="L11" s="10" t="str">
        <f>IF(Motorisation!N11="","",Motorisation!N11)</f>
        <v>OUI</v>
      </c>
      <c r="M11" s="10">
        <f>IF(Motorisation!P11="","",Motorisation!P11)</f>
        <v>15</v>
      </c>
      <c r="N11" s="10">
        <f t="shared" si="0"/>
        <v>15</v>
      </c>
      <c r="O11" s="10">
        <v>1</v>
      </c>
      <c r="P11" s="10"/>
      <c r="Q11" s="10"/>
      <c r="R11" s="10"/>
      <c r="S11" s="10"/>
      <c r="T11" s="10"/>
      <c r="U11" s="10"/>
      <c r="V11" s="10"/>
      <c r="W11" s="10"/>
      <c r="X11" s="11"/>
      <c r="Y11" s="7"/>
      <c r="Z11" s="7"/>
    </row>
    <row r="12" spans="1:29" s="8" customFormat="1" ht="39.950000000000003" customHeight="1">
      <c r="A12" s="3"/>
      <c r="B12" s="25" t="str">
        <f>IF(NOMENCLATURE_GEN!B12="","",NOMENCLATURE_GEN!B12)</f>
        <v/>
      </c>
      <c r="C12" s="243" t="str">
        <f>IF(NOMENCLATURE_GEN!C12="","",NOMENCLATURE_GEN!C12)</f>
        <v/>
      </c>
      <c r="D12" s="4">
        <f>IF(NOMENCLATURE_GEN!D12="","",NOMENCLATURE_GEN!D12)</f>
        <v>104</v>
      </c>
      <c r="E12" s="4" t="str">
        <f ca="1">IF(NOMENCLATURE_GEN!E12="","",NOMENCLATURE_GEN!E12)</f>
        <v>A</v>
      </c>
      <c r="F12" s="4" t="str">
        <f>IF(NOMENCLATURE_GEN!F12="","",NOMENCLATURE_GEN!F12)</f>
        <v>CBA</v>
      </c>
      <c r="G12" s="154" t="str">
        <f>IF(NOMENCLATURE_GEN!G12="","",NOMENCLATURE_GEN!G12)</f>
        <v>Convoyeur de reprise de la fraction &gt; 180mm, tête inox</v>
      </c>
      <c r="H12" s="9">
        <v>1</v>
      </c>
      <c r="I12" s="10">
        <v>400</v>
      </c>
      <c r="J12" s="10" t="s">
        <v>521</v>
      </c>
      <c r="K12" s="10"/>
      <c r="L12" s="10" t="str">
        <f>IF(Motorisation!N12="","",Motorisation!N12)</f>
        <v>OUI</v>
      </c>
      <c r="M12" s="10">
        <f>IF(Motorisation!P12="","",Motorisation!P12)</f>
        <v>4</v>
      </c>
      <c r="N12" s="10">
        <f t="shared" si="0"/>
        <v>4</v>
      </c>
      <c r="O12" s="10">
        <v>1</v>
      </c>
      <c r="P12" s="10"/>
      <c r="Q12" s="10"/>
      <c r="R12" s="10"/>
      <c r="S12" s="10"/>
      <c r="T12" s="10"/>
      <c r="U12" s="10"/>
      <c r="V12" s="10"/>
      <c r="W12" s="10"/>
      <c r="X12" s="11"/>
      <c r="Y12" s="7"/>
      <c r="Z12" s="7"/>
    </row>
    <row r="13" spans="1:29" s="8" customFormat="1" ht="39.950000000000003" customHeight="1">
      <c r="A13" s="3"/>
      <c r="B13" s="25" t="str">
        <f>IF(NOMENCLATURE_GEN!B13="","",NOMENCLATURE_GEN!B13)</f>
        <v/>
      </c>
      <c r="C13" s="243" t="str">
        <f>IF(NOMENCLATURE_GEN!C13="","",NOMENCLATURE_GEN!C13)</f>
        <v/>
      </c>
      <c r="D13" s="4">
        <f>IF(NOMENCLATURE_GEN!D13="","",NOMENCLATURE_GEN!D13)</f>
        <v>105</v>
      </c>
      <c r="E13" s="4" t="str">
        <f ca="1">IF(NOMENCLATURE_GEN!E13="","",NOMENCLATURE_GEN!E13)</f>
        <v>A</v>
      </c>
      <c r="F13" s="4" t="str">
        <f>IF(NOMENCLATURE_GEN!F13="","",NOMENCLATURE_GEN!F13)</f>
        <v>OVB</v>
      </c>
      <c r="G13" s="154" t="str">
        <f>IF(NOMENCLATURE_GEN!G13="","",NOMENCLATURE_GEN!G13)</f>
        <v>Séparateur magnétique à aimant permament</v>
      </c>
      <c r="H13" s="9">
        <v>1</v>
      </c>
      <c r="I13" s="10">
        <v>400</v>
      </c>
      <c r="J13" s="10" t="s">
        <v>521</v>
      </c>
      <c r="K13" s="16" t="s">
        <v>524</v>
      </c>
      <c r="L13" s="10" t="s">
        <v>681</v>
      </c>
      <c r="M13" s="10">
        <v>2.2000000000000002</v>
      </c>
      <c r="N13" s="10">
        <f t="shared" si="0"/>
        <v>2.2000000000000002</v>
      </c>
      <c r="O13" s="10">
        <v>1</v>
      </c>
      <c r="P13" s="10"/>
      <c r="Q13" s="10"/>
      <c r="R13" s="10"/>
      <c r="S13" s="10"/>
      <c r="T13" s="10"/>
      <c r="U13" s="10"/>
      <c r="V13" s="10"/>
      <c r="W13" s="10"/>
      <c r="X13" s="11"/>
      <c r="Y13" s="7"/>
      <c r="Z13" s="7"/>
    </row>
    <row r="14" spans="1:29" s="8" customFormat="1" ht="39.950000000000003" customHeight="1">
      <c r="A14" s="3"/>
      <c r="B14" s="25" t="str">
        <f>IF(NOMENCLATURE_GEN!B14="","",NOMENCLATURE_GEN!B14)</f>
        <v/>
      </c>
      <c r="C14" s="243" t="str">
        <f>IF(NOMENCLATURE_GEN!C14="","",NOMENCLATURE_GEN!C14)</f>
        <v/>
      </c>
      <c r="D14" s="4">
        <f>IF(NOMENCLATURE_GEN!D14="","",NOMENCLATURE_GEN!D14)</f>
        <v>106</v>
      </c>
      <c r="E14" s="4" t="str">
        <f ca="1">IF(NOMENCLATURE_GEN!E14="","",NOMENCLATURE_GEN!E14)</f>
        <v>A</v>
      </c>
      <c r="F14" s="4" t="str">
        <f>IF(NOMENCLATURE_GEN!F14="","",NOMENCLATURE_GEN!F14)</f>
        <v>GLT</v>
      </c>
      <c r="G14" s="154" t="str">
        <f>IF(NOMENCLATURE_GEN!G14="","",NOMENCLATURE_GEN!G14)</f>
        <v>Goulotte de liaison vers le convoyeur des refus</v>
      </c>
      <c r="H14" s="15" t="s">
        <v>494</v>
      </c>
      <c r="I14" s="16"/>
      <c r="J14" s="16"/>
      <c r="K14" s="16"/>
      <c r="L14" s="16" t="str">
        <f>IF(Motorisation!N14="","",Motorisation!N14)</f>
        <v/>
      </c>
      <c r="M14" s="16" t="str">
        <f>IF(Motorisation!P14="","",Motorisation!P14)</f>
        <v/>
      </c>
      <c r="N14" s="16" t="str">
        <f t="shared" si="0"/>
        <v/>
      </c>
      <c r="O14" s="16"/>
      <c r="P14" s="16"/>
      <c r="Q14" s="16"/>
      <c r="R14" s="16"/>
      <c r="S14" s="16"/>
      <c r="T14" s="16"/>
      <c r="U14" s="16"/>
      <c r="V14" s="16"/>
      <c r="W14" s="16"/>
      <c r="X14" s="17"/>
      <c r="Y14" s="7"/>
      <c r="Z14" s="7"/>
    </row>
    <row r="15" spans="1:29" s="8" customFormat="1" ht="39.950000000000003" customHeight="1">
      <c r="A15" s="3"/>
      <c r="B15" s="25" t="str">
        <f>IF(NOMENCLATURE_GEN!B15="","",NOMENCLATURE_GEN!B15)</f>
        <v/>
      </c>
      <c r="C15" s="243" t="str">
        <f>IF(NOMENCLATURE_GEN!C15="","",NOMENCLATURE_GEN!C15)</f>
        <v/>
      </c>
      <c r="D15" s="4">
        <f>IF(NOMENCLATURE_GEN!D15="","",NOMENCLATURE_GEN!D15)</f>
        <v>107</v>
      </c>
      <c r="E15" s="4" t="str">
        <f ca="1">IF(NOMENCLATURE_GEN!E15="","",NOMENCLATURE_GEN!E15)</f>
        <v>A</v>
      </c>
      <c r="F15" s="4" t="str">
        <f>IF(NOMENCLATURE_GEN!F15="","",NOMENCLATURE_GEN!F15)</f>
        <v>CBA</v>
      </c>
      <c r="G15" s="154" t="str">
        <f>IF(NOMENCLATURE_GEN!G15="","",NOMENCLATURE_GEN!G15)</f>
        <v>Convoyeur de centralisation des refus</v>
      </c>
      <c r="H15" s="15">
        <v>1</v>
      </c>
      <c r="I15" s="16">
        <v>400</v>
      </c>
      <c r="J15" s="16" t="s">
        <v>521</v>
      </c>
      <c r="K15" s="16"/>
      <c r="L15" s="16" t="str">
        <f>IF(Motorisation!N15="","",Motorisation!N15)</f>
        <v>OUI</v>
      </c>
      <c r="M15" s="16">
        <f>IF(Motorisation!P15="","",Motorisation!P15)</f>
        <v>4</v>
      </c>
      <c r="N15" s="16">
        <f t="shared" si="0"/>
        <v>4</v>
      </c>
      <c r="O15" s="16">
        <v>1</v>
      </c>
      <c r="P15" s="16"/>
      <c r="Q15" s="16"/>
      <c r="R15" s="16"/>
      <c r="S15" s="16"/>
      <c r="T15" s="16"/>
      <c r="U15" s="16"/>
      <c r="V15" s="16"/>
      <c r="W15" s="16"/>
      <c r="X15" s="17"/>
      <c r="Y15" s="7"/>
      <c r="Z15" s="7"/>
    </row>
    <row r="16" spans="1:29" s="8" customFormat="1" ht="39.950000000000003" customHeight="1">
      <c r="A16" s="3"/>
      <c r="B16" s="25" t="str">
        <f>IF(NOMENCLATURE_GEN!B16="","",NOMENCLATURE_GEN!B16)</f>
        <v/>
      </c>
      <c r="C16" s="243" t="str">
        <f>IF(NOMENCLATURE_GEN!C16="","",NOMENCLATURE_GEN!C16)</f>
        <v/>
      </c>
      <c r="D16" s="4">
        <f>IF(NOMENCLATURE_GEN!D16="","",NOMENCLATURE_GEN!D16)</f>
        <v>108</v>
      </c>
      <c r="E16" s="4" t="str">
        <f ca="1">IF(NOMENCLATURE_GEN!E16="","",NOMENCLATURE_GEN!E16)</f>
        <v>A</v>
      </c>
      <c r="F16" s="4" t="str">
        <f>IF(NOMENCLATURE_GEN!F16="","",NOMENCLATURE_GEN!F16)</f>
        <v>CBA</v>
      </c>
      <c r="G16" s="154" t="str">
        <f>IF(NOMENCLATURE_GEN!G16="","",NOMENCLATURE_GEN!G16)</f>
        <v>Convoyeur de transfert des refus</v>
      </c>
      <c r="H16" s="15">
        <v>1</v>
      </c>
      <c r="I16" s="16">
        <v>400</v>
      </c>
      <c r="J16" s="16" t="s">
        <v>521</v>
      </c>
      <c r="K16" s="16"/>
      <c r="L16" s="16" t="str">
        <f>IF(Motorisation!N16="","",Motorisation!N16)</f>
        <v>OUI</v>
      </c>
      <c r="M16" s="16">
        <f>IF(Motorisation!P16="","",Motorisation!P16)</f>
        <v>7.3</v>
      </c>
      <c r="N16" s="16">
        <f t="shared" si="0"/>
        <v>7.3</v>
      </c>
      <c r="O16" s="16">
        <v>1</v>
      </c>
      <c r="P16" s="16"/>
      <c r="Q16" s="16"/>
      <c r="R16" s="16"/>
      <c r="S16" s="16"/>
      <c r="T16" s="16"/>
      <c r="U16" s="16"/>
      <c r="V16" s="16"/>
      <c r="W16" s="16"/>
      <c r="X16" s="17"/>
      <c r="Y16" s="7"/>
      <c r="Z16" s="7"/>
    </row>
    <row r="17" spans="1:26" s="8" customFormat="1" ht="39.950000000000003" customHeight="1">
      <c r="A17" s="3"/>
      <c r="B17" s="25" t="str">
        <f>IF(NOMENCLATURE_GEN!B17="","",NOMENCLATURE_GEN!B17)</f>
        <v/>
      </c>
      <c r="C17" s="243" t="str">
        <f>IF(NOMENCLATURE_GEN!C17="","",NOMENCLATURE_GEN!C17)</f>
        <v/>
      </c>
      <c r="D17" s="4">
        <f>IF(NOMENCLATURE_GEN!D17="","",NOMENCLATURE_GEN!D17)</f>
        <v>109</v>
      </c>
      <c r="E17" s="4" t="str">
        <f ca="1">IF(NOMENCLATURE_GEN!E17="","",NOMENCLATURE_GEN!E17)</f>
        <v>A</v>
      </c>
      <c r="F17" s="4" t="str">
        <f>IF(NOMENCLATURE_GEN!F17="","",NOMENCLATURE_GEN!F17)</f>
        <v>CBA</v>
      </c>
      <c r="G17" s="154" t="str">
        <f>IF(NOMENCLATURE_GEN!G17="","",NOMENCLATURE_GEN!G17)</f>
        <v>Convoyeur de transfert des refus</v>
      </c>
      <c r="H17" s="15">
        <v>1</v>
      </c>
      <c r="I17" s="16">
        <v>400</v>
      </c>
      <c r="J17" s="16" t="s">
        <v>521</v>
      </c>
      <c r="K17" s="16"/>
      <c r="L17" s="16" t="str">
        <f>IF(Motorisation!N17="","",Motorisation!N17)</f>
        <v>OUI</v>
      </c>
      <c r="M17" s="16">
        <f>IF(Motorisation!P17="","",Motorisation!P17)</f>
        <v>7.3</v>
      </c>
      <c r="N17" s="16">
        <f t="shared" si="0"/>
        <v>7.3</v>
      </c>
      <c r="O17" s="16">
        <v>1</v>
      </c>
      <c r="P17" s="16"/>
      <c r="Q17" s="16"/>
      <c r="R17" s="16"/>
      <c r="S17" s="16"/>
      <c r="T17" s="16"/>
      <c r="U17" s="16"/>
      <c r="V17" s="16"/>
      <c r="W17" s="16"/>
      <c r="X17" s="17"/>
      <c r="Y17" s="7"/>
      <c r="Z17" s="7"/>
    </row>
    <row r="18" spans="1:26" s="8" customFormat="1" ht="39.950000000000003" customHeight="1">
      <c r="A18" s="3"/>
      <c r="B18" s="25" t="str">
        <f>IF(NOMENCLATURE_GEN!B18="","",NOMENCLATURE_GEN!B18)</f>
        <v/>
      </c>
      <c r="C18" s="243" t="str">
        <f>IF(NOMENCLATURE_GEN!C18="","",NOMENCLATURE_GEN!C18)</f>
        <v/>
      </c>
      <c r="D18" s="4">
        <f>IF(NOMENCLATURE_GEN!D18="","",NOMENCLATURE_GEN!D18)</f>
        <v>110</v>
      </c>
      <c r="E18" s="4" t="str">
        <f ca="1">IF(NOMENCLATURE_GEN!E18="","",NOMENCLATURE_GEN!E18)</f>
        <v>A</v>
      </c>
      <c r="F18" s="4" t="str">
        <f>IF(NOMENCLATURE_GEN!F18="","",NOMENCLATURE_GEN!F18)</f>
        <v>CBA</v>
      </c>
      <c r="G18" s="154" t="str">
        <f>IF(NOMENCLATURE_GEN!G18="","",NOMENCLATURE_GEN!G18)</f>
        <v>Convoyeur de transfert des refus vers FMA</v>
      </c>
      <c r="H18" s="15">
        <v>1</v>
      </c>
      <c r="I18" s="16">
        <v>400</v>
      </c>
      <c r="J18" s="16" t="s">
        <v>521</v>
      </c>
      <c r="K18" s="16"/>
      <c r="L18" s="16" t="str">
        <f>IF(Motorisation!N18="","",Motorisation!N18)</f>
        <v>OUI</v>
      </c>
      <c r="M18" s="16">
        <f>IF(Motorisation!P18="","",Motorisation!P18)</f>
        <v>7.3</v>
      </c>
      <c r="N18" s="16">
        <f t="shared" si="0"/>
        <v>7.3</v>
      </c>
      <c r="O18" s="16">
        <v>1</v>
      </c>
      <c r="P18" s="16"/>
      <c r="Q18" s="16"/>
      <c r="R18" s="16"/>
      <c r="S18" s="16"/>
      <c r="T18" s="16"/>
      <c r="U18" s="16"/>
      <c r="V18" s="16"/>
      <c r="W18" s="16"/>
      <c r="X18" s="17"/>
      <c r="Y18" s="7"/>
      <c r="Z18" s="7"/>
    </row>
    <row r="19" spans="1:26" s="8" customFormat="1" ht="39.950000000000003" customHeight="1">
      <c r="A19" s="3"/>
      <c r="B19" s="25" t="str">
        <f>IF(NOMENCLATURE_GEN!B19="","",NOMENCLATURE_GEN!B19)</f>
        <v/>
      </c>
      <c r="C19" s="243" t="str">
        <f>IF(NOMENCLATURE_GEN!C19="","",NOMENCLATURE_GEN!C19)</f>
        <v/>
      </c>
      <c r="D19" s="4">
        <f>IF(NOMENCLATURE_GEN!D19="","",NOMENCLATURE_GEN!D19)</f>
        <v>111</v>
      </c>
      <c r="E19" s="4" t="str">
        <f ca="1">IF(NOMENCLATURE_GEN!E19="","",NOMENCLATURE_GEN!E19)</f>
        <v>A</v>
      </c>
      <c r="F19" s="4" t="str">
        <f>IF(NOMENCLATURE_GEN!F19="","",NOMENCLATURE_GEN!F19)</f>
        <v>CBA</v>
      </c>
      <c r="G19" s="154" t="str">
        <f>IF(NOMENCLATURE_GEN!G19="","",NOMENCLATURE_GEN!G19)</f>
        <v>Convoyeur by-pass des refus (FMA 1 OU 2)</v>
      </c>
      <c r="H19" s="15">
        <v>1</v>
      </c>
      <c r="I19" s="16">
        <v>400</v>
      </c>
      <c r="J19" s="16" t="s">
        <v>521</v>
      </c>
      <c r="K19" s="16"/>
      <c r="L19" s="16" t="str">
        <f>IF(Motorisation!N19="","",Motorisation!N19)</f>
        <v>OUI</v>
      </c>
      <c r="M19" s="16">
        <f>IF(Motorisation!P19="","",Motorisation!P19)</f>
        <v>4</v>
      </c>
      <c r="N19" s="16">
        <f t="shared" si="0"/>
        <v>4</v>
      </c>
      <c r="O19" s="16">
        <v>1</v>
      </c>
      <c r="P19" s="16"/>
      <c r="Q19" s="16"/>
      <c r="R19" s="16"/>
      <c r="S19" s="16"/>
      <c r="T19" s="16"/>
      <c r="U19" s="16"/>
      <c r="V19" s="16"/>
      <c r="W19" s="16"/>
      <c r="X19" s="17"/>
      <c r="Y19" s="7"/>
      <c r="Z19" s="7"/>
    </row>
    <row r="20" spans="1:26" s="8" customFormat="1" ht="39.950000000000003" customHeight="1">
      <c r="A20" s="3"/>
      <c r="B20" s="25" t="str">
        <f>IF(NOMENCLATURE_GEN!B20="","",NOMENCLATURE_GEN!B20)</f>
        <v/>
      </c>
      <c r="C20" s="243" t="str">
        <f>IF(NOMENCLATURE_GEN!C20="","",NOMENCLATURE_GEN!C20)</f>
        <v/>
      </c>
      <c r="D20" s="4" t="str">
        <f>IF(NOMENCLATURE_GEN!D20="","",NOMENCLATURE_GEN!D20)</f>
        <v>112-1</v>
      </c>
      <c r="E20" s="4" t="str">
        <f ca="1">IF(NOMENCLATURE_GEN!E20="","",NOMENCLATURE_GEN!E20)</f>
        <v>A</v>
      </c>
      <c r="F20" s="4" t="str">
        <f>IF(NOMENCLATURE_GEN!F20="","",NOMENCLATURE_GEN!F20)</f>
        <v>CBA</v>
      </c>
      <c r="G20" s="154" t="str">
        <f>IF(NOMENCLATURE_GEN!G20="","",NOMENCLATURE_GEN!G20)</f>
        <v>Convoyeur navette double sens de remplissage des bennes ou FMA</v>
      </c>
      <c r="H20" s="15">
        <v>1</v>
      </c>
      <c r="I20" s="16">
        <v>400</v>
      </c>
      <c r="J20" s="16" t="s">
        <v>521</v>
      </c>
      <c r="K20" s="16"/>
      <c r="L20" s="16" t="str">
        <f>IF(Motorisation!N20="","",Motorisation!N20)</f>
        <v>OUI</v>
      </c>
      <c r="M20" s="16">
        <f>IF(Motorisation!P20="","",Motorisation!P20)</f>
        <v>4</v>
      </c>
      <c r="N20" s="16">
        <f t="shared" si="0"/>
        <v>4</v>
      </c>
      <c r="O20" s="16"/>
      <c r="P20" s="16"/>
      <c r="Q20" s="16"/>
      <c r="R20" s="16"/>
      <c r="S20" s="16"/>
      <c r="T20" s="16"/>
      <c r="U20" s="16"/>
      <c r="V20" s="16" t="s">
        <v>495</v>
      </c>
      <c r="W20" s="16"/>
      <c r="X20" s="17"/>
      <c r="Y20" s="7"/>
      <c r="Z20" s="7"/>
    </row>
    <row r="21" spans="1:26" s="8" customFormat="1" ht="39.950000000000003" customHeight="1">
      <c r="A21" s="3"/>
      <c r="B21" s="25" t="str">
        <f>IF(NOMENCLATURE_GEN!B21="","",NOMENCLATURE_GEN!B21)</f>
        <v/>
      </c>
      <c r="C21" s="243" t="str">
        <f>IF(NOMENCLATURE_GEN!C21="","",NOMENCLATURE_GEN!C21)</f>
        <v/>
      </c>
      <c r="D21" s="4" t="str">
        <f>IF(NOMENCLATURE_GEN!D21="","",NOMENCLATURE_GEN!D21)</f>
        <v>112-2</v>
      </c>
      <c r="E21" s="4" t="str">
        <f ca="1">IF(NOMENCLATURE_GEN!E21="","",NOMENCLATURE_GEN!E21)</f>
        <v>A</v>
      </c>
      <c r="F21" s="4" t="str">
        <f>IF(NOMENCLATURE_GEN!F21="","",NOMENCLATURE_GEN!F21)</f>
        <v>CBA</v>
      </c>
      <c r="G21" s="154" t="str">
        <f>IF(NOMENCLATURE_GEN!G21="","",NOMENCLATURE_GEN!G21)</f>
        <v>Convoyeur navette double sens de remplissage des bennes ou FMA</v>
      </c>
      <c r="H21" s="15">
        <v>1</v>
      </c>
      <c r="I21" s="16">
        <v>400</v>
      </c>
      <c r="J21" s="16" t="s">
        <v>521</v>
      </c>
      <c r="K21" s="16"/>
      <c r="L21" s="16" t="str">
        <f>IF(Motorisation!N21="","",Motorisation!N21)</f>
        <v>OUI</v>
      </c>
      <c r="M21" s="16">
        <f>IF(Motorisation!P21="","",Motorisation!P21)</f>
        <v>4</v>
      </c>
      <c r="N21" s="16">
        <f t="shared" si="0"/>
        <v>4</v>
      </c>
      <c r="O21" s="16"/>
      <c r="P21" s="16"/>
      <c r="Q21" s="16"/>
      <c r="R21" s="16"/>
      <c r="S21" s="16"/>
      <c r="T21" s="16"/>
      <c r="U21" s="16"/>
      <c r="V21" s="16" t="s">
        <v>495</v>
      </c>
      <c r="W21" s="16"/>
      <c r="X21" s="17"/>
      <c r="Y21" s="7"/>
      <c r="Z21" s="7"/>
    </row>
    <row r="22" spans="1:26" s="8" customFormat="1" ht="39.950000000000003" customHeight="1">
      <c r="A22" s="3"/>
      <c r="B22" s="25" t="str">
        <f>IF(NOMENCLATURE_GEN!B22="","",NOMENCLATURE_GEN!B22)</f>
        <v/>
      </c>
      <c r="C22" s="243" t="str">
        <f>IF(NOMENCLATURE_GEN!C22="","",NOMENCLATURE_GEN!C22)</f>
        <v/>
      </c>
      <c r="D22" s="4" t="str">
        <f>IF(NOMENCLATURE_GEN!D22="","",NOMENCLATURE_GEN!D22)</f>
        <v>113-1</v>
      </c>
      <c r="E22" s="4" t="str">
        <f ca="1">IF(NOMENCLATURE_GEN!E22="","",NOMENCLATURE_GEN!E22)</f>
        <v>A</v>
      </c>
      <c r="F22" s="4" t="str">
        <f>IF(NOMENCLATURE_GEN!F22="","",NOMENCLATURE_GEN!F22)</f>
        <v>NAV</v>
      </c>
      <c r="G22" s="154" t="str">
        <f>IF(NOMENCLATURE_GEN!G22="","",NOMENCLATURE_GEN!G22)</f>
        <v>Système navette pour convoyeur mobile remplissage FMA ou bennes</v>
      </c>
      <c r="H22" s="15">
        <v>1</v>
      </c>
      <c r="I22" s="16">
        <v>400</v>
      </c>
      <c r="J22" s="16" t="s">
        <v>521</v>
      </c>
      <c r="K22" s="16"/>
      <c r="L22" s="16" t="str">
        <f>IF(Motorisation!N22="","",Motorisation!N22)</f>
        <v>OUI</v>
      </c>
      <c r="M22" s="16">
        <f>IF(Motorisation!P22="","",Motorisation!P22)</f>
        <v>1.1200000000000001</v>
      </c>
      <c r="N22" s="16">
        <f t="shared" si="0"/>
        <v>1.1200000000000001</v>
      </c>
      <c r="O22" s="16"/>
      <c r="P22" s="16"/>
      <c r="Q22" s="16"/>
      <c r="R22" s="16"/>
      <c r="S22" s="16"/>
      <c r="T22" s="16"/>
      <c r="U22" s="16"/>
      <c r="V22" s="16" t="s">
        <v>495</v>
      </c>
      <c r="W22" s="16"/>
      <c r="X22" s="17"/>
      <c r="Y22" s="7"/>
      <c r="Z22" s="7"/>
    </row>
    <row r="23" spans="1:26" s="8" customFormat="1" ht="39.950000000000003" customHeight="1">
      <c r="A23" s="3"/>
      <c r="B23" s="25" t="str">
        <f>IF(NOMENCLATURE_GEN!B23="","",NOMENCLATURE_GEN!B23)</f>
        <v/>
      </c>
      <c r="C23" s="243" t="str">
        <f>IF(NOMENCLATURE_GEN!C23="","",NOMENCLATURE_GEN!C23)</f>
        <v/>
      </c>
      <c r="D23" s="4" t="str">
        <f>IF(NOMENCLATURE_GEN!D23="","",NOMENCLATURE_GEN!D23)</f>
        <v>113-2</v>
      </c>
      <c r="E23" s="4" t="str">
        <f ca="1">IF(NOMENCLATURE_GEN!E23="","",NOMENCLATURE_GEN!E23)</f>
        <v>A</v>
      </c>
      <c r="F23" s="4" t="str">
        <f>IF(NOMENCLATURE_GEN!F23="","",NOMENCLATURE_GEN!F23)</f>
        <v>NAV</v>
      </c>
      <c r="G23" s="154" t="str">
        <f>IF(NOMENCLATURE_GEN!G23="","",NOMENCLATURE_GEN!G23)</f>
        <v>Système navette pour convoyeur mobile remplissage FMA ou bennes</v>
      </c>
      <c r="H23" s="15">
        <v>1</v>
      </c>
      <c r="I23" s="16">
        <v>400</v>
      </c>
      <c r="J23" s="16" t="s">
        <v>521</v>
      </c>
      <c r="K23" s="16"/>
      <c r="L23" s="16" t="str">
        <f>IF(Motorisation!N23="","",Motorisation!N23)</f>
        <v>OUI</v>
      </c>
      <c r="M23" s="16">
        <f>IF(Motorisation!P23="","",Motorisation!P23)</f>
        <v>1.1200000000000001</v>
      </c>
      <c r="N23" s="16">
        <f t="shared" si="0"/>
        <v>1.1200000000000001</v>
      </c>
      <c r="O23" s="16">
        <v>0.5</v>
      </c>
      <c r="P23" s="16"/>
      <c r="Q23" s="16"/>
      <c r="R23" s="16"/>
      <c r="S23" s="16"/>
      <c r="T23" s="16"/>
      <c r="U23" s="16"/>
      <c r="V23" s="16" t="s">
        <v>495</v>
      </c>
      <c r="W23" s="16"/>
      <c r="X23" s="17"/>
      <c r="Y23" s="7"/>
      <c r="Z23" s="7"/>
    </row>
    <row r="24" spans="1:26" s="8" customFormat="1" ht="39.950000000000003" customHeight="1">
      <c r="A24" s="3"/>
      <c r="B24" s="25" t="str">
        <f>IF(NOMENCLATURE_GEN!B24="","",NOMENCLATURE_GEN!B24)</f>
        <v>SUP</v>
      </c>
      <c r="C24" s="243" t="str">
        <f>IF(NOMENCLATURE_GEN!C24="","",NOMENCLATURE_GEN!C24)</f>
        <v/>
      </c>
      <c r="D24" s="4">
        <f>IF(NOMENCLATURE_GEN!D24="","",NOMENCLATURE_GEN!D24)</f>
        <v>114</v>
      </c>
      <c r="E24" s="4" t="str">
        <f ca="1">IF(NOMENCLATURE_GEN!E24="","",NOMENCLATURE_GEN!E24)</f>
        <v>A</v>
      </c>
      <c r="F24" s="4" t="str">
        <f>IF(NOMENCLATURE_GEN!F24="","",NOMENCLATURE_GEN!F24)</f>
        <v>TRE</v>
      </c>
      <c r="G24" s="154" t="str">
        <f>IF(NOMENCLATURE_GEN!G24="","",NOMENCLATURE_GEN!G24)</f>
        <v>Trémie des passants 0-180mm sous trommel</v>
      </c>
      <c r="H24" s="15" t="s">
        <v>494</v>
      </c>
      <c r="I24" s="16"/>
      <c r="J24" s="16"/>
      <c r="K24" s="16"/>
      <c r="L24" s="16" t="str">
        <f>IF(Motorisation!N24="","",Motorisation!N24)</f>
        <v/>
      </c>
      <c r="M24" s="16" t="str">
        <f>IF(Motorisation!P24="","",Motorisation!P24)</f>
        <v/>
      </c>
      <c r="N24" s="16" t="str">
        <f t="shared" si="0"/>
        <v/>
      </c>
      <c r="O24" s="16"/>
      <c r="P24" s="16"/>
      <c r="Q24" s="16"/>
      <c r="R24" s="16"/>
      <c r="S24" s="16"/>
      <c r="T24" s="16"/>
      <c r="U24" s="16"/>
      <c r="V24" s="16"/>
      <c r="W24" s="16"/>
      <c r="X24" s="17"/>
      <c r="Y24" s="7"/>
      <c r="Z24" s="7"/>
    </row>
    <row r="25" spans="1:26" s="8" customFormat="1" ht="39.950000000000003" customHeight="1">
      <c r="A25" s="3"/>
      <c r="B25" s="25" t="str">
        <f>IF(NOMENCLATURE_GEN!B25="","",NOMENCLATURE_GEN!B25)</f>
        <v/>
      </c>
      <c r="C25" s="243" t="str">
        <f>IF(NOMENCLATURE_GEN!C25="","",NOMENCLATURE_GEN!C25)</f>
        <v/>
      </c>
      <c r="D25" s="4">
        <f>IF(NOMENCLATURE_GEN!D25="","",NOMENCLATURE_GEN!D25)</f>
        <v>115</v>
      </c>
      <c r="E25" s="4" t="str">
        <f ca="1">IF(NOMENCLATURE_GEN!E25="","",NOMENCLATURE_GEN!E25)</f>
        <v>A</v>
      </c>
      <c r="F25" s="4" t="str">
        <f>IF(NOMENCLATURE_GEN!F25="","",NOMENCLATURE_GEN!F25)</f>
        <v>EAB</v>
      </c>
      <c r="G25" s="154" t="str">
        <f>IF(NOMENCLATURE_GEN!G25="","",NOMENCLATURE_GEN!G25)</f>
        <v>Convoyeur de reprise de la fraction 0-180mm et transfert vers trommel</v>
      </c>
      <c r="H25" s="15">
        <v>1</v>
      </c>
      <c r="I25" s="16">
        <v>400</v>
      </c>
      <c r="J25" s="16" t="s">
        <v>521</v>
      </c>
      <c r="K25" s="16"/>
      <c r="L25" s="16" t="str">
        <f>IF(Motorisation!N25="","",Motorisation!N25)</f>
        <v>OUI</v>
      </c>
      <c r="M25" s="16">
        <f>IF(Motorisation!P25="","",Motorisation!P25)</f>
        <v>5.8</v>
      </c>
      <c r="N25" s="16">
        <f t="shared" si="0"/>
        <v>5.8</v>
      </c>
      <c r="O25" s="16">
        <v>1</v>
      </c>
      <c r="P25" s="16"/>
      <c r="Q25" s="16"/>
      <c r="R25" s="16"/>
      <c r="S25" s="16"/>
      <c r="T25" s="16"/>
      <c r="U25" s="16"/>
      <c r="V25" s="16" t="s">
        <v>495</v>
      </c>
      <c r="W25" s="16"/>
      <c r="X25" s="17"/>
      <c r="Y25" s="7"/>
      <c r="Z25" s="7"/>
    </row>
    <row r="26" spans="1:26" s="8" customFormat="1" ht="39.950000000000003" customHeight="1">
      <c r="A26" s="3"/>
      <c r="B26" s="25" t="str">
        <f>IF(NOMENCLATURE_GEN!B26="","",NOMENCLATURE_GEN!B26)</f>
        <v/>
      </c>
      <c r="C26" s="243" t="str">
        <f>IF(NOMENCLATURE_GEN!C26="","",NOMENCLATURE_GEN!C26)</f>
        <v/>
      </c>
      <c r="D26" s="4">
        <f>IF(NOMENCLATURE_GEN!D26="","",NOMENCLATURE_GEN!D26)</f>
        <v>115</v>
      </c>
      <c r="E26" s="4" t="str">
        <f ca="1">IF(NOMENCLATURE_GEN!E26="","",NOMENCLATURE_GEN!E26)</f>
        <v>B</v>
      </c>
      <c r="F26" s="4" t="str">
        <f>IF(NOMENCLATURE_GEN!F26="","",NOMENCLATURE_GEN!F26)</f>
        <v>GRA</v>
      </c>
      <c r="G26" s="154" t="str">
        <f>IF(NOMENCLATURE_GEN!G26="","",NOMENCLATURE_GEN!G26)</f>
        <v>Convoyeur à bande et chaines - Centrale de graissage</v>
      </c>
      <c r="H26" s="15">
        <v>1</v>
      </c>
      <c r="I26" s="16">
        <v>230</v>
      </c>
      <c r="J26" s="16" t="s">
        <v>521</v>
      </c>
      <c r="K26" s="16"/>
      <c r="L26" s="16" t="str">
        <f>IF(Motorisation!N26="","",Motorisation!N26)</f>
        <v/>
      </c>
      <c r="M26" s="16" t="str">
        <f>IF(Motorisation!P26="","",Motorisation!P26)</f>
        <v/>
      </c>
      <c r="N26" s="16" t="str">
        <f t="shared" si="0"/>
        <v/>
      </c>
      <c r="O26" s="16"/>
      <c r="P26" s="16"/>
      <c r="Q26" s="16"/>
      <c r="R26" s="16"/>
      <c r="S26" s="16"/>
      <c r="T26" s="16"/>
      <c r="U26" s="16"/>
      <c r="V26" s="16"/>
      <c r="W26" s="16"/>
      <c r="X26" s="17"/>
      <c r="Y26" s="7"/>
      <c r="Z26" s="7"/>
    </row>
    <row r="27" spans="1:26" s="8" customFormat="1" ht="39.950000000000003" customHeight="1">
      <c r="A27" s="3"/>
      <c r="B27" s="25" t="str">
        <f>IF(NOMENCLATURE_GEN!B27="","",NOMENCLATURE_GEN!B27)</f>
        <v/>
      </c>
      <c r="C27" s="243" t="str">
        <f>IF(NOMENCLATURE_GEN!C27="","",NOMENCLATURE_GEN!C27)</f>
        <v/>
      </c>
      <c r="D27" s="4">
        <f>IF(NOMENCLATURE_GEN!D27="","",NOMENCLATURE_GEN!D27)</f>
        <v>116</v>
      </c>
      <c r="E27" s="4" t="str">
        <f ca="1">IF(NOMENCLATURE_GEN!E27="","",NOMENCLATURE_GEN!E27)</f>
        <v>A</v>
      </c>
      <c r="F27" s="4" t="str">
        <f>IF(NOMENCLATURE_GEN!F27="","",NOMENCLATURE_GEN!F27)</f>
        <v>TRO</v>
      </c>
      <c r="G27" s="154" t="str">
        <f>IF(NOMENCLATURE_GEN!G27="","",NOMENCLATURE_GEN!G27)</f>
        <v>Trommel secondaire, maille Ø30mm, avec pales de brassage</v>
      </c>
      <c r="H27" s="15">
        <v>1</v>
      </c>
      <c r="I27" s="16">
        <v>400</v>
      </c>
      <c r="J27" s="16" t="s">
        <v>521</v>
      </c>
      <c r="K27" s="16"/>
      <c r="L27" s="16" t="str">
        <f>IF(Motorisation!N27="","",Motorisation!N27)</f>
        <v>OUI</v>
      </c>
      <c r="M27" s="16">
        <f>IF(Motorisation!P27="","",Motorisation!P27)</f>
        <v>15</v>
      </c>
      <c r="N27" s="16">
        <f t="shared" si="0"/>
        <v>15</v>
      </c>
      <c r="O27" s="16">
        <v>1</v>
      </c>
      <c r="P27" s="16"/>
      <c r="Q27" s="16"/>
      <c r="R27" s="16"/>
      <c r="S27" s="16"/>
      <c r="T27" s="16"/>
      <c r="U27" s="16"/>
      <c r="V27" s="16"/>
      <c r="W27" s="16"/>
      <c r="X27" s="17"/>
      <c r="Y27" s="7"/>
      <c r="Z27" s="7"/>
    </row>
    <row r="28" spans="1:26" s="8" customFormat="1" ht="39.950000000000003" customHeight="1">
      <c r="A28" s="3"/>
      <c r="B28" s="25" t="str">
        <f>IF(NOMENCLATURE_GEN!B28="","",NOMENCLATURE_GEN!B28)</f>
        <v/>
      </c>
      <c r="C28" s="243" t="str">
        <f>IF(NOMENCLATURE_GEN!C28="","",NOMENCLATURE_GEN!C28)</f>
        <v/>
      </c>
      <c r="D28" s="4">
        <f>IF(NOMENCLATURE_GEN!D28="","",NOMENCLATURE_GEN!D28)</f>
        <v>117</v>
      </c>
      <c r="E28" s="4" t="str">
        <f ca="1">IF(NOMENCLATURE_GEN!E28="","",NOMENCLATURE_GEN!E28)</f>
        <v>A</v>
      </c>
      <c r="F28" s="4" t="str">
        <f>IF(NOMENCLATURE_GEN!F28="","",NOMENCLATURE_GEN!F28)</f>
        <v>NET</v>
      </c>
      <c r="G28" s="154" t="str">
        <f>IF(NOMENCLATURE_GEN!G28="","",NOMENCLATURE_GEN!G28)</f>
        <v>Nettoyage pneumatique haute pression maille Ø30mm</v>
      </c>
      <c r="H28" s="15">
        <v>1</v>
      </c>
      <c r="I28" s="16">
        <v>230</v>
      </c>
      <c r="J28" s="16" t="s">
        <v>521</v>
      </c>
      <c r="K28" s="16"/>
      <c r="L28" s="16" t="str">
        <f>IF(Motorisation!N28="","",Motorisation!N28)</f>
        <v/>
      </c>
      <c r="M28" s="16" t="str">
        <f>IF(Motorisation!P28="","",Motorisation!P28)</f>
        <v/>
      </c>
      <c r="N28" s="16" t="str">
        <f t="shared" si="0"/>
        <v/>
      </c>
      <c r="O28" s="16">
        <v>1</v>
      </c>
      <c r="P28" s="585"/>
      <c r="Q28" s="586"/>
      <c r="R28" s="16"/>
      <c r="S28" s="16"/>
      <c r="T28" s="16"/>
      <c r="U28" s="16"/>
      <c r="V28" s="16"/>
      <c r="W28" s="16"/>
      <c r="X28" s="17"/>
      <c r="Y28" s="7"/>
      <c r="Z28" s="7"/>
    </row>
    <row r="29" spans="1:26" s="8" customFormat="1" ht="39.950000000000003" customHeight="1">
      <c r="A29" s="3"/>
      <c r="B29" s="25" t="str">
        <f>IF(NOMENCLATURE_GEN!B29="","",NOMENCLATURE_GEN!B29)</f>
        <v/>
      </c>
      <c r="C29" s="243" t="str">
        <f>IF(NOMENCLATURE_GEN!C29="","",NOMENCLATURE_GEN!C29)</f>
        <v/>
      </c>
      <c r="D29" s="4">
        <f>IF(NOMENCLATURE_GEN!D29="","",NOMENCLATURE_GEN!D29)</f>
        <v>118</v>
      </c>
      <c r="E29" s="4" t="str">
        <f ca="1">IF(NOMENCLATURE_GEN!E29="","",NOMENCLATURE_GEN!E29)</f>
        <v>A</v>
      </c>
      <c r="F29" s="4" t="str">
        <f>IF(NOMENCLATURE_GEN!F29="","",NOMENCLATURE_GEN!F29)</f>
        <v>CBA</v>
      </c>
      <c r="G29" s="154" t="str">
        <f>IF(NOMENCLATURE_GEN!G29="","",NOMENCLATURE_GEN!G29)</f>
        <v xml:space="preserve">Convoyeur de reprise de la fraction 30-180mm avec tête inox + zone inox </v>
      </c>
      <c r="H29" s="15">
        <v>1</v>
      </c>
      <c r="I29" s="16">
        <v>400</v>
      </c>
      <c r="J29" s="16" t="s">
        <v>521</v>
      </c>
      <c r="K29" s="16"/>
      <c r="L29" s="16" t="str">
        <f>IF(Motorisation!N29="","",Motorisation!N29)</f>
        <v>OUI</v>
      </c>
      <c r="M29" s="16">
        <f>IF(Motorisation!P29="","",Motorisation!P29)</f>
        <v>4</v>
      </c>
      <c r="N29" s="16">
        <f t="shared" si="0"/>
        <v>4</v>
      </c>
      <c r="O29" s="16">
        <v>1</v>
      </c>
      <c r="P29" s="16"/>
      <c r="Q29" s="16"/>
      <c r="R29" s="16"/>
      <c r="S29" s="16"/>
      <c r="T29" s="16"/>
      <c r="U29" s="16"/>
      <c r="V29" s="16"/>
      <c r="W29" s="16"/>
      <c r="X29" s="17"/>
      <c r="Y29" s="7"/>
      <c r="Z29" s="7"/>
    </row>
    <row r="30" spans="1:26" s="8" customFormat="1" ht="39.950000000000003" customHeight="1">
      <c r="A30" s="3"/>
      <c r="B30" s="25" t="str">
        <f>IF(NOMENCLATURE_GEN!B30="","",NOMENCLATURE_GEN!B30)</f>
        <v/>
      </c>
      <c r="C30" s="243" t="str">
        <f>IF(NOMENCLATURE_GEN!C30="","",NOMENCLATURE_GEN!C30)</f>
        <v/>
      </c>
      <c r="D30" s="4">
        <f>IF(NOMENCLATURE_GEN!D30="","",NOMENCLATURE_GEN!D30)</f>
        <v>119</v>
      </c>
      <c r="E30" s="4" t="str">
        <f ca="1">IF(NOMENCLATURE_GEN!E30="","",NOMENCLATURE_GEN!E30)</f>
        <v>A</v>
      </c>
      <c r="F30" s="4" t="str">
        <f>IF(NOMENCLATURE_GEN!F30="","",NOMENCLATURE_GEN!F30)</f>
        <v>OVB</v>
      </c>
      <c r="G30" s="154" t="str">
        <f>IF(NOMENCLATURE_GEN!G30="","",NOMENCLATURE_GEN!G30)</f>
        <v>Séparateur magnétique à aimant permament</v>
      </c>
      <c r="H30" s="15">
        <v>1</v>
      </c>
      <c r="I30" s="16">
        <v>400</v>
      </c>
      <c r="J30" s="16"/>
      <c r="K30" s="16" t="s">
        <v>524</v>
      </c>
      <c r="L30" s="10" t="s">
        <v>681</v>
      </c>
      <c r="M30" s="16">
        <v>2.2000000000000002</v>
      </c>
      <c r="N30" s="16">
        <f t="shared" si="0"/>
        <v>2.2000000000000002</v>
      </c>
      <c r="O30" s="16">
        <v>1</v>
      </c>
      <c r="P30" s="16"/>
      <c r="Q30" s="16"/>
      <c r="R30" s="16"/>
      <c r="S30" s="16"/>
      <c r="T30" s="16"/>
      <c r="U30" s="16"/>
      <c r="V30" s="16"/>
      <c r="W30" s="16"/>
      <c r="X30" s="17"/>
      <c r="Y30" s="7"/>
      <c r="Z30" s="7"/>
    </row>
    <row r="31" spans="1:26" s="8" customFormat="1" ht="39.950000000000003" customHeight="1">
      <c r="A31" s="3"/>
      <c r="B31" s="25" t="str">
        <f>IF(NOMENCLATURE_GEN!B31="","",NOMENCLATURE_GEN!B31)</f>
        <v/>
      </c>
      <c r="C31" s="243" t="str">
        <f>IF(NOMENCLATURE_GEN!C31="","",NOMENCLATURE_GEN!C31)</f>
        <v/>
      </c>
      <c r="D31" s="4">
        <f>IF(NOMENCLATURE_GEN!D31="","",NOMENCLATURE_GEN!D31)</f>
        <v>120</v>
      </c>
      <c r="E31" s="4" t="str">
        <f ca="1">IF(NOMENCLATURE_GEN!E31="","",NOMENCLATURE_GEN!E31)</f>
        <v>A</v>
      </c>
      <c r="F31" s="4" t="str">
        <f>IF(NOMENCLATURE_GEN!F31="","",NOMENCLATURE_GEN!F31)</f>
        <v>PMP</v>
      </c>
      <c r="G31" s="154" t="str">
        <f>IF(NOMENCLATURE_GEN!G31="","",NOMENCLATURE_GEN!G31)</f>
        <v>Poulie magnétique</v>
      </c>
      <c r="H31" s="15" t="s">
        <v>494</v>
      </c>
      <c r="I31" s="16"/>
      <c r="J31" s="16"/>
      <c r="K31" s="16"/>
      <c r="L31" s="16" t="str">
        <f>IF(Motorisation!N31="","",Motorisation!N31)</f>
        <v/>
      </c>
      <c r="M31" s="16" t="str">
        <f>IF(Motorisation!P31="","",Motorisation!P31)</f>
        <v/>
      </c>
      <c r="N31" s="16" t="str">
        <f t="shared" si="0"/>
        <v/>
      </c>
      <c r="O31" s="16"/>
      <c r="P31" s="16"/>
      <c r="Q31" s="16"/>
      <c r="R31" s="16"/>
      <c r="S31" s="16"/>
      <c r="T31" s="16"/>
      <c r="U31" s="16"/>
      <c r="V31" s="16"/>
      <c r="W31" s="16"/>
      <c r="X31" s="17"/>
      <c r="Y31" s="7"/>
      <c r="Z31" s="7"/>
    </row>
    <row r="32" spans="1:26" s="8" customFormat="1" ht="39.950000000000003" customHeight="1">
      <c r="A32" s="3"/>
      <c r="B32" s="25" t="str">
        <f>IF(NOMENCLATURE_GEN!B32="","",NOMENCLATURE_GEN!B32)</f>
        <v/>
      </c>
      <c r="C32" s="243" t="str">
        <f>IF(NOMENCLATURE_GEN!C32="","",NOMENCLATURE_GEN!C32)</f>
        <v/>
      </c>
      <c r="D32" s="4">
        <f>IF(NOMENCLATURE_GEN!D32="","",NOMENCLATURE_GEN!D32)</f>
        <v>121</v>
      </c>
      <c r="E32" s="4" t="str">
        <f ca="1">IF(NOMENCLATURE_GEN!E32="","",NOMENCLATURE_GEN!E32)</f>
        <v>A</v>
      </c>
      <c r="F32" s="4" t="str">
        <f>IF(NOMENCLATURE_GEN!F32="","",NOMENCLATURE_GEN!F32)</f>
        <v>SNF</v>
      </c>
      <c r="G32" s="154" t="str">
        <f>IF(NOMENCLATURE_GEN!G32="","",NOMENCLATURE_GEN!G32)</f>
        <v>Séparateur de non ferreux EDX - ROUE POLAIRE</v>
      </c>
      <c r="H32" s="15">
        <v>1</v>
      </c>
      <c r="I32" s="16">
        <v>400</v>
      </c>
      <c r="J32" s="10" t="s">
        <v>521</v>
      </c>
      <c r="K32" s="16"/>
      <c r="L32" s="10" t="s">
        <v>680</v>
      </c>
      <c r="M32" s="16">
        <v>7.5</v>
      </c>
      <c r="N32" s="16">
        <f t="shared" si="0"/>
        <v>7.5</v>
      </c>
      <c r="O32" s="16">
        <v>1</v>
      </c>
      <c r="P32" s="16"/>
      <c r="Q32" s="16"/>
      <c r="R32" s="16"/>
      <c r="S32" s="16"/>
      <c r="T32" s="16"/>
      <c r="U32" s="16"/>
      <c r="V32" s="16"/>
      <c r="W32" s="16"/>
      <c r="X32" s="17"/>
      <c r="Y32" s="7"/>
      <c r="Z32" s="7"/>
    </row>
    <row r="33" spans="1:26" s="8" customFormat="1" ht="39.950000000000003" customHeight="1">
      <c r="A33" s="3"/>
      <c r="B33" s="25" t="str">
        <f>IF(NOMENCLATURE_GEN!B33="","",NOMENCLATURE_GEN!B33)</f>
        <v/>
      </c>
      <c r="C33" s="243" t="str">
        <f>IF(NOMENCLATURE_GEN!C33="","",NOMENCLATURE_GEN!C33)</f>
        <v/>
      </c>
      <c r="D33" s="4">
        <f>IF(NOMENCLATURE_GEN!D33="","",NOMENCLATURE_GEN!D33)</f>
        <v>121</v>
      </c>
      <c r="E33" s="4" t="str">
        <f ca="1">IF(NOMENCLATURE_GEN!E33="","",NOMENCLATURE_GEN!E33)</f>
        <v>B</v>
      </c>
      <c r="F33" s="4" t="str">
        <f>IF(NOMENCLATURE_GEN!F33="","",NOMENCLATURE_GEN!F33)</f>
        <v>SNF</v>
      </c>
      <c r="G33" s="154" t="str">
        <f>IF(NOMENCLATURE_GEN!G33="","",NOMENCLATURE_GEN!G33)</f>
        <v>Séparateur de non ferreux EDX - CONVOYEUR</v>
      </c>
      <c r="H33" s="15">
        <v>1</v>
      </c>
      <c r="I33" s="16">
        <v>400</v>
      </c>
      <c r="J33" s="16" t="s">
        <v>521</v>
      </c>
      <c r="K33" s="16"/>
      <c r="L33" s="10" t="s">
        <v>680</v>
      </c>
      <c r="M33" s="16">
        <v>2.2000000000000002</v>
      </c>
      <c r="N33" s="16">
        <f t="shared" si="0"/>
        <v>2.2000000000000002</v>
      </c>
      <c r="O33" s="16">
        <v>1</v>
      </c>
      <c r="P33" s="16"/>
      <c r="Q33" s="16"/>
      <c r="R33" s="16"/>
      <c r="S33" s="16"/>
      <c r="T33" s="16"/>
      <c r="U33" s="16"/>
      <c r="V33" s="16"/>
      <c r="W33" s="16"/>
      <c r="X33" s="17"/>
      <c r="Y33" s="7"/>
      <c r="Z33" s="7"/>
    </row>
    <row r="34" spans="1:26" s="8" customFormat="1" ht="39.950000000000003" customHeight="1">
      <c r="A34" s="3"/>
      <c r="B34" s="25" t="str">
        <f>IF(NOMENCLATURE_GEN!B34="","",NOMENCLATURE_GEN!B34)</f>
        <v/>
      </c>
      <c r="C34" s="243" t="str">
        <f>IF(NOMENCLATURE_GEN!C34="","",NOMENCLATURE_GEN!C34)</f>
        <v/>
      </c>
      <c r="D34" s="4">
        <f>IF(NOMENCLATURE_GEN!D34="","",NOMENCLATURE_GEN!D34)</f>
        <v>122</v>
      </c>
      <c r="E34" s="4" t="str">
        <f ca="1">IF(NOMENCLATURE_GEN!E34="","",NOMENCLATURE_GEN!E34)</f>
        <v>A</v>
      </c>
      <c r="F34" s="4" t="str">
        <f>IF(NOMENCLATURE_GEN!F34="","",NOMENCLATURE_GEN!F34)</f>
        <v>TBE</v>
      </c>
      <c r="G34" s="154" t="str">
        <f>IF(NOMENCLATURE_GEN!G34="","",NOMENCLATURE_GEN!G34)</f>
        <v>Convoyeur de reprise des non ferreux</v>
      </c>
      <c r="H34" s="15">
        <v>1</v>
      </c>
      <c r="I34" s="16">
        <v>400</v>
      </c>
      <c r="J34" s="16" t="s">
        <v>521</v>
      </c>
      <c r="K34" s="16"/>
      <c r="L34" s="16" t="str">
        <f>IF(Motorisation!N34="","",Motorisation!N34)</f>
        <v>OUI</v>
      </c>
      <c r="M34" s="16">
        <v>1.6</v>
      </c>
      <c r="N34" s="16">
        <f t="shared" si="0"/>
        <v>1.6</v>
      </c>
      <c r="O34" s="16">
        <v>1</v>
      </c>
      <c r="P34" s="16"/>
      <c r="Q34" s="16"/>
      <c r="R34" s="16"/>
      <c r="S34" s="16"/>
      <c r="T34" s="16"/>
      <c r="U34" s="16"/>
      <c r="V34" s="16"/>
      <c r="W34" s="16"/>
      <c r="X34" s="17"/>
      <c r="Y34" s="7"/>
      <c r="Z34" s="7"/>
    </row>
    <row r="35" spans="1:26" s="8" customFormat="1" ht="39.950000000000003" customHeight="1">
      <c r="A35" s="3"/>
      <c r="B35" s="25" t="str">
        <f>IF(NOMENCLATURE_GEN!B35="","",NOMENCLATURE_GEN!B35)</f>
        <v/>
      </c>
      <c r="C35" s="243" t="str">
        <f>IF(NOMENCLATURE_GEN!C35="","",NOMENCLATURE_GEN!C35)</f>
        <v/>
      </c>
      <c r="D35" s="4">
        <f>IF(NOMENCLATURE_GEN!D35="","",NOMENCLATURE_GEN!D35)</f>
        <v>123</v>
      </c>
      <c r="E35" s="4" t="str">
        <f ca="1">IF(NOMENCLATURE_GEN!E35="","",NOMENCLATURE_GEN!E35)</f>
        <v>A</v>
      </c>
      <c r="F35" s="4" t="str">
        <f>IF(NOMENCLATURE_GEN!F35="","",NOMENCLATURE_GEN!F35)</f>
        <v>TBE</v>
      </c>
      <c r="G35" s="154" t="str">
        <f>IF(NOMENCLATURE_GEN!G35="","",NOMENCLATURE_GEN!G35)</f>
        <v>Convoyeur de centralisation des non ferreux et transfert vers benne</v>
      </c>
      <c r="H35" s="15">
        <v>1</v>
      </c>
      <c r="I35" s="16">
        <v>400</v>
      </c>
      <c r="J35" s="16" t="s">
        <v>521</v>
      </c>
      <c r="K35" s="16"/>
      <c r="L35" s="16" t="str">
        <f>IF(Motorisation!N35="","",Motorisation!N35)</f>
        <v>OUI</v>
      </c>
      <c r="M35" s="16">
        <v>1.6</v>
      </c>
      <c r="N35" s="16">
        <f t="shared" si="0"/>
        <v>1.6</v>
      </c>
      <c r="O35" s="16">
        <v>1</v>
      </c>
      <c r="P35" s="16"/>
      <c r="Q35" s="16"/>
      <c r="R35" s="16"/>
      <c r="S35" s="16"/>
      <c r="T35" s="16"/>
      <c r="U35" s="16"/>
      <c r="V35" s="16"/>
      <c r="W35" s="16"/>
      <c r="X35" s="17"/>
      <c r="Y35" s="7"/>
      <c r="Z35" s="7"/>
    </row>
    <row r="36" spans="1:26" s="8" customFormat="1" ht="39.950000000000003" customHeight="1">
      <c r="A36" s="3"/>
      <c r="B36" s="25" t="str">
        <f>IF(NOMENCLATURE_GEN!B36="","",NOMENCLATURE_GEN!B36)</f>
        <v/>
      </c>
      <c r="C36" s="243" t="str">
        <f>IF(NOMENCLATURE_GEN!C36="","",NOMENCLATURE_GEN!C36)</f>
        <v/>
      </c>
      <c r="D36" s="4">
        <f>IF(NOMENCLATURE_GEN!D36="","",NOMENCLATURE_GEN!D36)</f>
        <v>124</v>
      </c>
      <c r="E36" s="4" t="str">
        <f ca="1">IF(NOMENCLATURE_GEN!E36="","",NOMENCLATURE_GEN!E36)</f>
        <v>A</v>
      </c>
      <c r="F36" s="4" t="str">
        <f>IF(NOMENCLATURE_GEN!F36="","",NOMENCLATURE_GEN!F36)</f>
        <v>TBE</v>
      </c>
      <c r="G36" s="154" t="str">
        <f>IF(NOMENCLATURE_GEN!G36="","",NOMENCLATURE_GEN!G36)</f>
        <v>Convoyeur navette double sens de remplissage de la benne</v>
      </c>
      <c r="H36" s="15">
        <v>1</v>
      </c>
      <c r="I36" s="16">
        <v>400</v>
      </c>
      <c r="J36" s="16" t="s">
        <v>521</v>
      </c>
      <c r="K36" s="16"/>
      <c r="L36" s="16" t="str">
        <f>IF(Motorisation!N36="","",Motorisation!N36)</f>
        <v>OUI</v>
      </c>
      <c r="M36" s="16">
        <v>1.6</v>
      </c>
      <c r="N36" s="16">
        <f t="shared" si="0"/>
        <v>1.6</v>
      </c>
      <c r="O36" s="16">
        <v>1</v>
      </c>
      <c r="P36" s="16"/>
      <c r="Q36" s="16"/>
      <c r="R36" s="16"/>
      <c r="S36" s="16"/>
      <c r="T36" s="16"/>
      <c r="U36" s="16"/>
      <c r="V36" s="16"/>
      <c r="W36" s="16"/>
      <c r="X36" s="17"/>
      <c r="Y36" s="7"/>
      <c r="Z36" s="7"/>
    </row>
    <row r="37" spans="1:26" s="8" customFormat="1" ht="39.950000000000003" customHeight="1">
      <c r="A37" s="3"/>
      <c r="B37" s="25" t="str">
        <f>IF(NOMENCLATURE_GEN!B37="","",NOMENCLATURE_GEN!B37)</f>
        <v/>
      </c>
      <c r="C37" s="243" t="str">
        <f>IF(NOMENCLATURE_GEN!C37="","",NOMENCLATURE_GEN!C37)</f>
        <v/>
      </c>
      <c r="D37" s="4">
        <f>IF(NOMENCLATURE_GEN!D37="","",NOMENCLATURE_GEN!D37)</f>
        <v>125</v>
      </c>
      <c r="E37" s="4" t="str">
        <f ca="1">IF(NOMENCLATURE_GEN!E37="","",NOMENCLATURE_GEN!E37)</f>
        <v>A</v>
      </c>
      <c r="F37" s="4" t="str">
        <f>IF(NOMENCLATURE_GEN!F37="","",NOMENCLATURE_GEN!F37)</f>
        <v>CBA</v>
      </c>
      <c r="G37" s="154" t="str">
        <f>IF(NOMENCLATURE_GEN!G37="","",NOMENCLATURE_GEN!G37)</f>
        <v>Convoyeur de reprise des refus 30-180mm sous snf</v>
      </c>
      <c r="H37" s="15">
        <v>1</v>
      </c>
      <c r="I37" s="16">
        <v>400</v>
      </c>
      <c r="J37" s="16" t="s">
        <v>521</v>
      </c>
      <c r="K37" s="16"/>
      <c r="L37" s="16" t="str">
        <f>IF(Motorisation!N37="","",Motorisation!N37)</f>
        <v>OUI</v>
      </c>
      <c r="M37" s="16">
        <f>IF(Motorisation!P37="","",Motorisation!P37)</f>
        <v>4</v>
      </c>
      <c r="N37" s="16">
        <f t="shared" si="0"/>
        <v>4</v>
      </c>
      <c r="O37" s="16">
        <v>1</v>
      </c>
      <c r="P37" s="16"/>
      <c r="Q37" s="16"/>
      <c r="R37" s="16"/>
      <c r="S37" s="16"/>
      <c r="T37" s="16"/>
      <c r="U37" s="16"/>
      <c r="V37" s="16"/>
      <c r="W37" s="16"/>
      <c r="X37" s="17"/>
      <c r="Y37" s="7"/>
      <c r="Z37" s="7"/>
    </row>
    <row r="38" spans="1:26" s="8" customFormat="1" ht="39.950000000000003" customHeight="1">
      <c r="A38" s="3"/>
      <c r="B38" s="25" t="str">
        <f>IF(NOMENCLATURE_GEN!B38="","",NOMENCLATURE_GEN!B38)</f>
        <v/>
      </c>
      <c r="C38" s="243" t="str">
        <f>IF(NOMENCLATURE_GEN!C38="","",NOMENCLATURE_GEN!C38)</f>
        <v/>
      </c>
      <c r="D38" s="4">
        <f>IF(NOMENCLATURE_GEN!D38="","",NOMENCLATURE_GEN!D38)</f>
        <v>126</v>
      </c>
      <c r="E38" s="4" t="str">
        <f ca="1">IF(NOMENCLATURE_GEN!E38="","",NOMENCLATURE_GEN!E38)</f>
        <v>A</v>
      </c>
      <c r="F38" s="4" t="str">
        <f>IF(NOMENCLATURE_GEN!F38="","",NOMENCLATURE_GEN!F38)</f>
        <v>CBA</v>
      </c>
      <c r="G38" s="154" t="str">
        <f>IF(NOMENCLATURE_GEN!G38="","",NOMENCLATURE_GEN!G38)</f>
        <v>Convoyeur de transfert des refus 30-180mm</v>
      </c>
      <c r="H38" s="15">
        <v>1</v>
      </c>
      <c r="I38" s="16">
        <v>400</v>
      </c>
      <c r="J38" s="16" t="s">
        <v>521</v>
      </c>
      <c r="K38" s="16"/>
      <c r="L38" s="16" t="str">
        <f>IF(Motorisation!N38="","",Motorisation!N38)</f>
        <v>OUI</v>
      </c>
      <c r="M38" s="16">
        <f>IF(Motorisation!P38="","",Motorisation!P38)</f>
        <v>4</v>
      </c>
      <c r="N38" s="16">
        <f t="shared" si="0"/>
        <v>4</v>
      </c>
      <c r="O38" s="16">
        <v>1</v>
      </c>
      <c r="P38" s="16"/>
      <c r="Q38" s="16"/>
      <c r="R38" s="16"/>
      <c r="S38" s="16"/>
      <c r="T38" s="16"/>
      <c r="U38" s="16"/>
      <c r="V38" s="16"/>
      <c r="W38" s="16"/>
      <c r="X38" s="17"/>
      <c r="Y38" s="7"/>
      <c r="Z38" s="7"/>
    </row>
    <row r="39" spans="1:26" s="8" customFormat="1" ht="39.950000000000003" customHeight="1">
      <c r="A39" s="3"/>
      <c r="B39" s="25" t="str">
        <f>IF(NOMENCLATURE_GEN!B39="","",NOMENCLATURE_GEN!B39)</f>
        <v/>
      </c>
      <c r="C39" s="243" t="str">
        <f>IF(NOMENCLATURE_GEN!C39="","",NOMENCLATURE_GEN!C39)</f>
        <v/>
      </c>
      <c r="D39" s="4">
        <f>IF(NOMENCLATURE_GEN!D39="","",NOMENCLATURE_GEN!D39)</f>
        <v>127</v>
      </c>
      <c r="E39" s="4" t="str">
        <f ca="1">IF(NOMENCLATURE_GEN!E39="","",NOMENCLATURE_GEN!E39)</f>
        <v>A</v>
      </c>
      <c r="F39" s="4" t="str">
        <f>IF(NOMENCLATURE_GEN!F39="","",NOMENCLATURE_GEN!F39)</f>
        <v>TBE</v>
      </c>
      <c r="G39" s="154" t="str">
        <f>IF(NOMENCLATURE_GEN!G39="","",NOMENCLATURE_GEN!G39)</f>
        <v>Convoyeur de reprise des aciers 30-180mm</v>
      </c>
      <c r="H39" s="15">
        <v>1</v>
      </c>
      <c r="I39" s="16">
        <v>400</v>
      </c>
      <c r="J39" s="16" t="s">
        <v>521</v>
      </c>
      <c r="K39" s="16"/>
      <c r="L39" s="16" t="str">
        <f>IF(Motorisation!N39="","",Motorisation!N39)</f>
        <v>OUI</v>
      </c>
      <c r="M39" s="16">
        <v>1.6</v>
      </c>
      <c r="N39" s="16">
        <f t="shared" si="0"/>
        <v>1.6</v>
      </c>
      <c r="O39" s="16">
        <v>1</v>
      </c>
      <c r="P39" s="16"/>
      <c r="Q39" s="16"/>
      <c r="R39" s="16"/>
      <c r="S39" s="16"/>
      <c r="T39" s="16"/>
      <c r="U39" s="16"/>
      <c r="V39" s="16"/>
      <c r="W39" s="16"/>
      <c r="X39" s="17"/>
      <c r="Y39" s="7"/>
      <c r="Z39" s="7"/>
    </row>
    <row r="40" spans="1:26" s="8" customFormat="1" ht="39.950000000000003" customHeight="1">
      <c r="A40" s="3"/>
      <c r="B40" s="25" t="str">
        <f>IF(NOMENCLATURE_GEN!B40="","",NOMENCLATURE_GEN!B40)</f>
        <v/>
      </c>
      <c r="C40" s="243" t="str">
        <f>IF(NOMENCLATURE_GEN!C40="","",NOMENCLATURE_GEN!C40)</f>
        <v/>
      </c>
      <c r="D40" s="4">
        <f>IF(NOMENCLATURE_GEN!D40="","",NOMENCLATURE_GEN!D40)</f>
        <v>128</v>
      </c>
      <c r="E40" s="4" t="str">
        <f ca="1">IF(NOMENCLATURE_GEN!E40="","",NOMENCLATURE_GEN!E40)</f>
        <v>A</v>
      </c>
      <c r="F40" s="4" t="str">
        <f>IF(NOMENCLATURE_GEN!F40="","",NOMENCLATURE_GEN!F40)</f>
        <v>GLT</v>
      </c>
      <c r="G40" s="154" t="str">
        <f>IF(NOMENCLATURE_GEN!G40="","",NOMENCLATURE_GEN!G40)</f>
        <v>Goulotte by-pass (ligne de broyage des fe ou benne de stokage)</v>
      </c>
      <c r="H40" s="15">
        <v>1</v>
      </c>
      <c r="I40" s="16" t="s">
        <v>522</v>
      </c>
      <c r="J40" s="16" t="s">
        <v>521</v>
      </c>
      <c r="K40" s="16"/>
      <c r="L40" s="16" t="str">
        <f>IF(Motorisation!N40="","",Motorisation!N40)</f>
        <v/>
      </c>
      <c r="M40" s="16" t="str">
        <f>IF(Motorisation!P40="","",Motorisation!P40)</f>
        <v/>
      </c>
      <c r="N40" s="16" t="str">
        <f t="shared" si="0"/>
        <v/>
      </c>
      <c r="O40" s="16">
        <v>0.25</v>
      </c>
      <c r="P40" s="16"/>
      <c r="Q40" s="16"/>
      <c r="R40" s="16"/>
      <c r="S40" s="16"/>
      <c r="T40" s="16"/>
      <c r="U40" s="16"/>
      <c r="V40" s="16"/>
      <c r="W40" s="16"/>
      <c r="X40" s="17"/>
      <c r="Y40" s="7"/>
      <c r="Z40" s="7"/>
    </row>
    <row r="41" spans="1:26" s="8" customFormat="1" ht="39.950000000000003" customHeight="1">
      <c r="A41" s="3"/>
      <c r="B41" s="25" t="str">
        <f>IF(NOMENCLATURE_GEN!B41="","",NOMENCLATURE_GEN!B41)</f>
        <v>SUP</v>
      </c>
      <c r="C41" s="243" t="str">
        <f>IF(NOMENCLATURE_GEN!C41="","",NOMENCLATURE_GEN!C41)</f>
        <v/>
      </c>
      <c r="D41" s="4">
        <f>IF(NOMENCLATURE_GEN!D41="","",NOMENCLATURE_GEN!D41)</f>
        <v>129</v>
      </c>
      <c r="E41" s="4" t="str">
        <f ca="1">IF(NOMENCLATURE_GEN!E41="","",NOMENCLATURE_GEN!E41)</f>
        <v>A</v>
      </c>
      <c r="F41" s="4" t="str">
        <f>IF(NOMENCLATURE_GEN!F41="","",NOMENCLATURE_GEN!F41)</f>
        <v>TRE</v>
      </c>
      <c r="G41" s="154" t="str">
        <f>IF(NOMENCLATURE_GEN!G41="","",NOMENCLATURE_GEN!G41)</f>
        <v>Trémie des passants sous trommel secondaire</v>
      </c>
      <c r="H41" s="15" t="s">
        <v>494</v>
      </c>
      <c r="I41" s="16"/>
      <c r="J41" s="16"/>
      <c r="K41" s="16"/>
      <c r="L41" s="16" t="str">
        <f>IF(Motorisation!N41="","",Motorisation!N41)</f>
        <v/>
      </c>
      <c r="M41" s="16" t="str">
        <f>IF(Motorisation!P41="","",Motorisation!P41)</f>
        <v/>
      </c>
      <c r="N41" s="16" t="str">
        <f t="shared" si="0"/>
        <v/>
      </c>
      <c r="O41" s="16"/>
      <c r="P41" s="16"/>
      <c r="Q41" s="16"/>
      <c r="R41" s="16"/>
      <c r="S41" s="16"/>
      <c r="T41" s="16"/>
      <c r="U41" s="16"/>
      <c r="V41" s="16"/>
      <c r="W41" s="16"/>
      <c r="X41" s="17"/>
      <c r="Y41" s="7"/>
      <c r="Z41" s="7"/>
    </row>
    <row r="42" spans="1:26" s="8" customFormat="1" ht="39.950000000000003" customHeight="1">
      <c r="A42" s="3"/>
      <c r="B42" s="25" t="str">
        <f>IF(NOMENCLATURE_GEN!B42="","",NOMENCLATURE_GEN!B42)</f>
        <v/>
      </c>
      <c r="C42" s="243" t="str">
        <f>IF(NOMENCLATURE_GEN!C42="","",NOMENCLATURE_GEN!C42)</f>
        <v/>
      </c>
      <c r="D42" s="4">
        <f>IF(NOMENCLATURE_GEN!D42="","",NOMENCLATURE_GEN!D42)</f>
        <v>130</v>
      </c>
      <c r="E42" s="4" t="str">
        <f ca="1">IF(NOMENCLATURE_GEN!E42="","",NOMENCLATURE_GEN!E42)</f>
        <v>A</v>
      </c>
      <c r="F42" s="4" t="str">
        <f>IF(NOMENCLATURE_GEN!F42="","",NOMENCLATURE_GEN!F42)</f>
        <v>CBA</v>
      </c>
      <c r="G42" s="154" t="str">
        <f>IF(NOMENCLATURE_GEN!G42="","",NOMENCLATURE_GEN!G42)</f>
        <v>Convoyeur de reprise de la fraction 0-30mm</v>
      </c>
      <c r="H42" s="15">
        <v>1</v>
      </c>
      <c r="I42" s="16">
        <v>400</v>
      </c>
      <c r="J42" s="16" t="s">
        <v>521</v>
      </c>
      <c r="K42" s="16"/>
      <c r="L42" s="16" t="str">
        <f>IF(Motorisation!N42="","",Motorisation!N42)</f>
        <v>OUI</v>
      </c>
      <c r="M42" s="16">
        <f>IF(Motorisation!P42="","",Motorisation!P42)</f>
        <v>4</v>
      </c>
      <c r="N42" s="16">
        <f t="shared" si="0"/>
        <v>4</v>
      </c>
      <c r="O42" s="16">
        <v>1</v>
      </c>
      <c r="P42" s="16"/>
      <c r="Q42" s="16"/>
      <c r="R42" s="16"/>
      <c r="S42" s="16"/>
      <c r="T42" s="16"/>
      <c r="U42" s="16"/>
      <c r="V42" s="16"/>
      <c r="W42" s="16"/>
      <c r="X42" s="17"/>
      <c r="Y42" s="7"/>
      <c r="Z42" s="7"/>
    </row>
    <row r="43" spans="1:26" s="8" customFormat="1" ht="39.950000000000003" customHeight="1">
      <c r="A43" s="3"/>
      <c r="B43" s="25" t="str">
        <f>IF(NOMENCLATURE_GEN!B43="","",NOMENCLATURE_GEN!B43)</f>
        <v/>
      </c>
      <c r="C43" s="243" t="str">
        <f>IF(NOMENCLATURE_GEN!C43="","",NOMENCLATURE_GEN!C43)</f>
        <v/>
      </c>
      <c r="D43" s="4">
        <f>IF(NOMENCLATURE_GEN!D43="","",NOMENCLATURE_GEN!D43)</f>
        <v>131</v>
      </c>
      <c r="E43" s="4" t="str">
        <f ca="1">IF(NOMENCLATURE_GEN!E43="","",NOMENCLATURE_GEN!E43)</f>
        <v>A</v>
      </c>
      <c r="F43" s="4" t="str">
        <f>IF(NOMENCLATURE_GEN!F43="","",NOMENCLATURE_GEN!F43)</f>
        <v>CBA</v>
      </c>
      <c r="G43" s="154" t="str">
        <f>IF(NOMENCLATURE_GEN!G43="","",NOMENCLATURE_GEN!G43)</f>
        <v>Convoyeur de reprise de la fraction 0-30mm, tête inox + zone inox</v>
      </c>
      <c r="H43" s="15">
        <v>1</v>
      </c>
      <c r="I43" s="16">
        <v>400</v>
      </c>
      <c r="J43" s="16" t="s">
        <v>521</v>
      </c>
      <c r="K43" s="16"/>
      <c r="L43" s="16" t="str">
        <f>IF(Motorisation!N43="","",Motorisation!N43)</f>
        <v>OUI</v>
      </c>
      <c r="M43" s="16">
        <f>IF(Motorisation!P43="","",Motorisation!P43)</f>
        <v>4</v>
      </c>
      <c r="N43" s="16">
        <f t="shared" si="0"/>
        <v>4</v>
      </c>
      <c r="O43" s="16">
        <v>1</v>
      </c>
      <c r="P43" s="16"/>
      <c r="Q43" s="16"/>
      <c r="R43" s="16"/>
      <c r="S43" s="16"/>
      <c r="T43" s="16"/>
      <c r="U43" s="16"/>
      <c r="V43" s="16"/>
      <c r="W43" s="16"/>
      <c r="X43" s="17"/>
      <c r="Y43" s="7"/>
      <c r="Z43" s="7"/>
    </row>
    <row r="44" spans="1:26" s="8" customFormat="1" ht="39.950000000000003" customHeight="1">
      <c r="A44" s="3"/>
      <c r="B44" s="25" t="str">
        <f>IF(NOMENCLATURE_GEN!B44="","",NOMENCLATURE_GEN!B44)</f>
        <v/>
      </c>
      <c r="C44" s="243" t="str">
        <f>IF(NOMENCLATURE_GEN!C44="","",NOMENCLATURE_GEN!C44)</f>
        <v/>
      </c>
      <c r="D44" s="4">
        <f>IF(NOMENCLATURE_GEN!D44="","",NOMENCLATURE_GEN!D44)</f>
        <v>132</v>
      </c>
      <c r="E44" s="4" t="str">
        <f ca="1">IF(NOMENCLATURE_GEN!E44="","",NOMENCLATURE_GEN!E44)</f>
        <v>A</v>
      </c>
      <c r="F44" s="4" t="str">
        <f>IF(NOMENCLATURE_GEN!F44="","",NOMENCLATURE_GEN!F44)</f>
        <v>OVB</v>
      </c>
      <c r="G44" s="154" t="str">
        <f>IF(NOMENCLATURE_GEN!G44="","",NOMENCLATURE_GEN!G44)</f>
        <v>Séparateur magnétique à aimant permament</v>
      </c>
      <c r="H44" s="15">
        <v>1</v>
      </c>
      <c r="I44" s="16">
        <v>400</v>
      </c>
      <c r="J44" s="16" t="s">
        <v>521</v>
      </c>
      <c r="K44" s="16" t="s">
        <v>524</v>
      </c>
      <c r="L44" s="10" t="s">
        <v>681</v>
      </c>
      <c r="M44" s="16">
        <v>1.5</v>
      </c>
      <c r="N44" s="16">
        <f t="shared" si="0"/>
        <v>1.5</v>
      </c>
      <c r="O44" s="16">
        <v>1</v>
      </c>
      <c r="P44" s="16"/>
      <c r="Q44" s="16"/>
      <c r="R44" s="16"/>
      <c r="S44" s="16"/>
      <c r="T44" s="16"/>
      <c r="U44" s="16"/>
      <c r="V44" s="16"/>
      <c r="W44" s="16"/>
      <c r="X44" s="17"/>
      <c r="Y44" s="7"/>
      <c r="Z44" s="7"/>
    </row>
    <row r="45" spans="1:26" s="8" customFormat="1" ht="39.950000000000003" customHeight="1">
      <c r="A45" s="3"/>
      <c r="B45" s="25" t="str">
        <f>IF(NOMENCLATURE_GEN!B45="","",NOMENCLATURE_GEN!B45)</f>
        <v/>
      </c>
      <c r="C45" s="243" t="str">
        <f>IF(NOMENCLATURE_GEN!C45="","",NOMENCLATURE_GEN!C45)</f>
        <v/>
      </c>
      <c r="D45" s="4">
        <f>IF(NOMENCLATURE_GEN!D45="","",NOMENCLATURE_GEN!D45)</f>
        <v>133</v>
      </c>
      <c r="E45" s="4" t="str">
        <f ca="1">IF(NOMENCLATURE_GEN!E45="","",NOMENCLATURE_GEN!E45)</f>
        <v>A</v>
      </c>
      <c r="F45" s="4" t="str">
        <f>IF(NOMENCLATURE_GEN!F45="","",NOMENCLATURE_GEN!F45)</f>
        <v>PMP</v>
      </c>
      <c r="G45" s="154" t="str">
        <f>IF(NOMENCLATURE_GEN!G45="","",NOMENCLATURE_GEN!G45)</f>
        <v>Poulie magnétique</v>
      </c>
      <c r="H45" s="15" t="s">
        <v>494</v>
      </c>
      <c r="I45" s="16"/>
      <c r="J45" s="16"/>
      <c r="K45" s="16"/>
      <c r="L45" s="16" t="str">
        <f>IF(Motorisation!N45="","",Motorisation!N45)</f>
        <v/>
      </c>
      <c r="M45" s="16" t="str">
        <f>IF(Motorisation!P45="","",Motorisation!P45)</f>
        <v/>
      </c>
      <c r="N45" s="16" t="str">
        <f t="shared" si="0"/>
        <v/>
      </c>
      <c r="O45" s="16"/>
      <c r="P45" s="16"/>
      <c r="Q45" s="16"/>
      <c r="R45" s="16"/>
      <c r="S45" s="16"/>
      <c r="T45" s="16"/>
      <c r="U45" s="16"/>
      <c r="V45" s="16"/>
      <c r="W45" s="16"/>
      <c r="X45" s="17"/>
      <c r="Y45" s="7"/>
      <c r="Z45" s="7"/>
    </row>
    <row r="46" spans="1:26" s="8" customFormat="1" ht="39.950000000000003" customHeight="1">
      <c r="A46" s="3"/>
      <c r="B46" s="25" t="str">
        <f>IF(NOMENCLATURE_GEN!B46="","",NOMENCLATURE_GEN!B46)</f>
        <v/>
      </c>
      <c r="C46" s="243" t="str">
        <f>IF(NOMENCLATURE_GEN!C46="","",NOMENCLATURE_GEN!C46)</f>
        <v/>
      </c>
      <c r="D46" s="4">
        <f>IF(NOMENCLATURE_GEN!D46="","",NOMENCLATURE_GEN!D46)</f>
        <v>134</v>
      </c>
      <c r="E46" s="4" t="str">
        <f ca="1">IF(NOMENCLATURE_GEN!E46="","",NOMENCLATURE_GEN!E46)</f>
        <v>A</v>
      </c>
      <c r="F46" s="4" t="str">
        <f>IF(NOMENCLATURE_GEN!F46="","",NOMENCLATURE_GEN!F46)</f>
        <v>SNF</v>
      </c>
      <c r="G46" s="154" t="str">
        <f>IF(NOMENCLATURE_GEN!G46="","",NOMENCLATURE_GEN!G46)</f>
        <v>Séparateur de non ferreux type SMAR - ROUE POLAIRE</v>
      </c>
      <c r="H46" s="15">
        <v>1</v>
      </c>
      <c r="I46" s="16">
        <v>400</v>
      </c>
      <c r="J46" s="16" t="s">
        <v>521</v>
      </c>
      <c r="K46" s="16"/>
      <c r="L46" s="10" t="s">
        <v>680</v>
      </c>
      <c r="M46" s="16">
        <v>7.5</v>
      </c>
      <c r="N46" s="16">
        <f t="shared" ref="N46:N47" si="1">IF(M46="","",M46*H46)</f>
        <v>7.5</v>
      </c>
      <c r="O46" s="16">
        <v>1</v>
      </c>
      <c r="P46" s="16"/>
      <c r="Q46" s="16"/>
      <c r="R46" s="16"/>
      <c r="S46" s="16"/>
      <c r="T46" s="16"/>
      <c r="U46" s="16"/>
      <c r="V46" s="16"/>
      <c r="W46" s="16"/>
      <c r="X46" s="17"/>
      <c r="Y46" s="7"/>
      <c r="Z46" s="7"/>
    </row>
    <row r="47" spans="1:26" s="8" customFormat="1" ht="39.950000000000003" customHeight="1">
      <c r="A47" s="3"/>
      <c r="B47" s="25" t="str">
        <f>IF(NOMENCLATURE_GEN!B47="","",NOMENCLATURE_GEN!B47)</f>
        <v/>
      </c>
      <c r="C47" s="243" t="str">
        <f>IF(NOMENCLATURE_GEN!C47="","",NOMENCLATURE_GEN!C47)</f>
        <v/>
      </c>
      <c r="D47" s="4">
        <f>IF(NOMENCLATURE_GEN!D47="","",NOMENCLATURE_GEN!D47)</f>
        <v>134</v>
      </c>
      <c r="E47" s="4" t="str">
        <f ca="1">IF(NOMENCLATURE_GEN!E47="","",NOMENCLATURE_GEN!E47)</f>
        <v>B</v>
      </c>
      <c r="F47" s="4" t="str">
        <f>IF(NOMENCLATURE_GEN!F47="","",NOMENCLATURE_GEN!F47)</f>
        <v>SNF</v>
      </c>
      <c r="G47" s="154" t="str">
        <f>IF(NOMENCLATURE_GEN!G47="","",NOMENCLATURE_GEN!G47)</f>
        <v>Séparateur de non ferreux type SMAR - CONVOYEUR</v>
      </c>
      <c r="H47" s="15">
        <v>1</v>
      </c>
      <c r="I47" s="16">
        <v>400</v>
      </c>
      <c r="J47" s="16" t="s">
        <v>521</v>
      </c>
      <c r="K47" s="16"/>
      <c r="L47" s="10" t="s">
        <v>680</v>
      </c>
      <c r="M47" s="16">
        <v>2.2000000000000002</v>
      </c>
      <c r="N47" s="16">
        <f t="shared" si="1"/>
        <v>2.2000000000000002</v>
      </c>
      <c r="O47" s="16">
        <v>1</v>
      </c>
      <c r="P47" s="16"/>
      <c r="Q47" s="16"/>
      <c r="R47" s="16"/>
      <c r="S47" s="16"/>
      <c r="T47" s="16"/>
      <c r="U47" s="16"/>
      <c r="V47" s="16"/>
      <c r="W47" s="16"/>
      <c r="X47" s="17"/>
      <c r="Y47" s="7"/>
      <c r="Z47" s="7"/>
    </row>
    <row r="48" spans="1:26" s="8" customFormat="1" ht="39.950000000000003" customHeight="1">
      <c r="A48" s="3"/>
      <c r="B48" s="25" t="str">
        <f>IF(NOMENCLATURE_GEN!B48="","",NOMENCLATURE_GEN!B48)</f>
        <v/>
      </c>
      <c r="C48" s="243" t="str">
        <f>IF(NOMENCLATURE_GEN!C48="","",NOMENCLATURE_GEN!C48)</f>
        <v/>
      </c>
      <c r="D48" s="4">
        <f>IF(NOMENCLATURE_GEN!D48="","",NOMENCLATURE_GEN!D48)</f>
        <v>135</v>
      </c>
      <c r="E48" s="4" t="str">
        <f ca="1">IF(NOMENCLATURE_GEN!E48="","",NOMENCLATURE_GEN!E48)</f>
        <v>A</v>
      </c>
      <c r="F48" s="4" t="str">
        <f>IF(NOMENCLATURE_GEN!F48="","",NOMENCLATURE_GEN!F48)</f>
        <v>TBE</v>
      </c>
      <c r="G48" s="154" t="str">
        <f>IF(NOMENCLATURE_GEN!G48="","",NOMENCLATURE_GEN!G48)</f>
        <v>Convoyeur de reprise des non ferreux</v>
      </c>
      <c r="H48" s="15">
        <v>1</v>
      </c>
      <c r="I48" s="16">
        <v>400</v>
      </c>
      <c r="J48" s="16" t="s">
        <v>521</v>
      </c>
      <c r="K48" s="16"/>
      <c r="L48" s="16" t="str">
        <f>IF(Motorisation!N48="","",Motorisation!N48)</f>
        <v>OUI</v>
      </c>
      <c r="M48" s="16">
        <v>1.6</v>
      </c>
      <c r="N48" s="16">
        <f t="shared" si="0"/>
        <v>1.6</v>
      </c>
      <c r="O48" s="16">
        <v>1</v>
      </c>
      <c r="P48" s="16"/>
      <c r="Q48" s="16"/>
      <c r="R48" s="16"/>
      <c r="S48" s="16"/>
      <c r="T48" s="16"/>
      <c r="U48" s="16"/>
      <c r="V48" s="16"/>
      <c r="W48" s="16"/>
      <c r="X48" s="17"/>
      <c r="Y48" s="7"/>
      <c r="Z48" s="7"/>
    </row>
    <row r="49" spans="1:26" s="8" customFormat="1" ht="39.950000000000003" customHeight="1">
      <c r="A49" s="3"/>
      <c r="B49" s="25" t="str">
        <f>IF(NOMENCLATURE_GEN!B49="","",NOMENCLATURE_GEN!B49)</f>
        <v>SUP</v>
      </c>
      <c r="C49" s="243" t="str">
        <f>IF(NOMENCLATURE_GEN!C49="","",NOMENCLATURE_GEN!C49)</f>
        <v/>
      </c>
      <c r="D49" s="4">
        <f>IF(NOMENCLATURE_GEN!D49="","",NOMENCLATURE_GEN!D49)</f>
        <v>136</v>
      </c>
      <c r="E49" s="4" t="str">
        <f ca="1">IF(NOMENCLATURE_GEN!E49="","",NOMENCLATURE_GEN!E49)</f>
        <v>A</v>
      </c>
      <c r="F49" s="4" t="str">
        <f>IF(NOMENCLATURE_GEN!F49="","",NOMENCLATURE_GEN!F49)</f>
        <v>CON</v>
      </c>
      <c r="G49" s="154" t="str">
        <f>IF(NOMENCLATURE_GEN!G49="","",NOMENCLATURE_GEN!G49)</f>
        <v>Cone de répartition du flux 0-30mm sous SNF</v>
      </c>
      <c r="H49" s="15" t="s">
        <v>494</v>
      </c>
      <c r="I49" s="16"/>
      <c r="J49" s="16"/>
      <c r="K49" s="16"/>
      <c r="L49" s="16" t="str">
        <f>IF(Motorisation!N49="","",Motorisation!N49)</f>
        <v/>
      </c>
      <c r="M49" s="16" t="str">
        <f>IF(Motorisation!P49="","",Motorisation!P49)</f>
        <v/>
      </c>
      <c r="N49" s="16" t="str">
        <f t="shared" si="0"/>
        <v/>
      </c>
      <c r="O49" s="16"/>
      <c r="P49" s="16"/>
      <c r="Q49" s="16"/>
      <c r="R49" s="16"/>
      <c r="S49" s="16"/>
      <c r="T49" s="16"/>
      <c r="U49" s="16"/>
      <c r="V49" s="16"/>
      <c r="W49" s="16"/>
      <c r="X49" s="17"/>
      <c r="Y49" s="7"/>
      <c r="Z49" s="7"/>
    </row>
    <row r="50" spans="1:26" s="8" customFormat="1" ht="39.950000000000003" customHeight="1">
      <c r="A50" s="3"/>
      <c r="B50" s="25" t="str">
        <f>IF(NOMENCLATURE_GEN!B50="","",NOMENCLATURE_GEN!B50)</f>
        <v/>
      </c>
      <c r="C50" s="243" t="str">
        <f>IF(NOMENCLATURE_GEN!C50="","",NOMENCLATURE_GEN!C50)</f>
        <v/>
      </c>
      <c r="D50" s="4">
        <f>IF(NOMENCLATURE_GEN!D50="","",NOMENCLATURE_GEN!D50)</f>
        <v>137</v>
      </c>
      <c r="E50" s="4" t="str">
        <f ca="1">IF(NOMENCLATURE_GEN!E50="","",NOMENCLATURE_GEN!E50)</f>
        <v>A</v>
      </c>
      <c r="F50" s="4" t="str">
        <f>IF(NOMENCLATURE_GEN!F50="","",NOMENCLATURE_GEN!F50)</f>
        <v>CBA</v>
      </c>
      <c r="G50" s="154" t="str">
        <f>IF(NOMENCLATURE_GEN!G50="","",NOMENCLATURE_GEN!G50)</f>
        <v>Convoyeur de transfert de la fraction 0-30mm vers tapis balistique 1</v>
      </c>
      <c r="H50" s="15">
        <v>1</v>
      </c>
      <c r="I50" s="16">
        <v>400</v>
      </c>
      <c r="J50" s="16" t="s">
        <v>521</v>
      </c>
      <c r="K50" s="16"/>
      <c r="L50" s="16" t="str">
        <f>IF(Motorisation!N50="","",Motorisation!N50)</f>
        <v>OUI</v>
      </c>
      <c r="M50" s="16">
        <f>IF(Motorisation!P50="","",Motorisation!P50)</f>
        <v>7.3</v>
      </c>
      <c r="N50" s="16">
        <f t="shared" si="0"/>
        <v>7.3</v>
      </c>
      <c r="O50" s="16">
        <v>1</v>
      </c>
      <c r="P50" s="16"/>
      <c r="Q50" s="16"/>
      <c r="R50" s="16"/>
      <c r="S50" s="16"/>
      <c r="T50" s="16"/>
      <c r="U50" s="16"/>
      <c r="V50" s="16"/>
      <c r="W50" s="16"/>
      <c r="X50" s="17"/>
      <c r="Y50" s="7"/>
      <c r="Z50" s="7"/>
    </row>
    <row r="51" spans="1:26" s="8" customFormat="1" ht="39.950000000000003" customHeight="1">
      <c r="A51" s="3"/>
      <c r="B51" s="25" t="str">
        <f>IF(NOMENCLATURE_GEN!B51="","",NOMENCLATURE_GEN!B51)</f>
        <v/>
      </c>
      <c r="C51" s="243" t="str">
        <f>IF(NOMENCLATURE_GEN!C51="","",NOMENCLATURE_GEN!C51)</f>
        <v/>
      </c>
      <c r="D51" s="4">
        <f>IF(NOMENCLATURE_GEN!D51="","",NOMENCLATURE_GEN!D51)</f>
        <v>138</v>
      </c>
      <c r="E51" s="4" t="str">
        <f ca="1">IF(NOMENCLATURE_GEN!E51="","",NOMENCLATURE_GEN!E51)</f>
        <v>A</v>
      </c>
      <c r="F51" s="4" t="str">
        <f>IF(NOMENCLATURE_GEN!F51="","",NOMENCLATURE_GEN!F51)</f>
        <v>BAL</v>
      </c>
      <c r="G51" s="154" t="str">
        <f>IF(NOMENCLATURE_GEN!G51="","",NOMENCLATURE_GEN!G51)</f>
        <v>Tapis balistique simple</v>
      </c>
      <c r="H51" s="15">
        <v>1</v>
      </c>
      <c r="I51" s="16">
        <v>400</v>
      </c>
      <c r="J51" s="16" t="s">
        <v>521</v>
      </c>
      <c r="K51" s="16"/>
      <c r="L51" s="16" t="str">
        <f>IF(Motorisation!N51="","",Motorisation!N51)</f>
        <v>OUI</v>
      </c>
      <c r="M51" s="16">
        <f>IF(Motorisation!P51="","",Motorisation!P51)</f>
        <v>7.3</v>
      </c>
      <c r="N51" s="16">
        <f t="shared" si="0"/>
        <v>7.3</v>
      </c>
      <c r="O51" s="16">
        <v>1</v>
      </c>
      <c r="P51" s="16"/>
      <c r="Q51" s="16"/>
      <c r="R51" s="16"/>
      <c r="S51" s="16"/>
      <c r="T51" s="16"/>
      <c r="U51" s="16"/>
      <c r="V51" s="16"/>
      <c r="W51" s="18"/>
      <c r="X51" s="17"/>
      <c r="Y51" s="7"/>
      <c r="Z51" s="7"/>
    </row>
    <row r="52" spans="1:26" s="8" customFormat="1" ht="39.950000000000003" customHeight="1">
      <c r="A52" s="3"/>
      <c r="B52" s="25" t="str">
        <f>IF(NOMENCLATURE_GEN!B52="","",NOMENCLATURE_GEN!B52)</f>
        <v/>
      </c>
      <c r="C52" s="243" t="str">
        <f>IF(NOMENCLATURE_GEN!C52="","",NOMENCLATURE_GEN!C52)</f>
        <v/>
      </c>
      <c r="D52" s="4">
        <f>IF(NOMENCLATURE_GEN!D52="","",NOMENCLATURE_GEN!D52)</f>
        <v>139</v>
      </c>
      <c r="E52" s="4" t="str">
        <f ca="1">IF(NOMENCLATURE_GEN!E52="","",NOMENCLATURE_GEN!E52)</f>
        <v>A</v>
      </c>
      <c r="F52" s="4" t="str">
        <f>IF(NOMENCLATURE_GEN!F52="","",NOMENCLATURE_GEN!F52)</f>
        <v>CBA</v>
      </c>
      <c r="G52" s="154" t="str">
        <f>IF(NOMENCLATURE_GEN!G52="","",NOMENCLATURE_GEN!G52)</f>
        <v>Convoyeur de reprise des légers et transfert vers crible trampoline</v>
      </c>
      <c r="H52" s="15">
        <v>1</v>
      </c>
      <c r="I52" s="16">
        <v>400</v>
      </c>
      <c r="J52" s="16" t="s">
        <v>521</v>
      </c>
      <c r="K52" s="16"/>
      <c r="L52" s="16" t="str">
        <f>IF(Motorisation!N52="","",Motorisation!N52)</f>
        <v>OUI</v>
      </c>
      <c r="M52" s="16">
        <f>IF(Motorisation!P52="","",Motorisation!P52)</f>
        <v>7.3</v>
      </c>
      <c r="N52" s="16">
        <f t="shared" si="0"/>
        <v>7.3</v>
      </c>
      <c r="O52" s="16">
        <v>1</v>
      </c>
      <c r="P52" s="16"/>
      <c r="Q52" s="16"/>
      <c r="R52" s="16"/>
      <c r="S52" s="16"/>
      <c r="T52" s="16"/>
      <c r="U52" s="16"/>
      <c r="V52" s="16"/>
      <c r="W52" s="18"/>
      <c r="X52" s="17"/>
      <c r="Y52" s="7"/>
      <c r="Z52" s="7"/>
    </row>
    <row r="53" spans="1:26" s="8" customFormat="1" ht="39.950000000000003" customHeight="1">
      <c r="A53" s="3"/>
      <c r="B53" s="25" t="str">
        <f>IF(NOMENCLATURE_GEN!B53="","",NOMENCLATURE_GEN!B53)</f>
        <v>SUP</v>
      </c>
      <c r="C53" s="243" t="str">
        <f>IF(NOMENCLATURE_GEN!C53="","",NOMENCLATURE_GEN!C53)</f>
        <v/>
      </c>
      <c r="D53" s="4">
        <f>IF(NOMENCLATURE_GEN!D53="","",NOMENCLATURE_GEN!D53)</f>
        <v>140</v>
      </c>
      <c r="E53" s="4" t="str">
        <f ca="1">IF(NOMENCLATURE_GEN!E53="","",NOMENCLATURE_GEN!E53)</f>
        <v>A</v>
      </c>
      <c r="F53" s="4" t="str">
        <f>IF(NOMENCLATURE_GEN!F53="","",NOMENCLATURE_GEN!F53)</f>
        <v>CON</v>
      </c>
      <c r="G53" s="154" t="str">
        <f>IF(NOMENCLATURE_GEN!G53="","",NOMENCLATURE_GEN!G53)</f>
        <v>Cone de répartition du flux 0-30mm en entrée du liwell</v>
      </c>
      <c r="H53" s="15" t="s">
        <v>494</v>
      </c>
      <c r="I53" s="16"/>
      <c r="J53" s="16"/>
      <c r="K53" s="16"/>
      <c r="L53" s="16" t="str">
        <f>IF(Motorisation!N53="","",Motorisation!N53)</f>
        <v/>
      </c>
      <c r="M53" s="16" t="str">
        <f>IF(Motorisation!P53="","",Motorisation!P53)</f>
        <v/>
      </c>
      <c r="N53" s="16" t="str">
        <f t="shared" si="0"/>
        <v/>
      </c>
      <c r="O53" s="16"/>
      <c r="P53" s="16"/>
      <c r="Q53" s="16"/>
      <c r="R53" s="16"/>
      <c r="S53" s="16"/>
      <c r="T53" s="16"/>
      <c r="U53" s="16"/>
      <c r="V53" s="16"/>
      <c r="W53" s="16"/>
      <c r="X53" s="17"/>
      <c r="Y53" s="7"/>
      <c r="Z53" s="7"/>
    </row>
    <row r="54" spans="1:26" s="8" customFormat="1" ht="39.950000000000003" customHeight="1">
      <c r="A54" s="3"/>
      <c r="B54" s="25" t="str">
        <f>IF(NOMENCLATURE_GEN!B54="","",NOMENCLATURE_GEN!B54)</f>
        <v/>
      </c>
      <c r="C54" s="243" t="str">
        <f>IF(NOMENCLATURE_GEN!C54="","",NOMENCLATURE_GEN!C54)</f>
        <v/>
      </c>
      <c r="D54" s="4">
        <f>IF(NOMENCLATURE_GEN!D54="","",NOMENCLATURE_GEN!D54)</f>
        <v>141</v>
      </c>
      <c r="E54" s="4" t="str">
        <f ca="1">IF(NOMENCLATURE_GEN!E54="","",NOMENCLATURE_GEN!E54)</f>
        <v>A</v>
      </c>
      <c r="F54" s="4" t="str">
        <f>IF(NOMENCLATURE_GEN!F54="","",NOMENCLATURE_GEN!F54)</f>
        <v>CRI</v>
      </c>
      <c r="G54" s="154" t="str">
        <f>IF(NOMENCLATURE_GEN!G54="","",NOMENCLATURE_GEN!G54)</f>
        <v>Crible trampoline maille 10mm</v>
      </c>
      <c r="H54" s="15">
        <v>1</v>
      </c>
      <c r="I54" s="16">
        <v>400</v>
      </c>
      <c r="J54" s="16" t="s">
        <v>521</v>
      </c>
      <c r="K54" s="16"/>
      <c r="L54" s="10" t="s">
        <v>495</v>
      </c>
      <c r="M54" s="16">
        <v>55</v>
      </c>
      <c r="N54" s="16">
        <f t="shared" si="0"/>
        <v>55</v>
      </c>
      <c r="O54" s="16">
        <v>1</v>
      </c>
      <c r="P54" s="16"/>
      <c r="Q54" s="16"/>
      <c r="R54" s="16"/>
      <c r="S54" s="16"/>
      <c r="T54" s="16"/>
      <c r="U54" s="16"/>
      <c r="V54" s="16"/>
      <c r="W54" s="16"/>
      <c r="X54" s="17"/>
      <c r="Y54" s="7"/>
      <c r="Z54" s="7"/>
    </row>
    <row r="55" spans="1:26" s="8" customFormat="1" ht="39.950000000000003" customHeight="1">
      <c r="A55" s="3"/>
      <c r="B55" s="25" t="str">
        <f>IF(NOMENCLATURE_GEN!B55="","",NOMENCLATURE_GEN!B55)</f>
        <v>SUP</v>
      </c>
      <c r="C55" s="243" t="str">
        <f>IF(NOMENCLATURE_GEN!C55="","",NOMENCLATURE_GEN!C55)</f>
        <v/>
      </c>
      <c r="D55" s="4">
        <f>IF(NOMENCLATURE_GEN!D55="","",NOMENCLATURE_GEN!D55)</f>
        <v>142</v>
      </c>
      <c r="E55" s="4" t="str">
        <f ca="1">IF(NOMENCLATURE_GEN!E55="","",NOMENCLATURE_GEN!E55)</f>
        <v>A</v>
      </c>
      <c r="F55" s="4" t="str">
        <f>IF(NOMENCLATURE_GEN!F55="","",NOMENCLATURE_GEN!F55)</f>
        <v>TRE</v>
      </c>
      <c r="G55" s="154" t="str">
        <f>IF(NOMENCLATURE_GEN!G55="","",NOMENCLATURE_GEN!G55)</f>
        <v>Trémie des passants sous crible trampoline</v>
      </c>
      <c r="H55" s="15" t="s">
        <v>494</v>
      </c>
      <c r="I55" s="16"/>
      <c r="J55" s="16"/>
      <c r="K55" s="16"/>
      <c r="L55" s="16" t="str">
        <f>IF(Motorisation!N55="","",Motorisation!N55)</f>
        <v/>
      </c>
      <c r="M55" s="16" t="str">
        <f>IF(Motorisation!P55="","",Motorisation!P55)</f>
        <v/>
      </c>
      <c r="N55" s="16" t="str">
        <f t="shared" si="0"/>
        <v/>
      </c>
      <c r="O55" s="16"/>
      <c r="P55" s="16"/>
      <c r="Q55" s="16"/>
      <c r="R55" s="16"/>
      <c r="S55" s="16"/>
      <c r="T55" s="16"/>
      <c r="U55" s="16"/>
      <c r="V55" s="16"/>
      <c r="W55" s="16"/>
      <c r="X55" s="17"/>
      <c r="Y55" s="7"/>
      <c r="Z55" s="7"/>
    </row>
    <row r="56" spans="1:26" s="8" customFormat="1" ht="39.950000000000003" customHeight="1">
      <c r="A56" s="3"/>
      <c r="B56" s="25" t="str">
        <f>IF(NOMENCLATURE_GEN!B56="","",NOMENCLATURE_GEN!B56)</f>
        <v/>
      </c>
      <c r="C56" s="243" t="str">
        <f>IF(NOMENCLATURE_GEN!C56="","",NOMENCLATURE_GEN!C56)</f>
        <v/>
      </c>
      <c r="D56" s="4">
        <f>IF(NOMENCLATURE_GEN!D56="","",NOMENCLATURE_GEN!D56)</f>
        <v>143</v>
      </c>
      <c r="E56" s="4" t="str">
        <f ca="1">IF(NOMENCLATURE_GEN!E56="","",NOMENCLATURE_GEN!E56)</f>
        <v>A</v>
      </c>
      <c r="F56" s="4" t="str">
        <f>IF(NOMENCLATURE_GEN!F56="","",NOMENCLATURE_GEN!F56)</f>
        <v>CBA</v>
      </c>
      <c r="G56" s="154" t="str">
        <f>IF(NOMENCLATURE_GEN!G56="","",NOMENCLATURE_GEN!G56)</f>
        <v>Convoyeur de reprise du 0-8mm et alimentation du tapis balistique double</v>
      </c>
      <c r="H56" s="15">
        <v>1</v>
      </c>
      <c r="I56" s="16">
        <v>400</v>
      </c>
      <c r="J56" s="16" t="s">
        <v>521</v>
      </c>
      <c r="K56" s="16"/>
      <c r="L56" s="16" t="str">
        <f>IF(Motorisation!N56="","",Motorisation!N56)</f>
        <v>OUI</v>
      </c>
      <c r="M56" s="16">
        <f>IF(Motorisation!P56="","",Motorisation!P56)</f>
        <v>7.3</v>
      </c>
      <c r="N56" s="16">
        <f t="shared" si="0"/>
        <v>7.3</v>
      </c>
      <c r="O56" s="16">
        <v>1</v>
      </c>
      <c r="P56" s="16"/>
      <c r="Q56" s="16"/>
      <c r="R56" s="16"/>
      <c r="S56" s="16"/>
      <c r="T56" s="16"/>
      <c r="U56" s="16"/>
      <c r="V56" s="16"/>
      <c r="W56" s="16"/>
      <c r="X56" s="17"/>
      <c r="Y56" s="7"/>
      <c r="Z56" s="7"/>
    </row>
    <row r="57" spans="1:26" s="8" customFormat="1" ht="39.950000000000003" customHeight="1">
      <c r="A57" s="3"/>
      <c r="B57" s="25" t="str">
        <f>IF(NOMENCLATURE_GEN!B57="","",NOMENCLATURE_GEN!B57)</f>
        <v/>
      </c>
      <c r="C57" s="243" t="str">
        <f>IF(NOMENCLATURE_GEN!C57="","",NOMENCLATURE_GEN!C57)</f>
        <v/>
      </c>
      <c r="D57" s="4">
        <f>IF(NOMENCLATURE_GEN!D57="","",NOMENCLATURE_GEN!D57)</f>
        <v>144</v>
      </c>
      <c r="E57" s="4" t="str">
        <f ca="1">IF(NOMENCLATURE_GEN!E57="","",NOMENCLATURE_GEN!E57)</f>
        <v>A</v>
      </c>
      <c r="F57" s="4" t="str">
        <f>IF(NOMENCLATURE_GEN!F57="","",NOMENCLATURE_GEN!F57)</f>
        <v>BAL</v>
      </c>
      <c r="G57" s="154" t="str">
        <f>IF(NOMENCLATURE_GEN!G57="","",NOMENCLATURE_GEN!G57)</f>
        <v>Tapis balistique double MOTEUR N°1</v>
      </c>
      <c r="H57" s="15">
        <v>1</v>
      </c>
      <c r="I57" s="16">
        <v>400</v>
      </c>
      <c r="J57" s="16" t="s">
        <v>521</v>
      </c>
      <c r="K57" s="16"/>
      <c r="L57" s="16" t="str">
        <f>IF(Motorisation!N57="","",Motorisation!N57)</f>
        <v>OUI</v>
      </c>
      <c r="M57" s="16">
        <f>IF(Motorisation!P57="","",Motorisation!P57)</f>
        <v>7.3</v>
      </c>
      <c r="N57" s="16">
        <f t="shared" si="0"/>
        <v>7.3</v>
      </c>
      <c r="O57" s="16">
        <v>1</v>
      </c>
      <c r="P57" s="16"/>
      <c r="Q57" s="16"/>
      <c r="R57" s="16"/>
      <c r="S57" s="16"/>
      <c r="T57" s="16"/>
      <c r="U57" s="16"/>
      <c r="V57" s="16"/>
      <c r="W57" s="16"/>
      <c r="X57" s="17"/>
      <c r="Y57" s="7"/>
      <c r="Z57" s="7"/>
    </row>
    <row r="58" spans="1:26" s="8" customFormat="1" ht="39.950000000000003" customHeight="1">
      <c r="A58" s="3"/>
      <c r="B58" s="25" t="str">
        <f>IF(NOMENCLATURE_GEN!B58="","",NOMENCLATURE_GEN!B58)</f>
        <v/>
      </c>
      <c r="C58" s="243" t="str">
        <f>IF(NOMENCLATURE_GEN!C58="","",NOMENCLATURE_GEN!C58)</f>
        <v/>
      </c>
      <c r="D58" s="4">
        <f>IF(NOMENCLATURE_GEN!D58="","",NOMENCLATURE_GEN!D58)</f>
        <v>144</v>
      </c>
      <c r="E58" s="4" t="str">
        <f ca="1">IF(NOMENCLATURE_GEN!E58="","",NOMENCLATURE_GEN!E58)</f>
        <v>B</v>
      </c>
      <c r="F58" s="4" t="str">
        <f>IF(NOMENCLATURE_GEN!F58="","",NOMENCLATURE_GEN!F58)</f>
        <v>BAL</v>
      </c>
      <c r="G58" s="154" t="str">
        <f>IF(NOMENCLATURE_GEN!G58="","",NOMENCLATURE_GEN!G58)</f>
        <v>Tapis balistique double MOTEUR N°2</v>
      </c>
      <c r="H58" s="15">
        <v>1</v>
      </c>
      <c r="I58" s="16">
        <v>400</v>
      </c>
      <c r="J58" s="16" t="s">
        <v>521</v>
      </c>
      <c r="K58" s="16"/>
      <c r="L58" s="16" t="str">
        <f>IF(Motorisation!N58="","",Motorisation!N58)</f>
        <v>OUI</v>
      </c>
      <c r="M58" s="16">
        <f>IF(Motorisation!P58="","",Motorisation!P58)</f>
        <v>7.3</v>
      </c>
      <c r="N58" s="16">
        <f t="shared" si="0"/>
        <v>7.3</v>
      </c>
      <c r="O58" s="16">
        <v>1</v>
      </c>
      <c r="P58" s="16"/>
      <c r="Q58" s="16"/>
      <c r="R58" s="16"/>
      <c r="S58" s="16"/>
      <c r="T58" s="16"/>
      <c r="U58" s="16"/>
      <c r="V58" s="16"/>
      <c r="W58" s="16"/>
      <c r="X58" s="17"/>
      <c r="Y58" s="7"/>
      <c r="Z58" s="7"/>
    </row>
    <row r="59" spans="1:26" s="8" customFormat="1" ht="39.950000000000003" customHeight="1">
      <c r="A59" s="3"/>
      <c r="B59" s="25" t="str">
        <f>IF(NOMENCLATURE_GEN!B59="","",NOMENCLATURE_GEN!B59)</f>
        <v/>
      </c>
      <c r="C59" s="243" t="str">
        <f>IF(NOMENCLATURE_GEN!C59="","",NOMENCLATURE_GEN!C59)</f>
        <v/>
      </c>
      <c r="D59" s="4">
        <f>IF(NOMENCLATURE_GEN!D59="","",NOMENCLATURE_GEN!D59)</f>
        <v>145</v>
      </c>
      <c r="E59" s="4" t="str">
        <f ca="1">IF(NOMENCLATURE_GEN!E59="","",NOMENCLATURE_GEN!E59)</f>
        <v>A</v>
      </c>
      <c r="F59" s="4" t="str">
        <f>IF(NOMENCLATURE_GEN!F59="","",NOMENCLATURE_GEN!F59)</f>
        <v>TBE</v>
      </c>
      <c r="G59" s="154" t="str">
        <f>IF(NOMENCLATURE_GEN!G59="","",NOMENCLATURE_GEN!G59)</f>
        <v>Convoyeur de reprise BY-PASS des lourds 0-8mm</v>
      </c>
      <c r="H59" s="15">
        <v>1</v>
      </c>
      <c r="I59" s="16">
        <v>400</v>
      </c>
      <c r="J59" s="16" t="s">
        <v>521</v>
      </c>
      <c r="K59" s="16"/>
      <c r="L59" s="16" t="str">
        <f>IF(Motorisation!N59="","",Motorisation!N59)</f>
        <v>OUI</v>
      </c>
      <c r="M59" s="16">
        <v>1.6</v>
      </c>
      <c r="N59" s="16">
        <f t="shared" si="0"/>
        <v>1.6</v>
      </c>
      <c r="O59" s="16">
        <v>1</v>
      </c>
      <c r="P59" s="16"/>
      <c r="Q59" s="16"/>
      <c r="R59" s="16"/>
      <c r="S59" s="16"/>
      <c r="T59" s="16"/>
      <c r="U59" s="16"/>
      <c r="V59" s="16"/>
      <c r="W59" s="16"/>
      <c r="X59" s="17"/>
      <c r="Y59" s="7"/>
      <c r="Z59" s="7"/>
    </row>
    <row r="60" spans="1:26" s="8" customFormat="1" ht="39.950000000000003" customHeight="1">
      <c r="A60" s="3"/>
      <c r="B60" s="25" t="str">
        <f>IF(NOMENCLATURE_GEN!B60="","",NOMENCLATURE_GEN!B60)</f>
        <v/>
      </c>
      <c r="C60" s="243" t="str">
        <f>IF(NOMENCLATURE_GEN!C60="","",NOMENCLATURE_GEN!C60)</f>
        <v/>
      </c>
      <c r="D60" s="4">
        <f>IF(NOMENCLATURE_GEN!D60="","",NOMENCLATURE_GEN!D60)</f>
        <v>146</v>
      </c>
      <c r="E60" s="4" t="str">
        <f ca="1">IF(NOMENCLATURE_GEN!E60="","",NOMENCLATURE_GEN!E60)</f>
        <v>A</v>
      </c>
      <c r="F60" s="4" t="str">
        <f>IF(NOMENCLATURE_GEN!F60="","",NOMENCLATURE_GEN!F60)</f>
        <v>TBE</v>
      </c>
      <c r="G60" s="154" t="str">
        <f>IF(NOMENCLATURE_GEN!G60="","",NOMENCLATURE_GEN!G60)</f>
        <v>Convoyeur de transfert des lourds 0-8mm</v>
      </c>
      <c r="H60" s="15">
        <v>1</v>
      </c>
      <c r="I60" s="16">
        <v>400</v>
      </c>
      <c r="J60" s="16" t="s">
        <v>521</v>
      </c>
      <c r="K60" s="16"/>
      <c r="L60" s="16" t="str">
        <f>IF(Motorisation!N60="","",Motorisation!N60)</f>
        <v>OUI</v>
      </c>
      <c r="M60" s="16">
        <f>IF(Motorisation!P60="","",Motorisation!P60)</f>
        <v>2.9</v>
      </c>
      <c r="N60" s="16">
        <f t="shared" si="0"/>
        <v>2.9</v>
      </c>
      <c r="O60" s="16">
        <v>1</v>
      </c>
      <c r="P60" s="16"/>
      <c r="Q60" s="16"/>
      <c r="R60" s="16"/>
      <c r="S60" s="16"/>
      <c r="T60" s="16"/>
      <c r="U60" s="16"/>
      <c r="V60" s="16"/>
      <c r="W60" s="16"/>
      <c r="X60" s="17"/>
      <c r="Y60" s="7"/>
      <c r="Z60" s="7"/>
    </row>
    <row r="61" spans="1:26" s="8" customFormat="1" ht="39.950000000000003" customHeight="1">
      <c r="A61" s="3"/>
      <c r="B61" s="25" t="str">
        <f>IF(NOMENCLATURE_GEN!B61="","",NOMENCLATURE_GEN!B61)</f>
        <v/>
      </c>
      <c r="C61" s="243" t="str">
        <f>IF(NOMENCLATURE_GEN!C61="","",NOMENCLATURE_GEN!C61)</f>
        <v/>
      </c>
      <c r="D61" s="4">
        <f>IF(NOMENCLATURE_GEN!D61="","",NOMENCLATURE_GEN!D61)</f>
        <v>147</v>
      </c>
      <c r="E61" s="4" t="str">
        <f ca="1">IF(NOMENCLATURE_GEN!E61="","",NOMENCLATURE_GEN!E61)</f>
        <v>A</v>
      </c>
      <c r="F61" s="4" t="str">
        <f>IF(NOMENCLATURE_GEN!F61="","",NOMENCLATURE_GEN!F61)</f>
        <v>TBE</v>
      </c>
      <c r="G61" s="154" t="str">
        <f>IF(NOMENCLATURE_GEN!G61="","",NOMENCLATURE_GEN!G61)</f>
        <v>Convoyeur de transfert des lourds 0-8mm</v>
      </c>
      <c r="H61" s="15">
        <v>1</v>
      </c>
      <c r="I61" s="16">
        <v>400</v>
      </c>
      <c r="J61" s="16" t="s">
        <v>521</v>
      </c>
      <c r="K61" s="16"/>
      <c r="L61" s="16" t="str">
        <f>IF(Motorisation!N61="","",Motorisation!N61)</f>
        <v>OUI</v>
      </c>
      <c r="M61" s="16">
        <f>IF(Motorisation!P61="","",Motorisation!P61)</f>
        <v>2.9</v>
      </c>
      <c r="N61" s="16">
        <f t="shared" si="0"/>
        <v>2.9</v>
      </c>
      <c r="O61" s="16">
        <v>1</v>
      </c>
      <c r="P61" s="16"/>
      <c r="Q61" s="16"/>
      <c r="R61" s="16"/>
      <c r="S61" s="16"/>
      <c r="T61" s="16"/>
      <c r="U61" s="16"/>
      <c r="V61" s="16"/>
      <c r="W61" s="16"/>
      <c r="X61" s="17"/>
      <c r="Y61" s="7"/>
      <c r="Z61" s="7"/>
    </row>
    <row r="62" spans="1:26" s="8" customFormat="1" ht="39.950000000000003" customHeight="1">
      <c r="A62" s="3"/>
      <c r="B62" s="25" t="str">
        <f>IF(NOMENCLATURE_GEN!B62="","",NOMENCLATURE_GEN!B62)</f>
        <v/>
      </c>
      <c r="C62" s="243" t="str">
        <f>IF(NOMENCLATURE_GEN!C62="","",NOMENCLATURE_GEN!C62)</f>
        <v/>
      </c>
      <c r="D62" s="4">
        <f>IF(NOMENCLATURE_GEN!D62="","",NOMENCLATURE_GEN!D62)</f>
        <v>148</v>
      </c>
      <c r="E62" s="4" t="str">
        <f ca="1">IF(NOMENCLATURE_GEN!E62="","",NOMENCLATURE_GEN!E62)</f>
        <v>A</v>
      </c>
      <c r="F62" s="4" t="str">
        <f>IF(NOMENCLATURE_GEN!F62="","",NOMENCLATURE_GEN!F62)</f>
        <v>TBE</v>
      </c>
      <c r="G62" s="154" t="str">
        <f>IF(NOMENCLATURE_GEN!G62="","",NOMENCLATURE_GEN!G62)</f>
        <v>Convoyeur rotatif double sens de mise en benne des refus lourds</v>
      </c>
      <c r="H62" s="15">
        <v>1</v>
      </c>
      <c r="I62" s="16">
        <v>400</v>
      </c>
      <c r="J62" s="16" t="s">
        <v>521</v>
      </c>
      <c r="K62" s="16"/>
      <c r="L62" s="16" t="str">
        <f>IF(Motorisation!N62="","",Motorisation!N62)</f>
        <v>OUI</v>
      </c>
      <c r="M62" s="16">
        <v>1.6</v>
      </c>
      <c r="N62" s="16">
        <f t="shared" si="0"/>
        <v>1.6</v>
      </c>
      <c r="O62" s="16">
        <v>1</v>
      </c>
      <c r="P62" s="16"/>
      <c r="Q62" s="16"/>
      <c r="R62" s="16"/>
      <c r="S62" s="16"/>
      <c r="T62" s="16"/>
      <c r="U62" s="16"/>
      <c r="V62" s="16"/>
      <c r="W62" s="16"/>
      <c r="X62" s="17"/>
      <c r="Y62" s="7"/>
      <c r="Z62" s="7"/>
    </row>
    <row r="63" spans="1:26" s="8" customFormat="1" ht="39.950000000000003" customHeight="1">
      <c r="A63" s="3"/>
      <c r="B63" s="25" t="str">
        <f>IF(NOMENCLATURE_GEN!B63="","",NOMENCLATURE_GEN!B63)</f>
        <v/>
      </c>
      <c r="C63" s="243" t="str">
        <f>IF(NOMENCLATURE_GEN!C63="","",NOMENCLATURE_GEN!C63)</f>
        <v/>
      </c>
      <c r="D63" s="4">
        <f>IF(NOMENCLATURE_GEN!D63="","",NOMENCLATURE_GEN!D63)</f>
        <v>149</v>
      </c>
      <c r="E63" s="4" t="str">
        <f ca="1">IF(NOMENCLATURE_GEN!E63="","",NOMENCLATURE_GEN!E63)</f>
        <v>A</v>
      </c>
      <c r="F63" s="4" t="str">
        <f>IF(NOMENCLATURE_GEN!F63="","",NOMENCLATURE_GEN!F63)</f>
        <v>COU</v>
      </c>
      <c r="G63" s="154" t="str">
        <f>IF(NOMENCLATURE_GEN!G63="","",NOMENCLATURE_GEN!G63)</f>
        <v>Couronne rotatif pour convoyeur de mise en tas</v>
      </c>
      <c r="H63" s="15">
        <v>1</v>
      </c>
      <c r="I63" s="16">
        <v>400</v>
      </c>
      <c r="J63" s="16" t="s">
        <v>521</v>
      </c>
      <c r="K63" s="16"/>
      <c r="L63" s="10" t="s">
        <v>680</v>
      </c>
      <c r="M63" s="584" t="s">
        <v>682</v>
      </c>
      <c r="N63" s="584" t="s">
        <v>10</v>
      </c>
      <c r="O63" s="584" t="s">
        <v>683</v>
      </c>
      <c r="P63" s="16"/>
      <c r="Q63" s="16"/>
      <c r="R63" s="16"/>
      <c r="S63" s="16"/>
      <c r="T63" s="16"/>
      <c r="U63" s="16"/>
      <c r="V63" s="16"/>
      <c r="W63" s="16"/>
      <c r="X63" s="17"/>
      <c r="Y63" s="7"/>
      <c r="Z63" s="7"/>
    </row>
    <row r="64" spans="1:26" s="8" customFormat="1" ht="39.950000000000003" customHeight="1">
      <c r="A64" s="3"/>
      <c r="B64" s="25" t="str">
        <f>IF(NOMENCLATURE_GEN!B64="","",NOMENCLATURE_GEN!B64)</f>
        <v/>
      </c>
      <c r="C64" s="243" t="str">
        <f>IF(NOMENCLATURE_GEN!C64="","",NOMENCLATURE_GEN!C64)</f>
        <v/>
      </c>
      <c r="D64" s="4">
        <f>IF(NOMENCLATURE_GEN!D64="","",NOMENCLATURE_GEN!D64)</f>
        <v>150</v>
      </c>
      <c r="E64" s="4" t="str">
        <f ca="1">IF(NOMENCLATURE_GEN!E64="","",NOMENCLATURE_GEN!E64)</f>
        <v>A</v>
      </c>
      <c r="F64" s="4" t="str">
        <f>IF(NOMENCLATURE_GEN!F64="","",NOMENCLATURE_GEN!F64)</f>
        <v>TBE</v>
      </c>
      <c r="G64" s="154" t="str">
        <f>IF(NOMENCLATURE_GEN!G64="","",NOMENCLATURE_GEN!G64)</f>
        <v>Convoyeur de reprise By-pass des refus du liwell</v>
      </c>
      <c r="H64" s="15">
        <v>1</v>
      </c>
      <c r="I64" s="16">
        <v>400</v>
      </c>
      <c r="J64" s="16" t="s">
        <v>521</v>
      </c>
      <c r="K64" s="16"/>
      <c r="L64" s="16" t="str">
        <f>IF(Motorisation!N64="","",Motorisation!N64)</f>
        <v>OUI</v>
      </c>
      <c r="M64" s="16">
        <f>IF(Motorisation!P64="","",Motorisation!P64)</f>
        <v>2.9</v>
      </c>
      <c r="N64" s="16">
        <f t="shared" si="0"/>
        <v>2.9</v>
      </c>
      <c r="O64" s="16">
        <v>1</v>
      </c>
      <c r="P64" s="16"/>
      <c r="Q64" s="16"/>
      <c r="R64" s="16"/>
      <c r="S64" s="16"/>
      <c r="T64" s="16"/>
      <c r="U64" s="16"/>
      <c r="V64" s="16"/>
      <c r="W64" s="16"/>
      <c r="X64" s="17"/>
      <c r="Y64" s="7"/>
      <c r="Z64" s="7"/>
    </row>
    <row r="65" spans="1:26" s="8" customFormat="1" ht="39.950000000000003" customHeight="1">
      <c r="A65" s="3"/>
      <c r="B65" s="25" t="str">
        <f>IF(NOMENCLATURE_GEN!B65="","",NOMENCLATURE_GEN!B65)</f>
        <v/>
      </c>
      <c r="C65" s="243" t="str">
        <f>IF(NOMENCLATURE_GEN!C65="","",NOMENCLATURE_GEN!C65)</f>
        <v/>
      </c>
      <c r="D65" s="4">
        <f>IF(NOMENCLATURE_GEN!D65="","",NOMENCLATURE_GEN!D65)</f>
        <v>151</v>
      </c>
      <c r="E65" s="4" t="str">
        <f ca="1">IF(NOMENCLATURE_GEN!E65="","",NOMENCLATURE_GEN!E65)</f>
        <v>A</v>
      </c>
      <c r="F65" s="4" t="str">
        <f>IF(NOMENCLATURE_GEN!F65="","",NOMENCLATURE_GEN!F65)</f>
        <v>TBE</v>
      </c>
      <c r="G65" s="154" t="str">
        <f>IF(NOMENCLATURE_GEN!G65="","",NOMENCLATURE_GEN!G65)</f>
        <v>Convoyeur de reprise By-pass des refus du balistique 1</v>
      </c>
      <c r="H65" s="15">
        <v>1</v>
      </c>
      <c r="I65" s="16">
        <v>400</v>
      </c>
      <c r="J65" s="16" t="s">
        <v>521</v>
      </c>
      <c r="K65" s="16"/>
      <c r="L65" s="16" t="str">
        <f>IF(Motorisation!N65="","",Motorisation!N65)</f>
        <v>OUI</v>
      </c>
      <c r="M65" s="16">
        <f>IF(Motorisation!P65="","",Motorisation!P65)</f>
        <v>2.9</v>
      </c>
      <c r="N65" s="16">
        <f t="shared" si="0"/>
        <v>2.9</v>
      </c>
      <c r="O65" s="16">
        <v>1</v>
      </c>
      <c r="P65" s="16"/>
      <c r="Q65" s="16"/>
      <c r="R65" s="16"/>
      <c r="S65" s="16"/>
      <c r="T65" s="16"/>
      <c r="U65" s="16"/>
      <c r="V65" s="16"/>
      <c r="W65" s="16"/>
      <c r="X65" s="17"/>
      <c r="Y65" s="7"/>
      <c r="Z65" s="7"/>
    </row>
    <row r="66" spans="1:26" s="8" customFormat="1" ht="39.950000000000003" customHeight="1">
      <c r="A66" s="3"/>
      <c r="B66" s="25" t="str">
        <f>IF(NOMENCLATURE_GEN!B66="","",NOMENCLATURE_GEN!B66)</f>
        <v/>
      </c>
      <c r="C66" s="243" t="str">
        <f>IF(NOMENCLATURE_GEN!C66="","",NOMENCLATURE_GEN!C66)</f>
        <v/>
      </c>
      <c r="D66" s="4">
        <f>IF(NOMENCLATURE_GEN!D66="","",NOMENCLATURE_GEN!D66)</f>
        <v>152</v>
      </c>
      <c r="E66" s="4" t="str">
        <f ca="1">IF(NOMENCLATURE_GEN!E66="","",NOMENCLATURE_GEN!E66)</f>
        <v>A</v>
      </c>
      <c r="F66" s="4" t="str">
        <f>IF(NOMENCLATURE_GEN!F66="","",NOMENCLATURE_GEN!F66)</f>
        <v>TBE</v>
      </c>
      <c r="G66" s="154" t="str">
        <f>IF(NOMENCLATURE_GEN!G66="","",NOMENCLATURE_GEN!G66)</f>
        <v>Convoyeur de transfert des refus vers module de sur-tri</v>
      </c>
      <c r="H66" s="15">
        <v>1</v>
      </c>
      <c r="I66" s="16">
        <v>400</v>
      </c>
      <c r="J66" s="16" t="s">
        <v>521</v>
      </c>
      <c r="K66" s="16"/>
      <c r="L66" s="16" t="str">
        <f>IF(Motorisation!N66="","",Motorisation!N66)</f>
        <v>OUI</v>
      </c>
      <c r="M66" s="16">
        <f>IF(Motorisation!P66="","",Motorisation!P66)</f>
        <v>2.9</v>
      </c>
      <c r="N66" s="16">
        <f t="shared" si="0"/>
        <v>2.9</v>
      </c>
      <c r="O66" s="16">
        <v>1</v>
      </c>
      <c r="P66" s="16"/>
      <c r="Q66" s="16"/>
      <c r="R66" s="16"/>
      <c r="S66" s="16"/>
      <c r="T66" s="16"/>
      <c r="U66" s="16"/>
      <c r="V66" s="16"/>
      <c r="W66" s="16"/>
      <c r="X66" s="17"/>
      <c r="Y66" s="7"/>
      <c r="Z66" s="7"/>
    </row>
    <row r="67" spans="1:26" s="8" customFormat="1" ht="39.950000000000003" customHeight="1">
      <c r="A67" s="3"/>
      <c r="B67" s="25" t="str">
        <f>IF(NOMENCLATURE_GEN!B67="","",NOMENCLATURE_GEN!B67)</f>
        <v/>
      </c>
      <c r="C67" s="243" t="str">
        <f>IF(NOMENCLATURE_GEN!C67="","",NOMENCLATURE_GEN!C67)</f>
        <v/>
      </c>
      <c r="D67" s="4">
        <f>IF(NOMENCLATURE_GEN!D67="","",NOMENCLATURE_GEN!D67)</f>
        <v>153</v>
      </c>
      <c r="E67" s="4" t="str">
        <f ca="1">IF(NOMENCLATURE_GEN!E67="","",NOMENCLATURE_GEN!E67)</f>
        <v>A</v>
      </c>
      <c r="F67" s="4" t="str">
        <f>IF(NOMENCLATURE_GEN!F67="","",NOMENCLATURE_GEN!F67)</f>
        <v>TBE</v>
      </c>
      <c r="G67" s="154" t="str">
        <f>IF(NOMENCLATURE_GEN!G67="","",NOMENCLATURE_GEN!G67)</f>
        <v>Convoyeur de transfert des refus vers module de sur-tri</v>
      </c>
      <c r="H67" s="15">
        <v>1</v>
      </c>
      <c r="I67" s="16">
        <v>400</v>
      </c>
      <c r="J67" s="16" t="s">
        <v>521</v>
      </c>
      <c r="K67" s="16"/>
      <c r="L67" s="16" t="str">
        <f>IF(Motorisation!N67="","",Motorisation!N67)</f>
        <v>OUI</v>
      </c>
      <c r="M67" s="16">
        <f>IF(Motorisation!P67="","",Motorisation!P67)</f>
        <v>2.9</v>
      </c>
      <c r="N67" s="16">
        <f t="shared" si="0"/>
        <v>2.9</v>
      </c>
      <c r="O67" s="16">
        <v>1</v>
      </c>
      <c r="P67" s="16"/>
      <c r="Q67" s="16"/>
      <c r="R67" s="16"/>
      <c r="S67" s="16"/>
      <c r="T67" s="16"/>
      <c r="U67" s="16"/>
      <c r="V67" s="16"/>
      <c r="W67" s="16"/>
      <c r="X67" s="17"/>
      <c r="Y67" s="7"/>
      <c r="Z67" s="7"/>
    </row>
    <row r="68" spans="1:26" s="8" customFormat="1" ht="39.950000000000003" customHeight="1">
      <c r="A68" s="3"/>
      <c r="B68" s="25" t="str">
        <f>IF(NOMENCLATURE_GEN!B68="","",NOMENCLATURE_GEN!B68)</f>
        <v/>
      </c>
      <c r="C68" s="243" t="str">
        <f>IF(NOMENCLATURE_GEN!C68="","",NOMENCLATURE_GEN!C68)</f>
        <v/>
      </c>
      <c r="D68" s="4">
        <f>IF(NOMENCLATURE_GEN!D68="","",NOMENCLATURE_GEN!D68)</f>
        <v>154</v>
      </c>
      <c r="E68" s="4" t="str">
        <f ca="1">IF(NOMENCLATURE_GEN!E68="","",NOMENCLATURE_GEN!E68)</f>
        <v>A</v>
      </c>
      <c r="F68" s="4" t="str">
        <f>IF(NOMENCLATURE_GEN!F68="","",NOMENCLATURE_GEN!F68)</f>
        <v>TBE</v>
      </c>
      <c r="G68" s="154" t="str">
        <f>IF(NOMENCLATURE_GEN!G68="","",NOMENCLATURE_GEN!G68)</f>
        <v>Convoyeur de transfert des refus vers module de sur-tri</v>
      </c>
      <c r="H68" s="15">
        <v>1</v>
      </c>
      <c r="I68" s="16">
        <v>400</v>
      </c>
      <c r="J68" s="16" t="s">
        <v>521</v>
      </c>
      <c r="K68" s="16"/>
      <c r="L68" s="16" t="str">
        <f>IF(Motorisation!N68="","",Motorisation!N68)</f>
        <v>OUI</v>
      </c>
      <c r="M68" s="16">
        <f>IF(Motorisation!P68="","",Motorisation!P68)</f>
        <v>7.3</v>
      </c>
      <c r="N68" s="16">
        <f t="shared" si="0"/>
        <v>7.3</v>
      </c>
      <c r="O68" s="16">
        <v>1</v>
      </c>
      <c r="P68" s="16"/>
      <c r="Q68" s="16"/>
      <c r="R68" s="16"/>
      <c r="S68" s="16"/>
      <c r="T68" s="16"/>
      <c r="U68" s="16"/>
      <c r="V68" s="16"/>
      <c r="W68" s="16"/>
      <c r="X68" s="17"/>
      <c r="Y68" s="7"/>
      <c r="Z68" s="7"/>
    </row>
    <row r="69" spans="1:26" s="8" customFormat="1" ht="39.950000000000003" customHeight="1">
      <c r="A69" s="3"/>
      <c r="B69" s="25" t="str">
        <f>IF(NOMENCLATURE_GEN!B69="","",NOMENCLATURE_GEN!B69)</f>
        <v/>
      </c>
      <c r="C69" s="243" t="str">
        <f>IF(NOMENCLATURE_GEN!C69="","",NOMENCLATURE_GEN!C69)</f>
        <v/>
      </c>
      <c r="D69" s="4">
        <f>IF(NOMENCLATURE_GEN!D69="","",NOMENCLATURE_GEN!D69)</f>
        <v>155</v>
      </c>
      <c r="E69" s="4" t="str">
        <f ca="1">IF(NOMENCLATURE_GEN!E69="","",NOMENCLATURE_GEN!E69)</f>
        <v>A</v>
      </c>
      <c r="F69" s="4" t="str">
        <f>IF(NOMENCLATURE_GEN!F69="","",NOMENCLATURE_GEN!F69)</f>
        <v>TFM</v>
      </c>
      <c r="G69" s="154" t="str">
        <f>IF(NOMENCLATURE_GEN!G69="","",NOMENCLATURE_GEN!G69)</f>
        <v>Table densimétrique FM150 - Moteur balourd</v>
      </c>
      <c r="H69" s="15">
        <v>1</v>
      </c>
      <c r="I69" s="16">
        <v>400</v>
      </c>
      <c r="J69" s="16" t="s">
        <v>521</v>
      </c>
      <c r="K69" s="16" t="s">
        <v>524</v>
      </c>
      <c r="L69" s="16" t="str">
        <f>IF(Motorisation!N69="","",Motorisation!N69)</f>
        <v>OUI</v>
      </c>
      <c r="M69" s="16">
        <f>IF(Motorisation!P69="","",Motorisation!P69)</f>
        <v>2.9</v>
      </c>
      <c r="N69" s="16">
        <f t="shared" si="0"/>
        <v>2.9</v>
      </c>
      <c r="O69" s="16">
        <v>1</v>
      </c>
      <c r="P69" s="16"/>
      <c r="Q69" s="16"/>
      <c r="R69" s="16"/>
      <c r="S69" s="16"/>
      <c r="T69" s="16"/>
      <c r="U69" s="16"/>
      <c r="V69" s="16"/>
      <c r="W69" s="16"/>
      <c r="X69" s="17"/>
      <c r="Y69" s="7"/>
      <c r="Z69" s="7"/>
    </row>
    <row r="70" spans="1:26" s="8" customFormat="1" ht="39.950000000000003" customHeight="1">
      <c r="A70" s="3"/>
      <c r="B70" s="25" t="str">
        <f>IF(NOMENCLATURE_GEN!B70="","",NOMENCLATURE_GEN!B70)</f>
        <v/>
      </c>
      <c r="C70" s="243" t="str">
        <f>IF(NOMENCLATURE_GEN!C70="","",NOMENCLATURE_GEN!C70)</f>
        <v/>
      </c>
      <c r="D70" s="4">
        <f>IF(NOMENCLATURE_GEN!D70="","",NOMENCLATURE_GEN!D70)</f>
        <v>155</v>
      </c>
      <c r="E70" s="4" t="str">
        <f ca="1">IF(NOMENCLATURE_GEN!E70="","",NOMENCLATURE_GEN!E70)</f>
        <v>B</v>
      </c>
      <c r="F70" s="4" t="str">
        <f>IF(NOMENCLATURE_GEN!F70="","",NOMENCLATURE_GEN!F70)</f>
        <v>TFM</v>
      </c>
      <c r="G70" s="154" t="str">
        <f>IF(NOMENCLATURE_GEN!G70="","",NOMENCLATURE_GEN!G70)</f>
        <v>Table densimétrique FM150 - Ventilateur de fluidisation</v>
      </c>
      <c r="H70" s="15">
        <v>1</v>
      </c>
      <c r="I70" s="16">
        <v>400</v>
      </c>
      <c r="J70" s="16" t="s">
        <v>521</v>
      </c>
      <c r="K70" s="16" t="s">
        <v>524</v>
      </c>
      <c r="L70" s="10" t="s">
        <v>680</v>
      </c>
      <c r="M70" s="16">
        <v>12</v>
      </c>
      <c r="N70" s="16">
        <f t="shared" si="0"/>
        <v>12</v>
      </c>
      <c r="O70" s="16">
        <v>1</v>
      </c>
      <c r="P70" s="16"/>
      <c r="Q70" s="16"/>
      <c r="R70" s="16"/>
      <c r="S70" s="16"/>
      <c r="T70" s="16"/>
      <c r="U70" s="16"/>
      <c r="V70" s="16"/>
      <c r="W70" s="16"/>
      <c r="X70" s="17"/>
      <c r="Y70" s="7"/>
      <c r="Z70" s="7"/>
    </row>
    <row r="71" spans="1:26" s="8" customFormat="1" ht="39.950000000000003" customHeight="1">
      <c r="A71" s="3"/>
      <c r="B71" s="25" t="str">
        <f>IF(NOMENCLATURE_GEN!B71="","",NOMENCLATURE_GEN!B71)</f>
        <v/>
      </c>
      <c r="C71" s="243" t="str">
        <f>IF(NOMENCLATURE_GEN!C71="","",NOMENCLATURE_GEN!C71)</f>
        <v/>
      </c>
      <c r="D71" s="4">
        <f>IF(NOMENCLATURE_GEN!D71="","",NOMENCLATURE_GEN!D71)</f>
        <v>155</v>
      </c>
      <c r="E71" s="4" t="str">
        <f ca="1">IF(NOMENCLATURE_GEN!E71="","",NOMENCLATURE_GEN!E71)</f>
        <v>C</v>
      </c>
      <c r="F71" s="4" t="str">
        <f>IF(NOMENCLATURE_GEN!F71="","",NOMENCLATURE_GEN!F71)</f>
        <v>TFM</v>
      </c>
      <c r="G71" s="154" t="str">
        <f>IF(NOMENCLATURE_GEN!G71="","",NOMENCLATURE_GEN!G71)</f>
        <v>Table densimétrique FM150 - Ecluse utra lourds</v>
      </c>
      <c r="H71" s="15">
        <v>1</v>
      </c>
      <c r="I71" s="16">
        <v>400</v>
      </c>
      <c r="J71" s="16" t="s">
        <v>521</v>
      </c>
      <c r="K71" s="16" t="s">
        <v>525</v>
      </c>
      <c r="L71" s="10" t="s">
        <v>680</v>
      </c>
      <c r="M71" s="16">
        <v>0.55000000000000004</v>
      </c>
      <c r="N71" s="16">
        <f t="shared" si="0"/>
        <v>0.55000000000000004</v>
      </c>
      <c r="O71" s="16">
        <v>1</v>
      </c>
      <c r="P71" s="16"/>
      <c r="Q71" s="16"/>
      <c r="R71" s="16"/>
      <c r="S71" s="16"/>
      <c r="T71" s="16"/>
      <c r="U71" s="16"/>
      <c r="V71" s="16"/>
      <c r="W71" s="16"/>
      <c r="X71" s="17"/>
      <c r="Y71" s="7"/>
      <c r="Z71" s="7"/>
    </row>
    <row r="72" spans="1:26" s="8" customFormat="1" ht="39.950000000000003" customHeight="1">
      <c r="A72" s="3"/>
      <c r="B72" s="25" t="str">
        <f>IF(NOMENCLATURE_GEN!B72="","",NOMENCLATURE_GEN!B72)</f>
        <v/>
      </c>
      <c r="C72" s="243" t="str">
        <f>IF(NOMENCLATURE_GEN!C72="","",NOMENCLATURE_GEN!C72)</f>
        <v/>
      </c>
      <c r="D72" s="4">
        <f>IF(NOMENCLATURE_GEN!D72="","",NOMENCLATURE_GEN!D72)</f>
        <v>155</v>
      </c>
      <c r="E72" s="4" t="str">
        <f ca="1">IF(NOMENCLATURE_GEN!E72="","",NOMENCLATURE_GEN!E72)</f>
        <v>D</v>
      </c>
      <c r="F72" s="4" t="str">
        <f>IF(NOMENCLATURE_GEN!F72="","",NOMENCLATURE_GEN!F72)</f>
        <v>TFM</v>
      </c>
      <c r="G72" s="154" t="str">
        <f>IF(NOMENCLATURE_GEN!G72="","",NOMENCLATURE_GEN!G72)</f>
        <v>Table densimétrique FM150 - Clapet motorisé</v>
      </c>
      <c r="H72" s="15">
        <v>1</v>
      </c>
      <c r="I72" s="16" t="s">
        <v>522</v>
      </c>
      <c r="J72" s="16" t="s">
        <v>521</v>
      </c>
      <c r="K72" s="16"/>
      <c r="L72" s="16" t="str">
        <f>IF(Motorisation!N72="","",Motorisation!N72)</f>
        <v/>
      </c>
      <c r="M72" s="16" t="str">
        <f>IF(Motorisation!P72="","",Motorisation!P72)</f>
        <v/>
      </c>
      <c r="N72" s="16" t="str">
        <f t="shared" si="0"/>
        <v/>
      </c>
      <c r="O72" s="16">
        <v>1</v>
      </c>
      <c r="P72" s="16"/>
      <c r="Q72" s="16"/>
      <c r="R72" s="16"/>
      <c r="S72" s="16"/>
      <c r="T72" s="16"/>
      <c r="U72" s="16"/>
      <c r="V72" s="16"/>
      <c r="W72" s="16"/>
      <c r="X72" s="17"/>
      <c r="Y72" s="7"/>
      <c r="Z72" s="7"/>
    </row>
    <row r="73" spans="1:26" s="8" customFormat="1" ht="39.950000000000003" customHeight="1">
      <c r="A73" s="3"/>
      <c r="B73" s="25" t="str">
        <f>IF(NOMENCLATURE_GEN!B73="","",NOMENCLATURE_GEN!B73)</f>
        <v/>
      </c>
      <c r="C73" s="243" t="str">
        <f>IF(NOMENCLATURE_GEN!C73="","",NOMENCLATURE_GEN!C73)</f>
        <v/>
      </c>
      <c r="D73" s="4">
        <f>IF(NOMENCLATURE_GEN!D73="","",NOMENCLATURE_GEN!D73)</f>
        <v>156</v>
      </c>
      <c r="E73" s="4" t="str">
        <f ca="1">IF(NOMENCLATURE_GEN!E73="","",NOMENCLATURE_GEN!E73)</f>
        <v>A</v>
      </c>
      <c r="F73" s="4" t="str">
        <f>IF(NOMENCLATURE_GEN!F73="","",NOMENCLATURE_GEN!F73)</f>
        <v>TBE</v>
      </c>
      <c r="G73" s="154" t="str">
        <f>IF(NOMENCLATURE_GEN!G73="","",NOMENCLATURE_GEN!G73)</f>
        <v>Convoyeur de reprise des refus lourds et transfert vers centralisation</v>
      </c>
      <c r="H73" s="15">
        <v>1</v>
      </c>
      <c r="I73" s="16">
        <v>400</v>
      </c>
      <c r="J73" s="16" t="s">
        <v>521</v>
      </c>
      <c r="K73" s="16"/>
      <c r="L73" s="16" t="str">
        <f>IF(Motorisation!N73="","",Motorisation!N73)</f>
        <v>OUI</v>
      </c>
      <c r="M73" s="16">
        <v>1.6</v>
      </c>
      <c r="N73" s="16">
        <f t="shared" ref="N73:N137" si="2">IF(M73="","",M73*H73)</f>
        <v>1.6</v>
      </c>
      <c r="O73" s="16">
        <v>1</v>
      </c>
      <c r="P73" s="16"/>
      <c r="Q73" s="16"/>
      <c r="R73" s="16"/>
      <c r="S73" s="16"/>
      <c r="T73" s="16"/>
      <c r="U73" s="16"/>
      <c r="V73" s="16"/>
      <c r="W73" s="16"/>
      <c r="X73" s="17"/>
      <c r="Y73" s="7"/>
      <c r="Z73" s="7"/>
    </row>
    <row r="74" spans="1:26" s="8" customFormat="1" ht="39.950000000000003" customHeight="1">
      <c r="A74" s="3"/>
      <c r="B74" s="25" t="str">
        <f>IF(NOMENCLATURE_GEN!B74="","",NOMENCLATURE_GEN!B74)</f>
        <v/>
      </c>
      <c r="C74" s="243" t="str">
        <f>IF(NOMENCLATURE_GEN!C74="","",NOMENCLATURE_GEN!C74)</f>
        <v/>
      </c>
      <c r="D74" s="4">
        <f>IF(NOMENCLATURE_GEN!D74="","",NOMENCLATURE_GEN!D74)</f>
        <v>157</v>
      </c>
      <c r="E74" s="4" t="str">
        <f ca="1">IF(NOMENCLATURE_GEN!E74="","",NOMENCLATURE_GEN!E74)</f>
        <v>A</v>
      </c>
      <c r="F74" s="4" t="str">
        <f>IF(NOMENCLATURE_GEN!F74="","",NOMENCLATURE_GEN!F74)</f>
        <v>TBE</v>
      </c>
      <c r="G74" s="154" t="str">
        <f>IF(NOMENCLATURE_GEN!G74="","",NOMENCLATURE_GEN!G74)</f>
        <v>Convoyeur de reprise des refus lourds et transfert vers centralisation</v>
      </c>
      <c r="H74" s="15">
        <v>1</v>
      </c>
      <c r="I74" s="16">
        <v>400</v>
      </c>
      <c r="J74" s="16" t="s">
        <v>521</v>
      </c>
      <c r="K74" s="16"/>
      <c r="L74" s="16" t="str">
        <f>IF(Motorisation!N74="","",Motorisation!N74)</f>
        <v>OUI</v>
      </c>
      <c r="M74" s="16">
        <f>IF(Motorisation!P74="","",Motorisation!P74)</f>
        <v>2.9</v>
      </c>
      <c r="N74" s="16">
        <f t="shared" si="2"/>
        <v>2.9</v>
      </c>
      <c r="O74" s="16">
        <v>1</v>
      </c>
      <c r="P74" s="16"/>
      <c r="Q74" s="16"/>
      <c r="R74" s="16"/>
      <c r="S74" s="16"/>
      <c r="T74" s="16"/>
      <c r="U74" s="16"/>
      <c r="V74" s="16"/>
      <c r="W74" s="16"/>
      <c r="X74" s="17"/>
      <c r="Y74" s="7"/>
      <c r="Z74" s="7"/>
    </row>
    <row r="75" spans="1:26" s="8" customFormat="1" ht="39.950000000000003" customHeight="1">
      <c r="A75" s="3"/>
      <c r="B75" s="25" t="str">
        <f>IF(NOMENCLATURE_GEN!B75="","",NOMENCLATURE_GEN!B75)</f>
        <v/>
      </c>
      <c r="C75" s="243" t="str">
        <f>IF(NOMENCLATURE_GEN!C75="","",NOMENCLATURE_GEN!C75)</f>
        <v/>
      </c>
      <c r="D75" s="4">
        <f>IF(NOMENCLATURE_GEN!D75="","",NOMENCLATURE_GEN!D75)</f>
        <v>158</v>
      </c>
      <c r="E75" s="4" t="str">
        <f ca="1">IF(NOMENCLATURE_GEN!E75="","",NOMENCLATURE_GEN!E75)</f>
        <v>A</v>
      </c>
      <c r="F75" s="4" t="str">
        <f>IF(NOMENCLATURE_GEN!F75="","",NOMENCLATURE_GEN!F75)</f>
        <v>TBE</v>
      </c>
      <c r="G75" s="154" t="str">
        <f>IF(NOMENCLATURE_GEN!G75="","",NOMENCLATURE_GEN!G75)</f>
        <v>Convoyeur de reprise des lourds 0-8mm</v>
      </c>
      <c r="H75" s="15">
        <v>1</v>
      </c>
      <c r="I75" s="16">
        <v>400</v>
      </c>
      <c r="J75" s="16" t="s">
        <v>521</v>
      </c>
      <c r="K75" s="16"/>
      <c r="L75" s="16" t="str">
        <f>IF(Motorisation!N75="","",Motorisation!N75)</f>
        <v>OUI</v>
      </c>
      <c r="M75" s="16">
        <f>IF(Motorisation!P75="","",Motorisation!P75)</f>
        <v>2.9</v>
      </c>
      <c r="N75" s="16">
        <f t="shared" si="2"/>
        <v>2.9</v>
      </c>
      <c r="O75" s="16">
        <v>1</v>
      </c>
      <c r="P75" s="16"/>
      <c r="Q75" s="16"/>
      <c r="R75" s="16"/>
      <c r="S75" s="16"/>
      <c r="T75" s="16"/>
      <c r="U75" s="16"/>
      <c r="V75" s="16"/>
      <c r="W75" s="16"/>
      <c r="X75" s="17"/>
      <c r="Y75" s="7"/>
      <c r="Z75" s="7"/>
    </row>
    <row r="76" spans="1:26" s="8" customFormat="1" ht="39.950000000000003" customHeight="1">
      <c r="A76" s="3"/>
      <c r="B76" s="25" t="str">
        <f>IF(NOMENCLATURE_GEN!B76="","",NOMENCLATURE_GEN!B76)</f>
        <v>SUP</v>
      </c>
      <c r="C76" s="243" t="str">
        <f>IF(NOMENCLATURE_GEN!C76="","",NOMENCLATURE_GEN!C76)</f>
        <v/>
      </c>
      <c r="D76" s="4">
        <f>IF(NOMENCLATURE_GEN!D76="","",NOMENCLATURE_GEN!D76)</f>
        <v>159</v>
      </c>
      <c r="E76" s="4" t="str">
        <f ca="1">IF(NOMENCLATURE_GEN!E76="","",NOMENCLATURE_GEN!E76)</f>
        <v>A</v>
      </c>
      <c r="F76" s="4" t="str">
        <f>IF(NOMENCLATURE_GEN!F76="","",NOMENCLATURE_GEN!F76)</f>
        <v>GLT</v>
      </c>
      <c r="G76" s="154" t="str">
        <f>IF(NOMENCLATURE_GEN!G76="","",NOMENCLATURE_GEN!G76)</f>
        <v>Goulotte de reprise des légers de la table FM150</v>
      </c>
      <c r="H76" s="15" t="s">
        <v>494</v>
      </c>
      <c r="I76" s="16"/>
      <c r="J76" s="16"/>
      <c r="K76" s="16"/>
      <c r="L76" s="16" t="str">
        <f>IF(Motorisation!N76="","",Motorisation!N76)</f>
        <v/>
      </c>
      <c r="M76" s="16" t="str">
        <f>IF(Motorisation!P76="","",Motorisation!P76)</f>
        <v/>
      </c>
      <c r="N76" s="16" t="str">
        <f t="shared" si="2"/>
        <v/>
      </c>
      <c r="O76" s="16"/>
      <c r="P76" s="16"/>
      <c r="Q76" s="16"/>
      <c r="R76" s="16"/>
      <c r="S76" s="16"/>
      <c r="T76" s="16"/>
      <c r="U76" s="16"/>
      <c r="V76" s="16"/>
      <c r="W76" s="16"/>
      <c r="X76" s="17"/>
      <c r="Y76" s="7"/>
      <c r="Z76" s="7"/>
    </row>
    <row r="77" spans="1:26" s="8" customFormat="1" ht="39.950000000000003" customHeight="1">
      <c r="A77" s="3"/>
      <c r="B77" s="25" t="str">
        <f>IF(NOMENCLATURE_GEN!B77="","",NOMENCLATURE_GEN!B77)</f>
        <v/>
      </c>
      <c r="C77" s="243" t="str">
        <f>IF(NOMENCLATURE_GEN!C77="","",NOMENCLATURE_GEN!C77)</f>
        <v/>
      </c>
      <c r="D77" s="4">
        <f>IF(NOMENCLATURE_GEN!D77="","",NOMENCLATURE_GEN!D77)</f>
        <v>160</v>
      </c>
      <c r="E77" s="4" t="str">
        <f ca="1">IF(NOMENCLATURE_GEN!E77="","",NOMENCLATURE_GEN!E77)</f>
        <v>A</v>
      </c>
      <c r="F77" s="4" t="str">
        <f>IF(NOMENCLATURE_GEN!F77="","",NOMENCLATURE_GEN!F77)</f>
        <v>TBE</v>
      </c>
      <c r="G77" s="154" t="str">
        <f>IF(NOMENCLATURE_GEN!G77="","",NOMENCLATURE_GEN!G77)</f>
        <v>Convoyeur double sens de remplissage de la benne FFOM</v>
      </c>
      <c r="H77" s="15">
        <v>1</v>
      </c>
      <c r="I77" s="16">
        <v>400</v>
      </c>
      <c r="J77" s="16" t="s">
        <v>521</v>
      </c>
      <c r="K77" s="16"/>
      <c r="L77" s="16" t="str">
        <f>IF(Motorisation!N77="","",Motorisation!N77)</f>
        <v>OUI</v>
      </c>
      <c r="M77" s="16">
        <v>1.6</v>
      </c>
      <c r="N77" s="16">
        <f t="shared" si="2"/>
        <v>1.6</v>
      </c>
      <c r="O77" s="16">
        <v>1</v>
      </c>
      <c r="P77" s="16"/>
      <c r="Q77" s="16"/>
      <c r="R77" s="16"/>
      <c r="S77" s="16"/>
      <c r="T77" s="16"/>
      <c r="U77" s="16"/>
      <c r="V77" s="16"/>
      <c r="W77" s="16"/>
      <c r="X77" s="17"/>
      <c r="Y77" s="7"/>
      <c r="Z77" s="7"/>
    </row>
    <row r="78" spans="1:26" s="8" customFormat="1" ht="39.950000000000003" customHeight="1">
      <c r="A78" s="3"/>
      <c r="B78" s="25" t="str">
        <f>IF(NOMENCLATURE_GEN!B78="","",NOMENCLATURE_GEN!B78)</f>
        <v/>
      </c>
      <c r="C78" s="243" t="str">
        <f>IF(NOMENCLATURE_GEN!C78="","",NOMENCLATURE_GEN!C78)</f>
        <v/>
      </c>
      <c r="D78" s="4">
        <f>IF(NOMENCLATURE_GEN!D78="","",NOMENCLATURE_GEN!D78)</f>
        <v>161</v>
      </c>
      <c r="E78" s="4" t="str">
        <f ca="1">IF(NOMENCLATURE_GEN!E78="","",NOMENCLATURE_GEN!E78)</f>
        <v>A</v>
      </c>
      <c r="F78" s="4" t="str">
        <f>IF(NOMENCLATURE_GEN!F78="","",NOMENCLATURE_GEN!F78)</f>
        <v>NAV</v>
      </c>
      <c r="G78" s="154" t="str">
        <f>IF(NOMENCLATURE_GEN!G78="","",NOMENCLATURE_GEN!G78)</f>
        <v>Système navette pour convoyeur double sens</v>
      </c>
      <c r="H78" s="15">
        <v>1</v>
      </c>
      <c r="I78" s="16">
        <v>400</v>
      </c>
      <c r="J78" s="16" t="s">
        <v>521</v>
      </c>
      <c r="K78" s="16"/>
      <c r="L78" s="16" t="str">
        <f>IF(Motorisation!N78="","",Motorisation!N78)</f>
        <v>OUI</v>
      </c>
      <c r="M78" s="16">
        <f>IF(Motorisation!P78="","",Motorisation!P78)</f>
        <v>1.1200000000000001</v>
      </c>
      <c r="N78" s="16">
        <f t="shared" si="2"/>
        <v>1.1200000000000001</v>
      </c>
      <c r="O78" s="16">
        <v>0.5</v>
      </c>
      <c r="P78" s="16"/>
      <c r="Q78" s="16"/>
      <c r="R78" s="16"/>
      <c r="S78" s="16"/>
      <c r="T78" s="16"/>
      <c r="U78" s="16"/>
      <c r="V78" s="16" t="s">
        <v>495</v>
      </c>
      <c r="W78" s="16"/>
      <c r="X78" s="17"/>
      <c r="Y78" s="7"/>
      <c r="Z78" s="7"/>
    </row>
    <row r="79" spans="1:26" s="8" customFormat="1" ht="39.950000000000003" customHeight="1">
      <c r="A79" s="3"/>
      <c r="B79" s="25" t="str">
        <f>IF(NOMENCLATURE_GEN!B79="","",NOMENCLATURE_GEN!B79)</f>
        <v/>
      </c>
      <c r="C79" s="243" t="str">
        <f>IF(NOMENCLATURE_GEN!C79="","",NOMENCLATURE_GEN!C79)</f>
        <v/>
      </c>
      <c r="D79" s="4">
        <f>IF(NOMENCLATURE_GEN!D79="","",NOMENCLATURE_GEN!D79)</f>
        <v>162</v>
      </c>
      <c r="E79" s="4" t="str">
        <f ca="1">IF(NOMENCLATURE_GEN!E79="","",NOMENCLATURE_GEN!E79)</f>
        <v>A</v>
      </c>
      <c r="F79" s="4" t="str">
        <f>IF(NOMENCLATURE_GEN!F79="","",NOMENCLATURE_GEN!F79)</f>
        <v>TBE</v>
      </c>
      <c r="G79" s="154" t="str">
        <f>IF(NOMENCLATURE_GEN!G79="","",NOMENCLATURE_GEN!G79)</f>
        <v>Convoyeur de reprise des aciers 0-30 et &gt; 180mm</v>
      </c>
      <c r="H79" s="15">
        <v>1</v>
      </c>
      <c r="I79" s="16">
        <v>400</v>
      </c>
      <c r="J79" s="16" t="s">
        <v>521</v>
      </c>
      <c r="K79" s="16"/>
      <c r="L79" s="16" t="str">
        <f>IF(Motorisation!N79="","",Motorisation!N79)</f>
        <v>OUI</v>
      </c>
      <c r="M79" s="16">
        <f>IF(Motorisation!P79="","",Motorisation!P79)</f>
        <v>2.9</v>
      </c>
      <c r="N79" s="16">
        <f t="shared" si="2"/>
        <v>2.9</v>
      </c>
      <c r="O79" s="16">
        <v>1</v>
      </c>
      <c r="P79" s="16"/>
      <c r="Q79" s="16"/>
      <c r="R79" s="16"/>
      <c r="S79" s="16"/>
      <c r="T79" s="16"/>
      <c r="U79" s="16"/>
      <c r="V79" s="16"/>
      <c r="W79" s="16"/>
      <c r="X79" s="17"/>
      <c r="Y79" s="7"/>
      <c r="Z79" s="7"/>
    </row>
    <row r="80" spans="1:26" s="8" customFormat="1" ht="39.950000000000003" customHeight="1">
      <c r="A80" s="3"/>
      <c r="B80" s="25" t="str">
        <f>IF(NOMENCLATURE_GEN!B80="","",NOMENCLATURE_GEN!B80)</f>
        <v/>
      </c>
      <c r="C80" s="243" t="str">
        <f>IF(NOMENCLATURE_GEN!C80="","",NOMENCLATURE_GEN!C80)</f>
        <v/>
      </c>
      <c r="D80" s="4">
        <f>IF(NOMENCLATURE_GEN!D80="","",NOMENCLATURE_GEN!D80)</f>
        <v>163</v>
      </c>
      <c r="E80" s="4" t="str">
        <f ca="1">IF(NOMENCLATURE_GEN!E80="","",NOMENCLATURE_GEN!E80)</f>
        <v>A</v>
      </c>
      <c r="F80" s="4" t="str">
        <f>IF(NOMENCLATURE_GEN!F80="","",NOMENCLATURE_GEN!F80)</f>
        <v>TBE</v>
      </c>
      <c r="G80" s="154" t="str">
        <f>IF(NOMENCLATURE_GEN!G80="","",NOMENCLATURE_GEN!G80)</f>
        <v>Convoyeur de centralisation des aciers</v>
      </c>
      <c r="H80" s="15">
        <v>1</v>
      </c>
      <c r="I80" s="16">
        <v>400</v>
      </c>
      <c r="J80" s="16" t="s">
        <v>521</v>
      </c>
      <c r="K80" s="16"/>
      <c r="L80" s="16" t="str">
        <f>IF(Motorisation!N80="","",Motorisation!N80)</f>
        <v>OUI</v>
      </c>
      <c r="M80" s="16">
        <f>IF(Motorisation!P80="","",Motorisation!P80)</f>
        <v>2.9</v>
      </c>
      <c r="N80" s="16">
        <f t="shared" si="2"/>
        <v>2.9</v>
      </c>
      <c r="O80" s="16">
        <v>1</v>
      </c>
      <c r="P80" s="16"/>
      <c r="Q80" s="16"/>
      <c r="R80" s="16"/>
      <c r="S80" s="16"/>
      <c r="T80" s="16"/>
      <c r="U80" s="16"/>
      <c r="V80" s="16"/>
      <c r="W80" s="16"/>
      <c r="X80" s="17"/>
      <c r="Y80" s="7"/>
      <c r="Z80" s="7"/>
    </row>
    <row r="81" spans="1:26" s="8" customFormat="1" ht="39.950000000000003" customHeight="1">
      <c r="A81" s="3"/>
      <c r="B81" s="25" t="str">
        <f>IF(NOMENCLATURE_GEN!B81="","",NOMENCLATURE_GEN!B81)</f>
        <v/>
      </c>
      <c r="C81" s="243" t="str">
        <f>IF(NOMENCLATURE_GEN!C81="","",NOMENCLATURE_GEN!C81)</f>
        <v/>
      </c>
      <c r="D81" s="4">
        <f>IF(NOMENCLATURE_GEN!D81="","",NOMENCLATURE_GEN!D81)</f>
        <v>164</v>
      </c>
      <c r="E81" s="4" t="str">
        <f ca="1">IF(NOMENCLATURE_GEN!E81="","",NOMENCLATURE_GEN!E81)</f>
        <v>A</v>
      </c>
      <c r="F81" s="4" t="str">
        <f>IF(NOMENCLATURE_GEN!F81="","",NOMENCLATURE_GEN!F81)</f>
        <v>TBE</v>
      </c>
      <c r="G81" s="154" t="str">
        <f>IF(NOMENCLATURE_GEN!G81="","",NOMENCLATURE_GEN!G81)</f>
        <v>Convoyeur de transfert des aciers vers benne</v>
      </c>
      <c r="H81" s="15">
        <v>1</v>
      </c>
      <c r="I81" s="16">
        <v>400</v>
      </c>
      <c r="J81" s="16" t="s">
        <v>521</v>
      </c>
      <c r="K81" s="16"/>
      <c r="L81" s="16" t="str">
        <f>IF(Motorisation!N81="","",Motorisation!N81)</f>
        <v>OUI</v>
      </c>
      <c r="M81" s="16">
        <f>IF(Motorisation!P81="","",Motorisation!P81)</f>
        <v>2.9</v>
      </c>
      <c r="N81" s="16">
        <f t="shared" si="2"/>
        <v>2.9</v>
      </c>
      <c r="O81" s="16">
        <v>1</v>
      </c>
      <c r="P81" s="16"/>
      <c r="Q81" s="16"/>
      <c r="R81" s="16"/>
      <c r="S81" s="16"/>
      <c r="T81" s="16"/>
      <c r="U81" s="16"/>
      <c r="V81" s="16"/>
      <c r="W81" s="16"/>
      <c r="X81" s="17"/>
      <c r="Y81" s="7"/>
      <c r="Z81" s="7"/>
    </row>
    <row r="82" spans="1:26" s="8" customFormat="1" ht="39.950000000000003" customHeight="1">
      <c r="A82" s="3"/>
      <c r="B82" s="25" t="str">
        <f>IF(NOMENCLATURE_GEN!B82="","",NOMENCLATURE_GEN!B82)</f>
        <v/>
      </c>
      <c r="C82" s="243" t="str">
        <f>IF(NOMENCLATURE_GEN!C82="","",NOMENCLATURE_GEN!C82)</f>
        <v/>
      </c>
      <c r="D82" s="4">
        <f>IF(NOMENCLATURE_GEN!D82="","",NOMENCLATURE_GEN!D82)</f>
        <v>165</v>
      </c>
      <c r="E82" s="4" t="str">
        <f ca="1">IF(NOMENCLATURE_GEN!E82="","",NOMENCLATURE_GEN!E82)</f>
        <v>A</v>
      </c>
      <c r="F82" s="4" t="str">
        <f>IF(NOMENCLATURE_GEN!F82="","",NOMENCLATURE_GEN!F82)</f>
        <v>TBE</v>
      </c>
      <c r="G82" s="154" t="str">
        <f>IF(NOMENCLATURE_GEN!G82="","",NOMENCLATURE_GEN!G82)</f>
        <v>Convoyeur navette double sens de remplissage de la benne acier</v>
      </c>
      <c r="H82" s="15">
        <v>1</v>
      </c>
      <c r="I82" s="16">
        <v>400</v>
      </c>
      <c r="J82" s="16" t="s">
        <v>521</v>
      </c>
      <c r="K82" s="16"/>
      <c r="L82" s="16" t="str">
        <f>IF(Motorisation!N82="","",Motorisation!N82)</f>
        <v>OUI</v>
      </c>
      <c r="M82" s="16">
        <f>IF(Motorisation!P82="","",Motorisation!P82)</f>
        <v>2.9</v>
      </c>
      <c r="N82" s="16">
        <f t="shared" si="2"/>
        <v>2.9</v>
      </c>
      <c r="O82" s="16">
        <v>1</v>
      </c>
      <c r="P82" s="16"/>
      <c r="Q82" s="16"/>
      <c r="R82" s="16"/>
      <c r="S82" s="16"/>
      <c r="T82" s="16"/>
      <c r="U82" s="16"/>
      <c r="V82" s="16"/>
      <c r="W82" s="16"/>
      <c r="X82" s="17"/>
      <c r="Y82" s="7"/>
      <c r="Z82" s="7"/>
    </row>
    <row r="83" spans="1:26" s="8" customFormat="1" ht="39.950000000000003" customHeight="1">
      <c r="A83" s="3"/>
      <c r="B83" s="25" t="str">
        <f>IF(NOMENCLATURE_GEN!B83="","",NOMENCLATURE_GEN!B83)</f>
        <v/>
      </c>
      <c r="C83" s="243" t="str">
        <f>IF(NOMENCLATURE_GEN!C83="","",NOMENCLATURE_GEN!C83)</f>
        <v/>
      </c>
      <c r="D83" s="4">
        <f>IF(NOMENCLATURE_GEN!D83="","",NOMENCLATURE_GEN!D83)</f>
        <v>166</v>
      </c>
      <c r="E83" s="4" t="str">
        <f ca="1">IF(NOMENCLATURE_GEN!E83="","",NOMENCLATURE_GEN!E83)</f>
        <v>A</v>
      </c>
      <c r="F83" s="4" t="str">
        <f>IF(NOMENCLATURE_GEN!F83="","",NOMENCLATURE_GEN!F83)</f>
        <v>CYC</v>
      </c>
      <c r="G83" s="154" t="str">
        <f>IF(NOMENCLATURE_GEN!G83="","",NOMENCLATURE_GEN!G83)</f>
        <v>Cyclone &amp; écluse pour table densimétrique  - Ventilateur</v>
      </c>
      <c r="H83" s="15">
        <v>1</v>
      </c>
      <c r="I83" s="16">
        <v>400</v>
      </c>
      <c r="J83" s="16" t="s">
        <v>521</v>
      </c>
      <c r="K83" s="10" t="s">
        <v>524</v>
      </c>
      <c r="L83" s="10" t="s">
        <v>680</v>
      </c>
      <c r="M83" s="16">
        <v>37</v>
      </c>
      <c r="N83" s="16">
        <f t="shared" si="2"/>
        <v>37</v>
      </c>
      <c r="O83" s="16">
        <v>1</v>
      </c>
      <c r="P83" s="16"/>
      <c r="Q83" s="16"/>
      <c r="R83" s="16"/>
      <c r="S83" s="16"/>
      <c r="T83" s="16"/>
      <c r="U83" s="16"/>
      <c r="V83" s="16"/>
      <c r="W83" s="16"/>
      <c r="X83" s="17"/>
      <c r="Y83" s="7"/>
      <c r="Z83" s="7"/>
    </row>
    <row r="84" spans="1:26" s="8" customFormat="1" ht="39.950000000000003" customHeight="1">
      <c r="A84" s="3"/>
      <c r="B84" s="25" t="str">
        <f>IF(NOMENCLATURE_GEN!B84="","",NOMENCLATURE_GEN!B84)</f>
        <v/>
      </c>
      <c r="C84" s="243" t="str">
        <f>IF(NOMENCLATURE_GEN!C84="","",NOMENCLATURE_GEN!C84)</f>
        <v/>
      </c>
      <c r="D84" s="4">
        <f>IF(NOMENCLATURE_GEN!D84="","",NOMENCLATURE_GEN!D84)</f>
        <v>166</v>
      </c>
      <c r="E84" s="4" t="str">
        <f ca="1">IF(NOMENCLATURE_GEN!E84="","",NOMENCLATURE_GEN!E84)</f>
        <v>B</v>
      </c>
      <c r="F84" s="4" t="str">
        <f>IF(NOMENCLATURE_GEN!F84="","",NOMENCLATURE_GEN!F84)</f>
        <v>CYC</v>
      </c>
      <c r="G84" s="154" t="str">
        <f>IF(NOMENCLATURE_GEN!G84="","",NOMENCLATURE_GEN!G84)</f>
        <v>Cyclone &amp; écluse pour table densimétrique - Ecluse</v>
      </c>
      <c r="H84" s="15">
        <v>1</v>
      </c>
      <c r="I84" s="16">
        <v>400</v>
      </c>
      <c r="J84" s="16" t="s">
        <v>521</v>
      </c>
      <c r="K84" s="10" t="s">
        <v>525</v>
      </c>
      <c r="L84" s="10" t="s">
        <v>680</v>
      </c>
      <c r="M84" s="16">
        <v>1.1000000000000001</v>
      </c>
      <c r="N84" s="16">
        <f t="shared" si="2"/>
        <v>1.1000000000000001</v>
      </c>
      <c r="O84" s="16">
        <v>1</v>
      </c>
      <c r="P84" s="16"/>
      <c r="Q84" s="16"/>
      <c r="R84" s="16"/>
      <c r="S84" s="16"/>
      <c r="T84" s="16"/>
      <c r="U84" s="16"/>
      <c r="V84" s="16"/>
      <c r="W84" s="16"/>
      <c r="X84" s="17"/>
      <c r="Y84" s="7"/>
      <c r="Z84" s="7"/>
    </row>
    <row r="85" spans="1:26" s="8" customFormat="1" ht="39.950000000000003" customHeight="1">
      <c r="A85" s="3"/>
      <c r="B85" s="25" t="str">
        <f>IF(NOMENCLATURE_GEN!B85="","",NOMENCLATURE_GEN!B85)</f>
        <v/>
      </c>
      <c r="C85" s="243" t="str">
        <f>IF(NOMENCLATURE_GEN!C85="","",NOMENCLATURE_GEN!C85)</f>
        <v/>
      </c>
      <c r="D85" s="4">
        <f>IF(NOMENCLATURE_GEN!D85="","",NOMENCLATURE_GEN!D85)</f>
        <v>166</v>
      </c>
      <c r="E85" s="4" t="str">
        <f ca="1">IF(NOMENCLATURE_GEN!E85="","",NOMENCLATURE_GEN!E85)</f>
        <v>C</v>
      </c>
      <c r="F85" s="4" t="str">
        <f>IF(NOMENCLATURE_GEN!F85="","",NOMENCLATURE_GEN!F85)</f>
        <v>CYC</v>
      </c>
      <c r="G85" s="154" t="str">
        <f>IF(NOMENCLATURE_GEN!G85="","",NOMENCLATURE_GEN!G85)</f>
        <v>Cyclone &amp; écluse pour table densimétrique - Clapet motorisé</v>
      </c>
      <c r="H85" s="15">
        <v>1</v>
      </c>
      <c r="I85" s="16" t="s">
        <v>522</v>
      </c>
      <c r="J85" s="16" t="s">
        <v>521</v>
      </c>
      <c r="K85" s="16"/>
      <c r="L85" s="16" t="str">
        <f>IF(Motorisation!N85="","",Motorisation!N85)</f>
        <v/>
      </c>
      <c r="M85" s="16" t="str">
        <f>IF(Motorisation!P85="","",Motorisation!P85)</f>
        <v/>
      </c>
      <c r="N85" s="16" t="str">
        <f t="shared" si="2"/>
        <v/>
      </c>
      <c r="O85" s="16">
        <v>0</v>
      </c>
      <c r="P85" s="16"/>
      <c r="Q85" s="16"/>
      <c r="R85" s="16"/>
      <c r="S85" s="16"/>
      <c r="T85" s="16"/>
      <c r="U85" s="16"/>
      <c r="V85" s="16"/>
      <c r="W85" s="16"/>
      <c r="X85" s="17"/>
      <c r="Y85" s="7"/>
      <c r="Z85" s="7"/>
    </row>
    <row r="86" spans="1:26" s="8" customFormat="1" ht="39.950000000000003" customHeight="1">
      <c r="A86" s="3"/>
      <c r="B86" s="25" t="str">
        <f>IF(NOMENCLATURE_GEN!B86="","",NOMENCLATURE_GEN!B86)</f>
        <v/>
      </c>
      <c r="C86" s="243" t="str">
        <f>IF(NOMENCLATURE_GEN!C86="","",NOMENCLATURE_GEN!C86)</f>
        <v/>
      </c>
      <c r="D86" s="4">
        <f>IF(NOMENCLATURE_GEN!D86="","",NOMENCLATURE_GEN!D86)</f>
        <v>167</v>
      </c>
      <c r="E86" s="4" t="str">
        <f ca="1">IF(NOMENCLATURE_GEN!E86="","",NOMENCLATURE_GEN!E86)</f>
        <v>A</v>
      </c>
      <c r="F86" s="4" t="str">
        <f>IF(NOMENCLATURE_GEN!F86="","",NOMENCLATURE_GEN!F86)</f>
        <v>HYD</v>
      </c>
      <c r="G86" s="154" t="str">
        <f>IF(NOMENCLATURE_GEN!G86="","",NOMENCLATURE_GEN!G86)</f>
        <v>Centrale hydraulique de pilotage des FMA</v>
      </c>
      <c r="H86" s="15">
        <v>1</v>
      </c>
      <c r="I86" s="16">
        <v>400</v>
      </c>
      <c r="J86" s="16" t="s">
        <v>521</v>
      </c>
      <c r="K86" s="16"/>
      <c r="L86" s="10" t="s">
        <v>680</v>
      </c>
      <c r="M86" s="16">
        <v>22</v>
      </c>
      <c r="N86" s="16">
        <f t="shared" si="2"/>
        <v>22</v>
      </c>
      <c r="O86" s="16">
        <v>1</v>
      </c>
      <c r="P86" s="16"/>
      <c r="Q86" s="16"/>
      <c r="R86" s="16"/>
      <c r="S86" s="16"/>
      <c r="T86" s="16"/>
      <c r="U86" s="16"/>
      <c r="V86" s="16"/>
      <c r="W86" s="16"/>
      <c r="X86" s="17"/>
      <c r="Y86" s="7"/>
      <c r="Z86" s="7"/>
    </row>
    <row r="87" spans="1:26" s="8" customFormat="1" ht="39.950000000000003" customHeight="1">
      <c r="A87" s="3"/>
      <c r="B87" s="25" t="str">
        <f>IF(NOMENCLATURE_GEN!B87="","",NOMENCLATURE_GEN!B87)</f>
        <v>SUP</v>
      </c>
      <c r="C87" s="243" t="str">
        <f>IF(NOMENCLATURE_GEN!C87="","",NOMENCLATURE_GEN!C87)</f>
        <v/>
      </c>
      <c r="D87" s="4">
        <f>IF(NOMENCLATURE_GEN!D87="","",NOMENCLATURE_GEN!D87)</f>
        <v>168</v>
      </c>
      <c r="E87" s="4" t="str">
        <f ca="1">IF(NOMENCLATURE_GEN!E87="","",NOMENCLATURE_GEN!E87)</f>
        <v>A</v>
      </c>
      <c r="F87" s="4" t="str">
        <f>IF(NOMENCLATURE_GEN!F87="","",NOMENCLATURE_GEN!F87)</f>
        <v>FMA</v>
      </c>
      <c r="G87" s="154" t="str">
        <f>IF(NOMENCLATURE_GEN!G87="","",NOMENCLATURE_GEN!G87)</f>
        <v>Guide roue des FMA</v>
      </c>
      <c r="H87" s="15" t="s">
        <v>494</v>
      </c>
      <c r="I87" s="16"/>
      <c r="J87" s="16"/>
      <c r="K87" s="16"/>
      <c r="L87" s="16" t="str">
        <f>IF(Motorisation!N87="","",Motorisation!N87)</f>
        <v/>
      </c>
      <c r="M87" s="16" t="str">
        <f>IF(Motorisation!P87="","",Motorisation!P87)</f>
        <v/>
      </c>
      <c r="N87" s="16" t="str">
        <f t="shared" si="2"/>
        <v/>
      </c>
      <c r="O87" s="16"/>
      <c r="P87" s="16"/>
      <c r="Q87" s="16"/>
      <c r="R87" s="16"/>
      <c r="S87" s="16"/>
      <c r="T87" s="16"/>
      <c r="U87" s="16"/>
      <c r="V87" s="16"/>
      <c r="W87" s="16"/>
      <c r="X87" s="17"/>
      <c r="Y87" s="7"/>
      <c r="Z87" s="7"/>
    </row>
    <row r="88" spans="1:26" s="8" customFormat="1" ht="39.950000000000003" customHeight="1">
      <c r="A88" s="3"/>
      <c r="B88" s="25" t="str">
        <f>IF(NOMENCLATURE_GEN!B88="","",NOMENCLATURE_GEN!B88)</f>
        <v>SUP</v>
      </c>
      <c r="C88" s="243" t="str">
        <f>IF(NOMENCLATURE_GEN!C88="","",NOMENCLATURE_GEN!C88)</f>
        <v/>
      </c>
      <c r="D88" s="4">
        <f>IF(NOMENCLATURE_GEN!D88="","",NOMENCLATURE_GEN!D88)</f>
        <v>169</v>
      </c>
      <c r="E88" s="4" t="str">
        <f ca="1">IF(NOMENCLATURE_GEN!E88="","",NOMENCLATURE_GEN!E88)</f>
        <v>A</v>
      </c>
      <c r="F88" s="4" t="str">
        <f>IF(NOMENCLATURE_GEN!F88="","",NOMENCLATURE_GEN!F88)</f>
        <v>FMA</v>
      </c>
      <c r="G88" s="154" t="str">
        <f>IF(NOMENCLATURE_GEN!G88="","",NOMENCLATURE_GEN!G88)</f>
        <v>Bloc roue des FMA</v>
      </c>
      <c r="H88" s="15" t="s">
        <v>494</v>
      </c>
      <c r="I88" s="16"/>
      <c r="J88" s="16"/>
      <c r="K88" s="16"/>
      <c r="L88" s="16" t="str">
        <f>IF(Motorisation!N88="","",Motorisation!N88)</f>
        <v/>
      </c>
      <c r="M88" s="16" t="str">
        <f>IF(Motorisation!P88="","",Motorisation!P88)</f>
        <v/>
      </c>
      <c r="N88" s="16" t="str">
        <f t="shared" si="2"/>
        <v/>
      </c>
      <c r="O88" s="16"/>
      <c r="P88" s="16"/>
      <c r="Q88" s="16"/>
      <c r="R88" s="16"/>
      <c r="S88" s="16"/>
      <c r="T88" s="16"/>
      <c r="U88" s="16"/>
      <c r="V88" s="16"/>
      <c r="W88" s="16"/>
      <c r="X88" s="17"/>
      <c r="Y88" s="7"/>
      <c r="Z88" s="7"/>
    </row>
    <row r="89" spans="1:26" s="8" customFormat="1" ht="39.950000000000003" customHeight="1">
      <c r="A89" s="3"/>
      <c r="B89" s="25" t="str">
        <f>IF(NOMENCLATURE_GEN!B89="","",NOMENCLATURE_GEN!B89)</f>
        <v/>
      </c>
      <c r="C89" s="243" t="str">
        <f>IF(NOMENCLATURE_GEN!C89="","",NOMENCLATURE_GEN!C89)</f>
        <v/>
      </c>
      <c r="D89" s="4">
        <f>IF(NOMENCLATURE_GEN!D89="","",NOMENCLATURE_GEN!D89)</f>
        <v>170</v>
      </c>
      <c r="E89" s="4" t="str">
        <f ca="1">IF(NOMENCLATURE_GEN!E89="","",NOMENCLATURE_GEN!E89)</f>
        <v>A</v>
      </c>
      <c r="F89" s="4" t="str">
        <f>IF(NOMENCLATURE_GEN!F89="","",NOMENCLATURE_GEN!F89)</f>
        <v>COM</v>
      </c>
      <c r="G89" s="581" t="str">
        <f>IF(NOMENCLATURE_GEN!G89="","",NOMENCLATURE_GEN!G89)</f>
        <v>Compresseur + sécheur pour nettoyage trommel</v>
      </c>
      <c r="H89" s="582">
        <v>2</v>
      </c>
      <c r="I89" s="583">
        <v>400</v>
      </c>
      <c r="J89" s="583" t="s">
        <v>521</v>
      </c>
      <c r="K89" s="583"/>
      <c r="L89" s="583" t="str">
        <f>IF(Motorisation!N89="","",Motorisation!N89)</f>
        <v/>
      </c>
      <c r="M89" s="584" t="s">
        <v>682</v>
      </c>
      <c r="N89" s="584" t="s">
        <v>10</v>
      </c>
      <c r="O89" s="584" t="s">
        <v>683</v>
      </c>
      <c r="P89" s="16"/>
      <c r="Q89" s="16"/>
      <c r="R89" s="16"/>
      <c r="S89" s="16"/>
      <c r="T89" s="16"/>
      <c r="U89" s="16"/>
      <c r="V89" s="16"/>
      <c r="W89" s="16"/>
      <c r="X89" s="17"/>
      <c r="Y89" s="7"/>
      <c r="Z89" s="7"/>
    </row>
    <row r="90" spans="1:26" s="8" customFormat="1" ht="39.950000000000003" customHeight="1">
      <c r="A90" s="3"/>
      <c r="B90" s="25" t="str">
        <f>IF(NOMENCLATURE_GEN!B90="","",NOMENCLATURE_GEN!B90)</f>
        <v/>
      </c>
      <c r="C90" s="243" t="str">
        <f>IF(NOMENCLATURE_GEN!C90="","",NOMENCLATURE_GEN!C90)</f>
        <v/>
      </c>
      <c r="D90" s="4">
        <f>IF(NOMENCLATURE_GEN!D90="","",NOMENCLATURE_GEN!D90)</f>
        <v>172</v>
      </c>
      <c r="E90" s="4" t="str">
        <f ca="1">IF(NOMENCLATURE_GEN!E90="","",NOMENCLATURE_GEN!E90)</f>
        <v>A</v>
      </c>
      <c r="F90" s="4" t="str">
        <f>IF(NOMENCLATURE_GEN!F90="","",NOMENCLATURE_GEN!F90)</f>
        <v>CBA</v>
      </c>
      <c r="G90" s="154" t="str">
        <f>IF(NOMENCLATURE_GEN!G90="","",NOMENCLATURE_GEN!G90)</f>
        <v>Convoyeur de reprise des légers 0-8mm by-pass (tampon ou métha)</v>
      </c>
      <c r="H90" s="15">
        <v>1</v>
      </c>
      <c r="I90" s="16">
        <v>400</v>
      </c>
      <c r="J90" s="16" t="s">
        <v>521</v>
      </c>
      <c r="K90" s="16"/>
      <c r="L90" s="16" t="str">
        <f>IF(Motorisation!N90="","",Motorisation!N90)</f>
        <v>OUI</v>
      </c>
      <c r="M90" s="16">
        <f>IF(Motorisation!P90="","",Motorisation!P90)</f>
        <v>7.3</v>
      </c>
      <c r="N90" s="16">
        <f t="shared" si="2"/>
        <v>7.3</v>
      </c>
      <c r="O90" s="16">
        <v>1</v>
      </c>
      <c r="P90" s="16"/>
      <c r="Q90" s="16"/>
      <c r="R90" s="16"/>
      <c r="S90" s="16"/>
      <c r="T90" s="16"/>
      <c r="U90" s="16"/>
      <c r="V90" s="16"/>
      <c r="W90" s="16"/>
      <c r="X90" s="17"/>
      <c r="Y90" s="7"/>
      <c r="Z90" s="7"/>
    </row>
    <row r="91" spans="1:26" s="8" customFormat="1" ht="39.950000000000003" customHeight="1">
      <c r="A91" s="3"/>
      <c r="B91" s="25" t="str">
        <f>IF(NOMENCLATURE_GEN!B91="","",NOMENCLATURE_GEN!B91)</f>
        <v/>
      </c>
      <c r="C91" s="243" t="str">
        <f>IF(NOMENCLATURE_GEN!C91="","",NOMENCLATURE_GEN!C91)</f>
        <v/>
      </c>
      <c r="D91" s="4">
        <f>IF(NOMENCLATURE_GEN!D91="","",NOMENCLATURE_GEN!D91)</f>
        <v>173</v>
      </c>
      <c r="E91" s="4" t="str">
        <f ca="1">IF(NOMENCLATURE_GEN!E91="","",NOMENCLATURE_GEN!E91)</f>
        <v>A</v>
      </c>
      <c r="F91" s="4" t="str">
        <f>IF(NOMENCLATURE_GEN!F91="","",NOMENCLATURE_GEN!F91)</f>
        <v>CBA</v>
      </c>
      <c r="G91" s="154" t="str">
        <f>IF(NOMENCLATURE_GEN!G91="","",NOMENCLATURE_GEN!G91)</f>
        <v>Convoyeur de transfert des légers 0-8mm vers métha</v>
      </c>
      <c r="H91" s="15">
        <v>1</v>
      </c>
      <c r="I91" s="16">
        <v>400</v>
      </c>
      <c r="J91" s="16" t="s">
        <v>521</v>
      </c>
      <c r="K91" s="16"/>
      <c r="L91" s="16" t="str">
        <f>IF(Motorisation!N91="","",Motorisation!N91)</f>
        <v>OUI</v>
      </c>
      <c r="M91" s="16">
        <f>IF(Motorisation!P91="","",Motorisation!P91)</f>
        <v>4</v>
      </c>
      <c r="N91" s="16">
        <f t="shared" si="2"/>
        <v>4</v>
      </c>
      <c r="O91" s="16">
        <v>1</v>
      </c>
      <c r="P91" s="16"/>
      <c r="Q91" s="16"/>
      <c r="R91" s="16"/>
      <c r="S91" s="16"/>
      <c r="T91" s="16"/>
      <c r="U91" s="16"/>
      <c r="V91" s="16"/>
      <c r="W91" s="16"/>
      <c r="X91" s="17"/>
      <c r="Y91" s="7"/>
      <c r="Z91" s="7"/>
    </row>
    <row r="92" spans="1:26" s="8" customFormat="1" ht="39.950000000000003" customHeight="1">
      <c r="A92" s="3"/>
      <c r="B92" s="25" t="str">
        <f>IF(NOMENCLATURE_GEN!B92="","",NOMENCLATURE_GEN!B92)</f>
        <v/>
      </c>
      <c r="C92" s="243" t="str">
        <f>IF(NOMENCLATURE_GEN!C92="","",NOMENCLATURE_GEN!C92)</f>
        <v/>
      </c>
      <c r="D92" s="4">
        <f>IF(NOMENCLATURE_GEN!D92="","",NOMENCLATURE_GEN!D92)</f>
        <v>174</v>
      </c>
      <c r="E92" s="4" t="str">
        <f ca="1">IF(NOMENCLATURE_GEN!E92="","",NOMENCLATURE_GEN!E92)</f>
        <v>A</v>
      </c>
      <c r="F92" s="4" t="str">
        <f>IF(NOMENCLATURE_GEN!F92="","",NOMENCLATURE_GEN!F92)</f>
        <v>CBA</v>
      </c>
      <c r="G92" s="154" t="str">
        <f>IF(NOMENCLATURE_GEN!G92="","",NOMENCLATURE_GEN!G92)</f>
        <v>Convoyeur de transfert vers tampon (casier de stockage ou trémie tampon)</v>
      </c>
      <c r="H92" s="15">
        <v>1</v>
      </c>
      <c r="I92" s="16">
        <v>400</v>
      </c>
      <c r="J92" s="16" t="s">
        <v>521</v>
      </c>
      <c r="K92" s="16"/>
      <c r="L92" s="16" t="str">
        <f>IF(Motorisation!N92="","",Motorisation!N92)</f>
        <v>OUI</v>
      </c>
      <c r="M92" s="16">
        <f>IF(Motorisation!P92="","",Motorisation!P92)</f>
        <v>4</v>
      </c>
      <c r="N92" s="16">
        <f t="shared" si="2"/>
        <v>4</v>
      </c>
      <c r="O92" s="16">
        <v>1</v>
      </c>
      <c r="P92" s="16"/>
      <c r="Q92" s="16"/>
      <c r="R92" s="16"/>
      <c r="S92" s="16"/>
      <c r="T92" s="16"/>
      <c r="U92" s="16"/>
      <c r="V92" s="16"/>
      <c r="W92" s="16"/>
      <c r="X92" s="17"/>
      <c r="Y92" s="7"/>
      <c r="Z92" s="7"/>
    </row>
    <row r="93" spans="1:26" s="8" customFormat="1" ht="39.950000000000003" customHeight="1">
      <c r="A93" s="3"/>
      <c r="B93" s="25" t="str">
        <f>IF(NOMENCLATURE_GEN!B93="","",NOMENCLATURE_GEN!B93)</f>
        <v/>
      </c>
      <c r="C93" s="243" t="str">
        <f>IF(NOMENCLATURE_GEN!C93="","",NOMENCLATURE_GEN!C93)</f>
        <v/>
      </c>
      <c r="D93" s="4">
        <f>IF(NOMENCLATURE_GEN!D93="","",NOMENCLATURE_GEN!D93)</f>
        <v>175</v>
      </c>
      <c r="E93" s="4" t="str">
        <f ca="1">IF(NOMENCLATURE_GEN!E93="","",NOMENCLATURE_GEN!E93)</f>
        <v>A</v>
      </c>
      <c r="F93" s="4" t="str">
        <f>IF(NOMENCLATURE_GEN!F93="","",NOMENCLATURE_GEN!F93)</f>
        <v>GLT</v>
      </c>
      <c r="G93" s="154" t="str">
        <f>IF(NOMENCLATURE_GEN!G93="","",NOMENCLATURE_GEN!G93)</f>
        <v>Goulotte by-pass (casier ou trémie tampon)</v>
      </c>
      <c r="H93" s="15">
        <v>1</v>
      </c>
      <c r="I93" s="16" t="s">
        <v>522</v>
      </c>
      <c r="J93" s="16" t="s">
        <v>521</v>
      </c>
      <c r="K93" s="16"/>
      <c r="L93" s="16" t="str">
        <f>IF(Motorisation!N93="","",Motorisation!N93)</f>
        <v/>
      </c>
      <c r="M93" s="16" t="str">
        <f>IF(Motorisation!P93="","",Motorisation!P93)</f>
        <v/>
      </c>
      <c r="N93" s="16" t="str">
        <f t="shared" si="2"/>
        <v/>
      </c>
      <c r="O93" s="16">
        <v>0.25</v>
      </c>
      <c r="P93" s="16"/>
      <c r="Q93" s="16"/>
      <c r="R93" s="16"/>
      <c r="S93" s="16"/>
      <c r="T93" s="16"/>
      <c r="U93" s="16"/>
      <c r="V93" s="16"/>
      <c r="W93" s="16"/>
      <c r="X93" s="17"/>
      <c r="Y93" s="7"/>
      <c r="Z93" s="7"/>
    </row>
    <row r="94" spans="1:26" s="8" customFormat="1" ht="39.950000000000003" customHeight="1">
      <c r="A94" s="3"/>
      <c r="B94" s="25" t="str">
        <f>IF(NOMENCLATURE_GEN!B94="","",NOMENCLATURE_GEN!B94)</f>
        <v>SUP</v>
      </c>
      <c r="C94" s="243" t="str">
        <f>IF(NOMENCLATURE_GEN!C94="","",NOMENCLATURE_GEN!C94)</f>
        <v/>
      </c>
      <c r="D94" s="4">
        <f>IF(NOMENCLATURE_GEN!D94="","",NOMENCLATURE_GEN!D94)</f>
        <v>176</v>
      </c>
      <c r="E94" s="4" t="str">
        <f ca="1">IF(NOMENCLATURE_GEN!E94="","",NOMENCLATURE_GEN!E94)</f>
        <v>A</v>
      </c>
      <c r="F94" s="4" t="str">
        <f>IF(NOMENCLATURE_GEN!F94="","",NOMENCLATURE_GEN!F94)</f>
        <v>TRE</v>
      </c>
      <c r="G94" s="154" t="str">
        <f>IF(NOMENCLATURE_GEN!G94="","",NOMENCLATURE_GEN!G94)</f>
        <v>Trémie de chargement</v>
      </c>
      <c r="H94" s="15" t="s">
        <v>494</v>
      </c>
      <c r="I94" s="16"/>
      <c r="J94" s="16"/>
      <c r="K94" s="16"/>
      <c r="L94" s="16" t="str">
        <f>IF(Motorisation!N94="","",Motorisation!N94)</f>
        <v/>
      </c>
      <c r="M94" s="16" t="str">
        <f>IF(Motorisation!P94="","",Motorisation!P94)</f>
        <v/>
      </c>
      <c r="N94" s="16" t="str">
        <f t="shared" si="2"/>
        <v/>
      </c>
      <c r="O94" s="16"/>
      <c r="P94" s="16"/>
      <c r="Q94" s="16"/>
      <c r="R94" s="16"/>
      <c r="S94" s="16"/>
      <c r="T94" s="16"/>
      <c r="U94" s="16"/>
      <c r="V94" s="16"/>
      <c r="W94" s="16"/>
      <c r="X94" s="17"/>
      <c r="Y94" s="7"/>
      <c r="Z94" s="7"/>
    </row>
    <row r="95" spans="1:26" s="8" customFormat="1" ht="39.950000000000003" customHeight="1">
      <c r="A95" s="3"/>
      <c r="B95" s="25" t="str">
        <f>IF(NOMENCLATURE_GEN!B95="","",NOMENCLATURE_GEN!B95)</f>
        <v/>
      </c>
      <c r="C95" s="243" t="str">
        <f>IF(NOMENCLATURE_GEN!C95="","",NOMENCLATURE_GEN!C95)</f>
        <v/>
      </c>
      <c r="D95" s="4">
        <f>IF(NOMENCLATURE_GEN!D95="","",NOMENCLATURE_GEN!D95)</f>
        <v>177</v>
      </c>
      <c r="E95" s="4" t="str">
        <f ca="1">IF(NOMENCLATURE_GEN!E95="","",NOMENCLATURE_GEN!E95)</f>
        <v>A</v>
      </c>
      <c r="F95" s="4" t="str">
        <f>IF(NOMENCLATURE_GEN!F95="","",NOMENCLATURE_GEN!F95)</f>
        <v>EAB</v>
      </c>
      <c r="G95" s="154" t="str">
        <f>IF(NOMENCLATURE_GEN!G95="","",NOMENCLATURE_GEN!G95)</f>
        <v>Convoyeur alimentateur</v>
      </c>
      <c r="H95" s="15">
        <v>1</v>
      </c>
      <c r="I95" s="16">
        <v>400</v>
      </c>
      <c r="J95" s="16" t="s">
        <v>521</v>
      </c>
      <c r="K95" s="16"/>
      <c r="L95" s="16" t="str">
        <f>IF(Motorisation!N95="","",Motorisation!N95)</f>
        <v>OUI</v>
      </c>
      <c r="M95" s="16">
        <f>IF(Motorisation!P95="","",Motorisation!P95)</f>
        <v>1.1000000000000001</v>
      </c>
      <c r="N95" s="16">
        <f t="shared" si="2"/>
        <v>1.1000000000000001</v>
      </c>
      <c r="O95" s="16">
        <v>1</v>
      </c>
      <c r="P95" s="16"/>
      <c r="Q95" s="16"/>
      <c r="R95" s="16"/>
      <c r="S95" s="16"/>
      <c r="T95" s="16"/>
      <c r="U95" s="16"/>
      <c r="V95" s="16"/>
      <c r="W95" s="16"/>
      <c r="X95" s="17"/>
      <c r="Y95" s="7"/>
      <c r="Z95" s="7"/>
    </row>
    <row r="96" spans="1:26" s="8" customFormat="1" ht="39.950000000000003" customHeight="1">
      <c r="A96" s="3"/>
      <c r="B96" s="25" t="str">
        <f>IF(NOMENCLATURE_GEN!B96="","",NOMENCLATURE_GEN!B96)</f>
        <v/>
      </c>
      <c r="C96" s="243" t="str">
        <f>IF(NOMENCLATURE_GEN!C96="","",NOMENCLATURE_GEN!C96)</f>
        <v/>
      </c>
      <c r="D96" s="4">
        <f>IF(NOMENCLATURE_GEN!D96="","",NOMENCLATURE_GEN!D96)</f>
        <v>177</v>
      </c>
      <c r="E96" s="4" t="str">
        <f ca="1">IF(NOMENCLATURE_GEN!E96="","",NOMENCLATURE_GEN!E96)</f>
        <v>B</v>
      </c>
      <c r="F96" s="4" t="str">
        <f>IF(NOMENCLATURE_GEN!F96="","",NOMENCLATURE_GEN!F96)</f>
        <v>GRA</v>
      </c>
      <c r="G96" s="154" t="str">
        <f>IF(NOMENCLATURE_GEN!G96="","",NOMENCLATURE_GEN!G96)</f>
        <v>Convoyeur à bande et chaines - Centrale de graissage</v>
      </c>
      <c r="H96" s="15">
        <v>1</v>
      </c>
      <c r="I96" s="16">
        <v>230</v>
      </c>
      <c r="J96" s="16" t="s">
        <v>521</v>
      </c>
      <c r="K96" s="16"/>
      <c r="L96" s="16" t="str">
        <f>IF(Motorisation!N96="","",Motorisation!N96)</f>
        <v/>
      </c>
      <c r="M96" s="16" t="str">
        <f>IF(Motorisation!P96="","",Motorisation!P96)</f>
        <v/>
      </c>
      <c r="N96" s="16" t="str">
        <f t="shared" si="2"/>
        <v/>
      </c>
      <c r="O96" s="16"/>
      <c r="P96" s="16"/>
      <c r="Q96" s="16"/>
      <c r="R96" s="16"/>
      <c r="S96" s="16"/>
      <c r="T96" s="16"/>
      <c r="U96" s="16"/>
      <c r="V96" s="16"/>
      <c r="W96" s="16"/>
      <c r="X96" s="17"/>
      <c r="Y96" s="7"/>
      <c r="Z96" s="7"/>
    </row>
    <row r="97" spans="1:26" s="8" customFormat="1" ht="39.950000000000003" customHeight="1">
      <c r="A97" s="3"/>
      <c r="B97" s="25" t="str">
        <f>IF(NOMENCLATURE_GEN!B97="","",NOMENCLATURE_GEN!B97)</f>
        <v/>
      </c>
      <c r="C97" s="243" t="str">
        <f>IF(NOMENCLATURE_GEN!C97="","",NOMENCLATURE_GEN!C97)</f>
        <v/>
      </c>
      <c r="D97" s="4">
        <f>IF(NOMENCLATURE_GEN!D97="","",NOMENCLATURE_GEN!D97)</f>
        <v>178</v>
      </c>
      <c r="E97" s="4" t="str">
        <f ca="1">IF(NOMENCLATURE_GEN!E97="","",NOMENCLATURE_GEN!E97)</f>
        <v>A</v>
      </c>
      <c r="F97" s="4" t="str">
        <f>IF(NOMENCLATURE_GEN!F97="","",NOMENCLATURE_GEN!F97)</f>
        <v>REG</v>
      </c>
      <c r="G97" s="154" t="str">
        <f>IF(NOMENCLATURE_GEN!G97="","",NOMENCLATURE_GEN!G97)</f>
        <v>Ebouleur</v>
      </c>
      <c r="H97" s="15">
        <v>1</v>
      </c>
      <c r="I97" s="16">
        <v>400</v>
      </c>
      <c r="J97" s="16" t="s">
        <v>521</v>
      </c>
      <c r="K97" s="16"/>
      <c r="L97" s="16" t="str">
        <f>IF(Motorisation!N97="","",Motorisation!N97)</f>
        <v>OUI</v>
      </c>
      <c r="M97" s="16">
        <f>IF(Motorisation!P97="","",Motorisation!P97)</f>
        <v>7.3</v>
      </c>
      <c r="N97" s="16">
        <f t="shared" si="2"/>
        <v>7.3</v>
      </c>
      <c r="O97" s="16">
        <v>0.25</v>
      </c>
      <c r="P97" s="16"/>
      <c r="Q97" s="16"/>
      <c r="R97" s="16"/>
      <c r="S97" s="16"/>
      <c r="T97" s="16"/>
      <c r="U97" s="16"/>
      <c r="V97" s="16"/>
      <c r="W97" s="16"/>
      <c r="X97" s="17"/>
      <c r="Y97" s="7"/>
      <c r="Z97" s="7"/>
    </row>
    <row r="98" spans="1:26" s="8" customFormat="1" ht="39.950000000000003" customHeight="1">
      <c r="A98" s="3"/>
      <c r="B98" s="25" t="str">
        <f>IF(NOMENCLATURE_GEN!B98="","",NOMENCLATURE_GEN!B98)</f>
        <v/>
      </c>
      <c r="C98" s="243" t="str">
        <f>IF(NOMENCLATURE_GEN!C98="","",NOMENCLATURE_GEN!C98)</f>
        <v/>
      </c>
      <c r="D98" s="4">
        <f>IF(NOMENCLATURE_GEN!D98="","",NOMENCLATURE_GEN!D98)</f>
        <v>178</v>
      </c>
      <c r="E98" s="4" t="str">
        <f ca="1">IF(NOMENCLATURE_GEN!E98="","",NOMENCLATURE_GEN!E98)</f>
        <v>B</v>
      </c>
      <c r="F98" s="4" t="str">
        <f>IF(NOMENCLATURE_GEN!F98="","",NOMENCLATURE_GEN!F98)</f>
        <v>REG</v>
      </c>
      <c r="G98" s="154" t="str">
        <f>IF(NOMENCLATURE_GEN!G98="","",NOMENCLATURE_GEN!G98)</f>
        <v>Ebouleur</v>
      </c>
      <c r="H98" s="15">
        <v>1</v>
      </c>
      <c r="I98" s="16">
        <v>400</v>
      </c>
      <c r="J98" s="16" t="s">
        <v>521</v>
      </c>
      <c r="K98" s="16"/>
      <c r="L98" s="16" t="str">
        <f>IF(Motorisation!N98="","",Motorisation!N98)</f>
        <v>OUI</v>
      </c>
      <c r="M98" s="16">
        <f>IF(Motorisation!P98="","",Motorisation!P98)</f>
        <v>7.3</v>
      </c>
      <c r="N98" s="16">
        <f t="shared" si="2"/>
        <v>7.3</v>
      </c>
      <c r="O98" s="16">
        <v>0.25</v>
      </c>
      <c r="P98" s="16"/>
      <c r="Q98" s="16"/>
      <c r="R98" s="16"/>
      <c r="S98" s="16"/>
      <c r="T98" s="16"/>
      <c r="U98" s="16"/>
      <c r="V98" s="16"/>
      <c r="W98" s="16"/>
      <c r="X98" s="17"/>
      <c r="Y98" s="7"/>
      <c r="Z98" s="7"/>
    </row>
    <row r="99" spans="1:26" s="8" customFormat="1" ht="39.950000000000003" customHeight="1">
      <c r="A99" s="3"/>
      <c r="B99" s="25" t="str">
        <f>IF(NOMENCLATURE_GEN!B99="","",NOMENCLATURE_GEN!B99)</f>
        <v/>
      </c>
      <c r="C99" s="243" t="str">
        <f>IF(NOMENCLATURE_GEN!C99="","",NOMENCLATURE_GEN!C99)</f>
        <v/>
      </c>
      <c r="D99" s="4">
        <f>IF(NOMENCLATURE_GEN!D99="","",NOMENCLATURE_GEN!D99)</f>
        <v>179</v>
      </c>
      <c r="E99" s="4" t="str">
        <f ca="1">IF(NOMENCLATURE_GEN!E99="","",NOMENCLATURE_GEN!E99)</f>
        <v>A</v>
      </c>
      <c r="F99" s="4" t="str">
        <f>IF(NOMENCLATURE_GEN!F99="","",NOMENCLATURE_GEN!F99)</f>
        <v>CBA</v>
      </c>
      <c r="G99" s="154" t="str">
        <f>IF(NOMENCLATURE_GEN!G99="","",NOMENCLATURE_GEN!G99)</f>
        <v>Convoyeur de transfert des légers 0-8mm vers métha</v>
      </c>
      <c r="H99" s="15">
        <v>1</v>
      </c>
      <c r="I99" s="16">
        <v>400</v>
      </c>
      <c r="J99" s="16" t="s">
        <v>521</v>
      </c>
      <c r="K99" s="16"/>
      <c r="L99" s="16" t="str">
        <f>IF(Motorisation!N99="","",Motorisation!N99)</f>
        <v>OUI</v>
      </c>
      <c r="M99" s="16">
        <f>IF(Motorisation!P99="","",Motorisation!P99)</f>
        <v>7.3</v>
      </c>
      <c r="N99" s="16">
        <f t="shared" si="2"/>
        <v>7.3</v>
      </c>
      <c r="O99" s="16">
        <v>1</v>
      </c>
      <c r="P99" s="16"/>
      <c r="Q99" s="16"/>
      <c r="R99" s="16"/>
      <c r="S99" s="16"/>
      <c r="T99" s="16"/>
      <c r="U99" s="16"/>
      <c r="V99" s="16"/>
      <c r="W99" s="16"/>
      <c r="X99" s="17"/>
      <c r="Y99" s="7"/>
      <c r="Z99" s="7"/>
    </row>
    <row r="100" spans="1:26" s="8" customFormat="1" ht="39.950000000000003" customHeight="1">
      <c r="A100" s="3"/>
      <c r="B100" s="25" t="str">
        <f>IF(NOMENCLATURE_GEN!B100="","",NOMENCLATURE_GEN!B100)</f>
        <v/>
      </c>
      <c r="C100" s="243" t="str">
        <f>IF(NOMENCLATURE_GEN!C100="","",NOMENCLATURE_GEN!C100)</f>
        <v/>
      </c>
      <c r="D100" s="4">
        <f>IF(NOMENCLATURE_GEN!D100="","",NOMENCLATURE_GEN!D100)</f>
        <v>180</v>
      </c>
      <c r="E100" s="4" t="str">
        <f ca="1">IF(NOMENCLATURE_GEN!E100="","",NOMENCLATURE_GEN!E100)</f>
        <v>A</v>
      </c>
      <c r="F100" s="4" t="str">
        <f>IF(NOMENCLATURE_GEN!F100="","",NOMENCLATURE_GEN!F100)</f>
        <v>CBA</v>
      </c>
      <c r="G100" s="154" t="str">
        <f>IF(NOMENCLATURE_GEN!G100="","",NOMENCLATURE_GEN!G100)</f>
        <v>Convoyeur de transfert des légers 0-8mm vers métha</v>
      </c>
      <c r="H100" s="15">
        <v>1</v>
      </c>
      <c r="I100" s="16">
        <v>400</v>
      </c>
      <c r="J100" s="16" t="s">
        <v>521</v>
      </c>
      <c r="K100" s="16"/>
      <c r="L100" s="16" t="str">
        <f>IF(Motorisation!N100="","",Motorisation!N100)</f>
        <v>OUI</v>
      </c>
      <c r="M100" s="16">
        <f>IF(Motorisation!P100="","",Motorisation!P100)</f>
        <v>4</v>
      </c>
      <c r="N100" s="16">
        <f t="shared" si="2"/>
        <v>4</v>
      </c>
      <c r="O100" s="16">
        <v>1</v>
      </c>
      <c r="P100" s="16"/>
      <c r="Q100" s="16"/>
      <c r="R100" s="16"/>
      <c r="S100" s="16"/>
      <c r="T100" s="16"/>
      <c r="U100" s="16"/>
      <c r="V100" s="16"/>
      <c r="W100" s="16"/>
      <c r="X100" s="17"/>
      <c r="Y100" s="7"/>
      <c r="Z100" s="7"/>
    </row>
    <row r="101" spans="1:26" s="8" customFormat="1" ht="39.950000000000003" customHeight="1">
      <c r="A101" s="3"/>
      <c r="B101" s="25" t="str">
        <f>IF(NOMENCLATURE_GEN!B101="","",NOMENCLATURE_GEN!B101)</f>
        <v/>
      </c>
      <c r="C101" s="243" t="str">
        <f>IF(NOMENCLATURE_GEN!C101="","",NOMENCLATURE_GEN!C101)</f>
        <v/>
      </c>
      <c r="D101" s="4">
        <f>IF(NOMENCLATURE_GEN!D101="","",NOMENCLATURE_GEN!D101)</f>
        <v>181</v>
      </c>
      <c r="E101" s="4" t="str">
        <f ca="1">IF(NOMENCLATURE_GEN!E101="","",NOMENCLATURE_GEN!E101)</f>
        <v>A</v>
      </c>
      <c r="F101" s="4" t="str">
        <f>IF(NOMENCLATURE_GEN!F101="","",NOMENCLATURE_GEN!F101)</f>
        <v>CBA</v>
      </c>
      <c r="G101" s="154" t="str">
        <f>IF(NOMENCLATURE_GEN!G101="","",NOMENCLATURE_GEN!G101)</f>
        <v>Convoyeur de transfert des légers 0-8mm vers métha</v>
      </c>
      <c r="H101" s="15">
        <v>1</v>
      </c>
      <c r="I101" s="16">
        <v>400</v>
      </c>
      <c r="J101" s="16" t="s">
        <v>521</v>
      </c>
      <c r="K101" s="16"/>
      <c r="L101" s="16" t="str">
        <f>IF(Motorisation!N101="","",Motorisation!N101)</f>
        <v>OUI</v>
      </c>
      <c r="M101" s="16">
        <f>IF(Motorisation!P101="","",Motorisation!P101)</f>
        <v>7.3</v>
      </c>
      <c r="N101" s="16">
        <f t="shared" si="2"/>
        <v>7.3</v>
      </c>
      <c r="O101" s="16">
        <v>1</v>
      </c>
      <c r="P101" s="16"/>
      <c r="Q101" s="16"/>
      <c r="R101" s="16"/>
      <c r="S101" s="16"/>
      <c r="T101" s="16"/>
      <c r="U101" s="16"/>
      <c r="V101" s="16"/>
      <c r="W101" s="16"/>
      <c r="X101" s="17"/>
      <c r="Y101" s="7"/>
      <c r="Z101" s="7"/>
    </row>
    <row r="102" spans="1:26" s="8" customFormat="1" ht="39.950000000000003" customHeight="1">
      <c r="A102" s="3"/>
      <c r="B102" s="25" t="str">
        <f>IF(NOMENCLATURE_GEN!B102="","",NOMENCLATURE_GEN!B102)</f>
        <v/>
      </c>
      <c r="C102" s="243" t="str">
        <f>IF(NOMENCLATURE_GEN!C102="","",NOMENCLATURE_GEN!C102)</f>
        <v/>
      </c>
      <c r="D102" s="4">
        <f>IF(NOMENCLATURE_GEN!D102="","",NOMENCLATURE_GEN!D102)</f>
        <v>182</v>
      </c>
      <c r="E102" s="4" t="str">
        <f ca="1">IF(NOMENCLATURE_GEN!E102="","",NOMENCLATURE_GEN!E102)</f>
        <v>A</v>
      </c>
      <c r="F102" s="4" t="str">
        <f>IF(NOMENCLATURE_GEN!F102="","",NOMENCLATURE_GEN!F102)</f>
        <v>NAV</v>
      </c>
      <c r="G102" s="154" t="str">
        <f>IF(NOMENCLATURE_GEN!G102="","",NOMENCLATURE_GEN!G102)</f>
        <v>Système navette pour convoyeur mobile remplissage REPERE 165 benne métaux</v>
      </c>
      <c r="H102" s="19">
        <v>1</v>
      </c>
      <c r="I102" s="20">
        <v>400</v>
      </c>
      <c r="J102" s="20" t="s">
        <v>521</v>
      </c>
      <c r="K102" s="20"/>
      <c r="L102" s="20" t="str">
        <f>IF(Motorisation!N102="","",Motorisation!N102)</f>
        <v>OUI</v>
      </c>
      <c r="M102" s="20">
        <f>IF(Motorisation!P102="","",Motorisation!P102)</f>
        <v>1.1200000000000001</v>
      </c>
      <c r="N102" s="20">
        <f t="shared" si="2"/>
        <v>1.1200000000000001</v>
      </c>
      <c r="O102" s="20">
        <v>0.25</v>
      </c>
      <c r="P102" s="20"/>
      <c r="Q102" s="20"/>
      <c r="R102" s="20"/>
      <c r="S102" s="20"/>
      <c r="T102" s="20"/>
      <c r="U102" s="20"/>
      <c r="V102" s="20" t="s">
        <v>495</v>
      </c>
      <c r="W102" s="20"/>
      <c r="X102" s="21"/>
      <c r="Y102" s="7"/>
      <c r="Z102" s="7"/>
    </row>
    <row r="103" spans="1:26" s="8" customFormat="1" ht="39.950000000000003" customHeight="1">
      <c r="A103" s="3"/>
      <c r="B103" s="25" t="str">
        <f>IF(NOMENCLATURE_GEN!B103="","",NOMENCLATURE_GEN!B103)</f>
        <v/>
      </c>
      <c r="C103" s="243" t="str">
        <f>IF(NOMENCLATURE_GEN!C103="","",NOMENCLATURE_GEN!C103)</f>
        <v/>
      </c>
      <c r="D103" s="4">
        <f>IF(NOMENCLATURE_GEN!D103="","",NOMENCLATURE_GEN!D103)</f>
        <v>184</v>
      </c>
      <c r="E103" s="4" t="str">
        <f ca="1">IF(NOMENCLATURE_GEN!E103="","",NOMENCLATURE_GEN!E103)</f>
        <v>A</v>
      </c>
      <c r="F103" s="4" t="str">
        <f>IF(NOMENCLATURE_GEN!F103="","",NOMENCLATURE_GEN!F103)</f>
        <v>CHA</v>
      </c>
      <c r="G103" s="154" t="str">
        <f>IF(NOMENCLATURE_GEN!G103="","",NOMENCLATURE_GEN!G103)</f>
        <v>Charpente support trommel primaire &amp; passerelle d'accès maintenance</v>
      </c>
      <c r="H103" s="19" t="s">
        <v>494</v>
      </c>
      <c r="I103" s="20"/>
      <c r="J103" s="20"/>
      <c r="K103" s="20"/>
      <c r="L103" s="20" t="str">
        <f>IF(Motorisation!N103="","",Motorisation!N103)</f>
        <v/>
      </c>
      <c r="M103" s="20" t="str">
        <f>IF(Motorisation!P103="","",Motorisation!P103)</f>
        <v/>
      </c>
      <c r="N103" s="20" t="str">
        <f t="shared" si="2"/>
        <v/>
      </c>
      <c r="O103" s="20"/>
      <c r="P103" s="20"/>
      <c r="Q103" s="20"/>
      <c r="R103" s="20"/>
      <c r="S103" s="20"/>
      <c r="T103" s="20"/>
      <c r="U103" s="20"/>
      <c r="V103" s="20"/>
      <c r="W103" s="20"/>
      <c r="X103" s="21"/>
      <c r="Y103" s="7"/>
      <c r="Z103" s="7"/>
    </row>
    <row r="104" spans="1:26" s="8" customFormat="1" ht="39.950000000000003" customHeight="1">
      <c r="A104" s="3"/>
      <c r="B104" s="25" t="str">
        <f>IF(NOMENCLATURE_GEN!B104="","",NOMENCLATURE_GEN!B104)</f>
        <v/>
      </c>
      <c r="C104" s="243" t="str">
        <f>IF(NOMENCLATURE_GEN!C104="","",NOMENCLATURE_GEN!C104)</f>
        <v/>
      </c>
      <c r="D104" s="4">
        <f>IF(NOMENCLATURE_GEN!D104="","",NOMENCLATURE_GEN!D104)</f>
        <v>185</v>
      </c>
      <c r="E104" s="4" t="str">
        <f ca="1">IF(NOMENCLATURE_GEN!E104="","",NOMENCLATURE_GEN!E104)</f>
        <v>A</v>
      </c>
      <c r="F104" s="4" t="str">
        <f>IF(NOMENCLATURE_GEN!F104="","",NOMENCLATURE_GEN!F104)</f>
        <v>CHA</v>
      </c>
      <c r="G104" s="154" t="str">
        <f>IF(NOMENCLATURE_GEN!G104="","",NOMENCLATURE_GEN!G104)</f>
        <v>Charpente support trommel secondaire &amp; passerelle d'accès maintenance</v>
      </c>
      <c r="H104" s="19" t="s">
        <v>494</v>
      </c>
      <c r="I104" s="20"/>
      <c r="J104" s="20"/>
      <c r="K104" s="20"/>
      <c r="L104" s="20" t="str">
        <f>IF(Motorisation!N104="","",Motorisation!N104)</f>
        <v/>
      </c>
      <c r="M104" s="20" t="str">
        <f>IF(Motorisation!P104="","",Motorisation!P104)</f>
        <v/>
      </c>
      <c r="N104" s="20" t="str">
        <f t="shared" si="2"/>
        <v/>
      </c>
      <c r="O104" s="20"/>
      <c r="P104" s="20"/>
      <c r="Q104" s="20"/>
      <c r="R104" s="20"/>
      <c r="S104" s="20"/>
      <c r="T104" s="20"/>
      <c r="U104" s="20"/>
      <c r="V104" s="20"/>
      <c r="W104" s="20"/>
      <c r="X104" s="21"/>
      <c r="Y104" s="7"/>
      <c r="Z104" s="7"/>
    </row>
    <row r="105" spans="1:26" s="8" customFormat="1" ht="39.950000000000003" customHeight="1">
      <c r="A105" s="3"/>
      <c r="B105" s="25" t="str">
        <f>IF(NOMENCLATURE_GEN!B105="","",NOMENCLATURE_GEN!B105)</f>
        <v/>
      </c>
      <c r="C105" s="243" t="str">
        <f>IF(NOMENCLATURE_GEN!C105="","",NOMENCLATURE_GEN!C105)</f>
        <v/>
      </c>
      <c r="D105" s="4">
        <f>IF(NOMENCLATURE_GEN!D105="","",NOMENCLATURE_GEN!D105)</f>
        <v>186</v>
      </c>
      <c r="E105" s="4" t="str">
        <f ca="1">IF(NOMENCLATURE_GEN!E105="","",NOMENCLATURE_GEN!E105)</f>
        <v>A</v>
      </c>
      <c r="F105" s="4" t="str">
        <f>IF(NOMENCLATURE_GEN!F105="","",NOMENCLATURE_GEN!F105)</f>
        <v>CHA</v>
      </c>
      <c r="G105" s="154" t="str">
        <f>IF(NOMENCLATURE_GEN!G105="","",NOMENCLATURE_GEN!G105)</f>
        <v>Plateforme accès maintenancepour les SNF</v>
      </c>
      <c r="H105" s="19" t="s">
        <v>494</v>
      </c>
      <c r="I105" s="20"/>
      <c r="J105" s="20"/>
      <c r="K105" s="20"/>
      <c r="L105" s="20" t="str">
        <f>IF(Motorisation!N105="","",Motorisation!N105)</f>
        <v/>
      </c>
      <c r="M105" s="20" t="str">
        <f>IF(Motorisation!P105="","",Motorisation!P105)</f>
        <v/>
      </c>
      <c r="N105" s="20" t="str">
        <f t="shared" si="2"/>
        <v/>
      </c>
      <c r="O105" s="20"/>
      <c r="P105" s="20"/>
      <c r="Q105" s="20"/>
      <c r="R105" s="20"/>
      <c r="S105" s="20"/>
      <c r="T105" s="20"/>
      <c r="U105" s="20"/>
      <c r="V105" s="20"/>
      <c r="W105" s="20"/>
      <c r="X105" s="21"/>
      <c r="Y105" s="7"/>
      <c r="Z105" s="7"/>
    </row>
    <row r="106" spans="1:26" s="8" customFormat="1" ht="39.950000000000003" customHeight="1">
      <c r="A106" s="3"/>
      <c r="B106" s="25" t="str">
        <f>IF(NOMENCLATURE_GEN!B106="","",NOMENCLATURE_GEN!B106)</f>
        <v/>
      </c>
      <c r="C106" s="243" t="str">
        <f>IF(NOMENCLATURE_GEN!C106="","",NOMENCLATURE_GEN!C106)</f>
        <v/>
      </c>
      <c r="D106" s="4">
        <f>IF(NOMENCLATURE_GEN!D106="","",NOMENCLATURE_GEN!D106)</f>
        <v>187</v>
      </c>
      <c r="E106" s="4" t="str">
        <f ca="1">IF(NOMENCLATURE_GEN!E106="","",NOMENCLATURE_GEN!E106)</f>
        <v>A</v>
      </c>
      <c r="F106" s="4" t="str">
        <f>IF(NOMENCLATURE_GEN!F106="","",NOMENCLATURE_GEN!F106)</f>
        <v>CHA</v>
      </c>
      <c r="G106" s="154" t="str">
        <f>IF(NOMENCLATURE_GEN!G106="","",NOMENCLATURE_GEN!G106)</f>
        <v>Charpente support pour OVB y compris goulotte inox et protection</v>
      </c>
      <c r="H106" s="19" t="s">
        <v>494</v>
      </c>
      <c r="I106" s="20"/>
      <c r="J106" s="20"/>
      <c r="K106" s="20"/>
      <c r="L106" s="20" t="str">
        <f>IF(Motorisation!N106="","",Motorisation!N106)</f>
        <v/>
      </c>
      <c r="M106" s="20" t="str">
        <f>IF(Motorisation!P106="","",Motorisation!P106)</f>
        <v/>
      </c>
      <c r="N106" s="20" t="str">
        <f t="shared" si="2"/>
        <v/>
      </c>
      <c r="O106" s="20"/>
      <c r="P106" s="20"/>
      <c r="Q106" s="20"/>
      <c r="R106" s="20"/>
      <c r="S106" s="20"/>
      <c r="T106" s="20"/>
      <c r="U106" s="20"/>
      <c r="V106" s="20"/>
      <c r="W106" s="20"/>
      <c r="X106" s="21"/>
      <c r="Y106" s="7"/>
      <c r="Z106" s="7"/>
    </row>
    <row r="107" spans="1:26" s="8" customFormat="1" ht="39.950000000000003" customHeight="1">
      <c r="A107" s="3"/>
      <c r="B107" s="25" t="str">
        <f>IF(NOMENCLATURE_GEN!B107="","",NOMENCLATURE_GEN!B107)</f>
        <v/>
      </c>
      <c r="C107" s="243" t="str">
        <f>IF(NOMENCLATURE_GEN!C107="","",NOMENCLATURE_GEN!C107)</f>
        <v/>
      </c>
      <c r="D107" s="4">
        <f>IF(NOMENCLATURE_GEN!D107="","",NOMENCLATURE_GEN!D107)</f>
        <v>188</v>
      </c>
      <c r="E107" s="4" t="str">
        <f ca="1">IF(NOMENCLATURE_GEN!E107="","",NOMENCLATURE_GEN!E107)</f>
        <v>A</v>
      </c>
      <c r="F107" s="4" t="str">
        <f>IF(NOMENCLATURE_GEN!F107="","",NOMENCLATURE_GEN!F107)</f>
        <v>CHA</v>
      </c>
      <c r="G107" s="154" t="str">
        <f>IF(NOMENCLATURE_GEN!G107="","",NOMENCLATURE_GEN!G107)</f>
        <v>Plateforme accès maintenance NIV1 pour balistiques &amp; crible trampoline</v>
      </c>
      <c r="H107" s="19" t="s">
        <v>494</v>
      </c>
      <c r="I107" s="20"/>
      <c r="J107" s="20"/>
      <c r="K107" s="20"/>
      <c r="L107" s="20" t="str">
        <f>IF(Motorisation!N107="","",Motorisation!N107)</f>
        <v/>
      </c>
      <c r="M107" s="20" t="str">
        <f>IF(Motorisation!P107="","",Motorisation!P107)</f>
        <v/>
      </c>
      <c r="N107" s="20" t="str">
        <f t="shared" si="2"/>
        <v/>
      </c>
      <c r="O107" s="20"/>
      <c r="P107" s="20"/>
      <c r="Q107" s="20"/>
      <c r="R107" s="20"/>
      <c r="S107" s="20"/>
      <c r="T107" s="20"/>
      <c r="U107" s="20"/>
      <c r="V107" s="20"/>
      <c r="W107" s="20"/>
      <c r="X107" s="21"/>
      <c r="Y107" s="7"/>
      <c r="Z107" s="7"/>
    </row>
    <row r="108" spans="1:26" s="8" customFormat="1" ht="39.950000000000003" customHeight="1">
      <c r="A108" s="3"/>
      <c r="B108" s="25" t="str">
        <f>IF(NOMENCLATURE_GEN!B108="","",NOMENCLATURE_GEN!B108)</f>
        <v/>
      </c>
      <c r="C108" s="243" t="str">
        <f>IF(NOMENCLATURE_GEN!C108="","",NOMENCLATURE_GEN!C108)</f>
        <v/>
      </c>
      <c r="D108" s="4">
        <f>IF(NOMENCLATURE_GEN!D108="","",NOMENCLATURE_GEN!D108)</f>
        <v>189</v>
      </c>
      <c r="E108" s="4" t="str">
        <f ca="1">IF(NOMENCLATURE_GEN!E108="","",NOMENCLATURE_GEN!E108)</f>
        <v>A</v>
      </c>
      <c r="F108" s="4" t="str">
        <f>IF(NOMENCLATURE_GEN!F108="","",NOMENCLATURE_GEN!F108)</f>
        <v>CHA</v>
      </c>
      <c r="G108" s="154" t="str">
        <f>IF(NOMENCLATURE_GEN!G108="","",NOMENCLATURE_GEN!G108)</f>
        <v>Plateforme accès maintenance NIV2 pour balistiques &amp; crible trampoline</v>
      </c>
      <c r="H108" s="19" t="s">
        <v>494</v>
      </c>
      <c r="I108" s="20"/>
      <c r="J108" s="20"/>
      <c r="K108" s="20"/>
      <c r="L108" s="20" t="str">
        <f>IF(Motorisation!N108="","",Motorisation!N108)</f>
        <v/>
      </c>
      <c r="M108" s="20" t="str">
        <f>IF(Motorisation!P108="","",Motorisation!P108)</f>
        <v/>
      </c>
      <c r="N108" s="20" t="str">
        <f t="shared" si="2"/>
        <v/>
      </c>
      <c r="O108" s="20"/>
      <c r="P108" s="20"/>
      <c r="Q108" s="20"/>
      <c r="R108" s="20"/>
      <c r="S108" s="20"/>
      <c r="T108" s="20"/>
      <c r="U108" s="20"/>
      <c r="V108" s="20"/>
      <c r="W108" s="20"/>
      <c r="X108" s="21"/>
      <c r="Y108" s="7"/>
      <c r="Z108" s="7"/>
    </row>
    <row r="109" spans="1:26" s="8" customFormat="1" ht="39.950000000000003" customHeight="1">
      <c r="A109" s="3"/>
      <c r="B109" s="25" t="str">
        <f>IF(NOMENCLATURE_GEN!B109="","",NOMENCLATURE_GEN!B109)</f>
        <v/>
      </c>
      <c r="C109" s="243" t="str">
        <f>IF(NOMENCLATURE_GEN!C109="","",NOMENCLATURE_GEN!C109)</f>
        <v/>
      </c>
      <c r="D109" s="4">
        <f>IF(NOMENCLATURE_GEN!D109="","",NOMENCLATURE_GEN!D109)</f>
        <v>190</v>
      </c>
      <c r="E109" s="4" t="str">
        <f ca="1">IF(NOMENCLATURE_GEN!E109="","",NOMENCLATURE_GEN!E109)</f>
        <v>A</v>
      </c>
      <c r="F109" s="4" t="str">
        <f>IF(NOMENCLATURE_GEN!F109="","",NOMENCLATURE_GEN!F109)</f>
        <v>CHA</v>
      </c>
      <c r="G109" s="154" t="str">
        <f>IF(NOMENCLATURE_GEN!G109="","",NOMENCLATURE_GEN!G109)</f>
        <v>Plateforme accès maintenance pour crible trampoline + charpente</v>
      </c>
      <c r="H109" s="19" t="s">
        <v>494</v>
      </c>
      <c r="I109" s="20"/>
      <c r="J109" s="20"/>
      <c r="K109" s="20"/>
      <c r="L109" s="20" t="str">
        <f>IF(Motorisation!N109="","",Motorisation!N109)</f>
        <v/>
      </c>
      <c r="M109" s="20" t="str">
        <f>IF(Motorisation!P109="","",Motorisation!P109)</f>
        <v/>
      </c>
      <c r="N109" s="20" t="str">
        <f t="shared" si="2"/>
        <v/>
      </c>
      <c r="O109" s="20"/>
      <c r="P109" s="20"/>
      <c r="Q109" s="20"/>
      <c r="R109" s="20"/>
      <c r="S109" s="20"/>
      <c r="T109" s="20"/>
      <c r="U109" s="20"/>
      <c r="V109" s="20"/>
      <c r="W109" s="20"/>
      <c r="X109" s="21"/>
      <c r="Y109" s="7"/>
      <c r="Z109" s="7"/>
    </row>
    <row r="110" spans="1:26" s="8" customFormat="1" ht="39.950000000000003" customHeight="1">
      <c r="A110" s="3"/>
      <c r="B110" s="25" t="str">
        <f>IF(NOMENCLATURE_GEN!B110="","",NOMENCLATURE_GEN!B110)</f>
        <v/>
      </c>
      <c r="C110" s="243" t="str">
        <f>IF(NOMENCLATURE_GEN!C110="","",NOMENCLATURE_GEN!C110)</f>
        <v/>
      </c>
      <c r="D110" s="4">
        <f>IF(NOMENCLATURE_GEN!D110="","",NOMENCLATURE_GEN!D110)</f>
        <v>191</v>
      </c>
      <c r="E110" s="4" t="str">
        <f ca="1">IF(NOMENCLATURE_GEN!E110="","",NOMENCLATURE_GEN!E110)</f>
        <v>A</v>
      </c>
      <c r="F110" s="4" t="str">
        <f>IF(NOMENCLATURE_GEN!F110="","",NOMENCLATURE_GEN!F110)</f>
        <v>CHA</v>
      </c>
      <c r="G110" s="154" t="str">
        <f>IF(NOMENCLATURE_GEN!G110="","",NOMENCLATURE_GEN!G110)</f>
        <v>Plateforme accès maintenance table TF &amp; cyclone</v>
      </c>
      <c r="H110" s="19" t="s">
        <v>494</v>
      </c>
      <c r="I110" s="20"/>
      <c r="J110" s="20"/>
      <c r="K110" s="20"/>
      <c r="L110" s="20" t="str">
        <f>IF(Motorisation!N110="","",Motorisation!N110)</f>
        <v/>
      </c>
      <c r="M110" s="20" t="str">
        <f>IF(Motorisation!P110="","",Motorisation!P110)</f>
        <v/>
      </c>
      <c r="N110" s="20" t="str">
        <f t="shared" si="2"/>
        <v/>
      </c>
      <c r="O110" s="20"/>
      <c r="P110" s="20"/>
      <c r="Q110" s="20"/>
      <c r="R110" s="20"/>
      <c r="S110" s="20"/>
      <c r="T110" s="20"/>
      <c r="U110" s="20"/>
      <c r="V110" s="20"/>
      <c r="W110" s="20"/>
      <c r="X110" s="21"/>
      <c r="Y110" s="7"/>
      <c r="Z110" s="7"/>
    </row>
    <row r="111" spans="1:26" s="8" customFormat="1" ht="39.950000000000003" customHeight="1">
      <c r="A111" s="3"/>
      <c r="B111" s="25" t="str">
        <f>IF(NOMENCLATURE_GEN!B111="","",NOMENCLATURE_GEN!B111)</f>
        <v/>
      </c>
      <c r="C111" s="243" t="str">
        <f>IF(NOMENCLATURE_GEN!C111="","",NOMENCLATURE_GEN!C111)</f>
        <v/>
      </c>
      <c r="D111" s="4">
        <f>IF(NOMENCLATURE_GEN!D111="","",NOMENCLATURE_GEN!D111)</f>
        <v>192</v>
      </c>
      <c r="E111" s="4" t="str">
        <f ca="1">IF(NOMENCLATURE_GEN!E111="","",NOMENCLATURE_GEN!E111)</f>
        <v>A</v>
      </c>
      <c r="F111" s="4" t="str">
        <f>IF(NOMENCLATURE_GEN!F111="","",NOMENCLATURE_GEN!F111)</f>
        <v>CHA</v>
      </c>
      <c r="G111" s="154" t="str">
        <f>IF(NOMENCLATURE_GEN!G111="","",NOMENCLATURE_GEN!G111)</f>
        <v>Ensemble des passerelles d'accès maintenance tête &amp; pied CVY</v>
      </c>
      <c r="H111" s="19" t="s">
        <v>494</v>
      </c>
      <c r="I111" s="20"/>
      <c r="J111" s="20"/>
      <c r="K111" s="20"/>
      <c r="L111" s="20" t="str">
        <f>IF(Motorisation!N111="","",Motorisation!N111)</f>
        <v/>
      </c>
      <c r="M111" s="20" t="str">
        <f>IF(Motorisation!P111="","",Motorisation!P111)</f>
        <v/>
      </c>
      <c r="N111" s="20" t="str">
        <f t="shared" si="2"/>
        <v/>
      </c>
      <c r="O111" s="20"/>
      <c r="P111" s="20"/>
      <c r="Q111" s="20"/>
      <c r="R111" s="20"/>
      <c r="S111" s="20"/>
      <c r="T111" s="20"/>
      <c r="U111" s="20"/>
      <c r="V111" s="20"/>
      <c r="W111" s="20"/>
      <c r="X111" s="21"/>
      <c r="Y111" s="7"/>
      <c r="Z111" s="7"/>
    </row>
    <row r="112" spans="1:26" s="8" customFormat="1" ht="39.950000000000003" customHeight="1">
      <c r="A112" s="3"/>
      <c r="B112" s="25" t="str">
        <f>IF(NOMENCLATURE_GEN!B112="","",NOMENCLATURE_GEN!B112)</f>
        <v/>
      </c>
      <c r="C112" s="243" t="str">
        <f>IF(NOMENCLATURE_GEN!C112="","",NOMENCLATURE_GEN!C112)</f>
        <v/>
      </c>
      <c r="D112" s="4">
        <f>IF(NOMENCLATURE_GEN!D112="","",NOMENCLATURE_GEN!D112)</f>
        <v>193</v>
      </c>
      <c r="E112" s="4" t="str">
        <f ca="1">IF(NOMENCLATURE_GEN!E112="","",NOMENCLATURE_GEN!E112)</f>
        <v>A</v>
      </c>
      <c r="F112" s="4" t="str">
        <f>IF(NOMENCLATURE_GEN!F112="","",NOMENCLATURE_GEN!F112)</f>
        <v>CHA</v>
      </c>
      <c r="G112" s="154" t="str">
        <f>IF(NOMENCLATURE_GEN!G112="","",NOMENCLATURE_GEN!G112)</f>
        <v>Ensemble des passerelles de liaison</v>
      </c>
      <c r="H112" s="19" t="s">
        <v>494</v>
      </c>
      <c r="I112" s="20"/>
      <c r="J112" s="20"/>
      <c r="K112" s="20"/>
      <c r="L112" s="20" t="str">
        <f>IF(Motorisation!N112="","",Motorisation!N112)</f>
        <v/>
      </c>
      <c r="M112" s="20" t="str">
        <f>IF(Motorisation!P112="","",Motorisation!P112)</f>
        <v/>
      </c>
      <c r="N112" s="20" t="str">
        <f t="shared" si="2"/>
        <v/>
      </c>
      <c r="O112" s="20"/>
      <c r="P112" s="20"/>
      <c r="Q112" s="20"/>
      <c r="R112" s="20"/>
      <c r="S112" s="20"/>
      <c r="T112" s="20"/>
      <c r="U112" s="20"/>
      <c r="V112" s="20"/>
      <c r="W112" s="20"/>
      <c r="X112" s="21"/>
      <c r="Y112" s="7"/>
      <c r="Z112" s="7"/>
    </row>
    <row r="113" spans="1:26" s="8" customFormat="1" ht="39.950000000000003" customHeight="1">
      <c r="A113" s="3"/>
      <c r="B113" s="25" t="str">
        <f>IF(NOMENCLATURE_GEN!B113="","",NOMENCLATURE_GEN!B113)</f>
        <v/>
      </c>
      <c r="C113" s="243" t="str">
        <f>IF(NOMENCLATURE_GEN!C113="","",NOMENCLATURE_GEN!C113)</f>
        <v/>
      </c>
      <c r="D113" s="4">
        <f>IF(NOMENCLATURE_GEN!D113="","",NOMENCLATURE_GEN!D113)</f>
        <v>194</v>
      </c>
      <c r="E113" s="4" t="str">
        <f ca="1">IF(NOMENCLATURE_GEN!E113="","",NOMENCLATURE_GEN!E113)</f>
        <v>A</v>
      </c>
      <c r="F113" s="4" t="str">
        <f>IF(NOMENCLATURE_GEN!F113="","",NOMENCLATURE_GEN!F113)</f>
        <v>CHA</v>
      </c>
      <c r="G113" s="154" t="str">
        <f>IF(NOMENCLATURE_GEN!G113="","",NOMENCLATURE_GEN!G113)</f>
        <v>Ensemble des escaliers d'accès maintenance</v>
      </c>
      <c r="H113" s="19" t="s">
        <v>494</v>
      </c>
      <c r="I113" s="20"/>
      <c r="J113" s="20"/>
      <c r="K113" s="20"/>
      <c r="L113" s="20" t="str">
        <f>IF(Motorisation!N113="","",Motorisation!N113)</f>
        <v/>
      </c>
      <c r="M113" s="20" t="str">
        <f>IF(Motorisation!P113="","",Motorisation!P113)</f>
        <v/>
      </c>
      <c r="N113" s="20" t="str">
        <f t="shared" si="2"/>
        <v/>
      </c>
      <c r="O113" s="20"/>
      <c r="P113" s="20"/>
      <c r="Q113" s="20"/>
      <c r="R113" s="20"/>
      <c r="S113" s="20"/>
      <c r="T113" s="20"/>
      <c r="U113" s="20"/>
      <c r="V113" s="20"/>
      <c r="W113" s="20"/>
      <c r="X113" s="21"/>
      <c r="Y113" s="7"/>
      <c r="Z113" s="7"/>
    </row>
    <row r="114" spans="1:26" s="8" customFormat="1" ht="39.950000000000003" customHeight="1">
      <c r="A114" s="3"/>
      <c r="B114" s="25" t="str">
        <f>IF(NOMENCLATURE_GEN!B114="","",NOMENCLATURE_GEN!B114)</f>
        <v/>
      </c>
      <c r="C114" s="243" t="str">
        <f>IF(NOMENCLATURE_GEN!C114="","",NOMENCLATURE_GEN!C114)</f>
        <v/>
      </c>
      <c r="D114" s="4">
        <f>IF(NOMENCLATURE_GEN!D114="","",NOMENCLATURE_GEN!D114)</f>
        <v>195</v>
      </c>
      <c r="E114" s="4" t="str">
        <f ca="1">IF(NOMENCLATURE_GEN!E114="","",NOMENCLATURE_GEN!E114)</f>
        <v>A</v>
      </c>
      <c r="F114" s="4" t="str">
        <f>IF(NOMENCLATURE_GEN!F114="","",NOMENCLATURE_GEN!F114)</f>
        <v>CHA</v>
      </c>
      <c r="G114" s="154" t="str">
        <f>IF(NOMENCLATURE_GEN!G114="","",NOMENCLATURE_GEN!G114)</f>
        <v>Ensemble des potences et rails de maintenance + 2 portiques</v>
      </c>
      <c r="H114" s="19" t="s">
        <v>494</v>
      </c>
      <c r="I114" s="20"/>
      <c r="J114" s="20"/>
      <c r="K114" s="20"/>
      <c r="L114" s="20" t="str">
        <f>IF(Motorisation!N114="","",Motorisation!N114)</f>
        <v/>
      </c>
      <c r="M114" s="20" t="str">
        <f>IF(Motorisation!P114="","",Motorisation!P114)</f>
        <v/>
      </c>
      <c r="N114" s="20" t="str">
        <f t="shared" si="2"/>
        <v/>
      </c>
      <c r="O114" s="20"/>
      <c r="P114" s="20"/>
      <c r="Q114" s="20"/>
      <c r="R114" s="20"/>
      <c r="S114" s="20"/>
      <c r="T114" s="20"/>
      <c r="U114" s="20"/>
      <c r="V114" s="20"/>
      <c r="W114" s="20"/>
      <c r="X114" s="21"/>
      <c r="Y114" s="7"/>
      <c r="Z114" s="7"/>
    </row>
    <row r="115" spans="1:26" s="8" customFormat="1" ht="39.950000000000003" customHeight="1">
      <c r="A115" s="3"/>
      <c r="B115" s="25" t="str">
        <f>IF(NOMENCLATURE_GEN!B115="","",NOMENCLATURE_GEN!B115)</f>
        <v/>
      </c>
      <c r="C115" s="243" t="str">
        <f>IF(NOMENCLATURE_GEN!C115="","",NOMENCLATURE_GEN!C115)</f>
        <v/>
      </c>
      <c r="D115" s="4">
        <f>IF(NOMENCLATURE_GEN!D115="","",NOMENCLATURE_GEN!D115)</f>
        <v>196</v>
      </c>
      <c r="E115" s="4" t="str">
        <f ca="1">IF(NOMENCLATURE_GEN!E115="","",NOMENCLATURE_GEN!E115)</f>
        <v>A</v>
      </c>
      <c r="F115" s="4" t="str">
        <f>IF(NOMENCLATURE_GEN!F115="","",NOMENCLATURE_GEN!F115)</f>
        <v>CHA</v>
      </c>
      <c r="G115" s="154" t="str">
        <f>IF(NOMENCLATURE_GEN!G115="","",NOMENCLATURE_GEN!G115)</f>
        <v>Ensemble passerelles et rails pour convoyeur navettes refus légers</v>
      </c>
      <c r="H115" s="19" t="s">
        <v>494</v>
      </c>
      <c r="I115" s="20"/>
      <c r="J115" s="20"/>
      <c r="K115" s="20"/>
      <c r="L115" s="20" t="str">
        <f>IF(Motorisation!N115="","",Motorisation!N115)</f>
        <v/>
      </c>
      <c r="M115" s="20" t="str">
        <f>IF(Motorisation!P115="","",Motorisation!P115)</f>
        <v/>
      </c>
      <c r="N115" s="20" t="str">
        <f t="shared" si="2"/>
        <v/>
      </c>
      <c r="O115" s="20"/>
      <c r="P115" s="20"/>
      <c r="Q115" s="20"/>
      <c r="R115" s="20"/>
      <c r="S115" s="20"/>
      <c r="T115" s="20"/>
      <c r="U115" s="20"/>
      <c r="V115" s="20"/>
      <c r="W115" s="20"/>
      <c r="X115" s="21"/>
      <c r="Y115" s="7"/>
      <c r="Z115" s="7"/>
    </row>
    <row r="116" spans="1:26" s="8" customFormat="1" ht="39.950000000000003" customHeight="1">
      <c r="A116" s="3"/>
      <c r="B116" s="25" t="str">
        <f>IF(NOMENCLATURE_GEN!B116="","",NOMENCLATURE_GEN!B116)</f>
        <v/>
      </c>
      <c r="C116" s="243" t="str">
        <f>IF(NOMENCLATURE_GEN!C116="","",NOMENCLATURE_GEN!C116)</f>
        <v/>
      </c>
      <c r="D116" s="4">
        <f>IF(NOMENCLATURE_GEN!D116="","",NOMENCLATURE_GEN!D116)</f>
        <v>197</v>
      </c>
      <c r="E116" s="4" t="str">
        <f ca="1">IF(NOMENCLATURE_GEN!E116="","",NOMENCLATURE_GEN!E116)</f>
        <v>A</v>
      </c>
      <c r="F116" s="4" t="str">
        <f>IF(NOMENCLATURE_GEN!F116="","",NOMENCLATURE_GEN!F116)</f>
        <v>CHA</v>
      </c>
      <c r="G116" s="154" t="str">
        <f>IF(NOMENCLATURE_GEN!G116="","",NOMENCLATURE_GEN!G116)</f>
        <v>Ensemble passerelles et rails pour convoyeurs navettes métaux</v>
      </c>
      <c r="H116" s="19" t="s">
        <v>494</v>
      </c>
      <c r="I116" s="20"/>
      <c r="J116" s="20"/>
      <c r="K116" s="20"/>
      <c r="L116" s="20" t="str">
        <f>IF(Motorisation!N116="","",Motorisation!N116)</f>
        <v/>
      </c>
      <c r="M116" s="20" t="str">
        <f>IF(Motorisation!P116="","",Motorisation!P116)</f>
        <v/>
      </c>
      <c r="N116" s="20" t="str">
        <f t="shared" si="2"/>
        <v/>
      </c>
      <c r="O116" s="20"/>
      <c r="P116" s="20"/>
      <c r="Q116" s="20"/>
      <c r="R116" s="20"/>
      <c r="S116" s="20"/>
      <c r="T116" s="20"/>
      <c r="U116" s="20"/>
      <c r="V116" s="20"/>
      <c r="W116" s="20"/>
      <c r="X116" s="21"/>
      <c r="Y116" s="7"/>
      <c r="Z116" s="7"/>
    </row>
    <row r="117" spans="1:26" s="8" customFormat="1" ht="39.950000000000003" customHeight="1">
      <c r="A117" s="3"/>
      <c r="B117" s="25" t="str">
        <f>IF(NOMENCLATURE_GEN!B117="","",NOMENCLATURE_GEN!B117)</f>
        <v/>
      </c>
      <c r="C117" s="243" t="str">
        <f>IF(NOMENCLATURE_GEN!C117="","",NOMENCLATURE_GEN!C117)</f>
        <v/>
      </c>
      <c r="D117" s="4">
        <f>IF(NOMENCLATURE_GEN!D117="","",NOMENCLATURE_GEN!D117)</f>
        <v>199</v>
      </c>
      <c r="E117" s="4" t="str">
        <f ca="1">IF(NOMENCLATURE_GEN!E117="","",NOMENCLATURE_GEN!E117)</f>
        <v>A</v>
      </c>
      <c r="F117" s="4" t="str">
        <f>IF(NOMENCLATURE_GEN!F117="","",NOMENCLATURE_GEN!F117)</f>
        <v>BRO</v>
      </c>
      <c r="G117" s="154" t="str">
        <f>IF(NOMENCLATURE_GEN!G117="","",NOMENCLATURE_GEN!G117)</f>
        <v>Broyeur pour métaux 30-180mm</v>
      </c>
      <c r="H117" s="19">
        <v>1</v>
      </c>
      <c r="I117" s="20">
        <v>400</v>
      </c>
      <c r="J117" s="20" t="s">
        <v>521</v>
      </c>
      <c r="K117" s="20"/>
      <c r="L117" s="580" t="s">
        <v>495</v>
      </c>
      <c r="M117" s="20">
        <v>75</v>
      </c>
      <c r="N117" s="20">
        <f t="shared" si="2"/>
        <v>75</v>
      </c>
      <c r="O117" s="20">
        <v>1</v>
      </c>
      <c r="P117" s="20"/>
      <c r="Q117" s="20"/>
      <c r="R117" s="20"/>
      <c r="S117" s="20"/>
      <c r="T117" s="20"/>
      <c r="U117" s="20"/>
      <c r="V117" s="20"/>
      <c r="W117" s="20"/>
      <c r="X117" s="21"/>
      <c r="Y117" s="7"/>
      <c r="Z117" s="7"/>
    </row>
    <row r="118" spans="1:26" s="8" customFormat="1" ht="39.950000000000003" customHeight="1">
      <c r="A118" s="3"/>
      <c r="B118" s="25" t="str">
        <f>IF(NOMENCLATURE_GEN!B118="","",NOMENCLATURE_GEN!B118)</f>
        <v/>
      </c>
      <c r="C118" s="243" t="str">
        <f>IF(NOMENCLATURE_GEN!C118="","",NOMENCLATURE_GEN!C118)</f>
        <v/>
      </c>
      <c r="D118" s="4">
        <f>IF(NOMENCLATURE_GEN!D118="","",NOMENCLATURE_GEN!D118)</f>
        <v>200</v>
      </c>
      <c r="E118" s="4" t="str">
        <f ca="1">IF(NOMENCLATURE_GEN!E118="","",NOMENCLATURE_GEN!E118)</f>
        <v>A</v>
      </c>
      <c r="F118" s="4" t="str">
        <f>IF(NOMENCLATURE_GEN!F118="","",NOMENCLATURE_GEN!F118)</f>
        <v>TBE</v>
      </c>
      <c r="G118" s="154" t="str">
        <f>IF(NOMENCLATURE_GEN!G118="","",NOMENCLATURE_GEN!G118)</f>
        <v>Convoyeur de reprise sous broyeur des aciers 30-180mm</v>
      </c>
      <c r="H118" s="19">
        <v>1</v>
      </c>
      <c r="I118" s="20">
        <v>400</v>
      </c>
      <c r="J118" s="20" t="s">
        <v>521</v>
      </c>
      <c r="K118" s="20"/>
      <c r="L118" s="20" t="str">
        <f>IF(Motorisation!N118="","",Motorisation!N118)</f>
        <v>OUI</v>
      </c>
      <c r="M118" s="20">
        <f>IF(Motorisation!P118="","",Motorisation!P118)</f>
        <v>2.9</v>
      </c>
      <c r="N118" s="20">
        <f t="shared" si="2"/>
        <v>2.9</v>
      </c>
      <c r="O118" s="20">
        <v>1</v>
      </c>
      <c r="P118" s="20"/>
      <c r="Q118" s="20"/>
      <c r="R118" s="20"/>
      <c r="S118" s="20"/>
      <c r="T118" s="20"/>
      <c r="U118" s="20"/>
      <c r="V118" s="20"/>
      <c r="W118" s="20"/>
      <c r="X118" s="21"/>
      <c r="Y118" s="7"/>
      <c r="Z118" s="7"/>
    </row>
    <row r="119" spans="1:26" s="8" customFormat="1" ht="39.950000000000003" customHeight="1">
      <c r="A119" s="3"/>
      <c r="B119" s="25" t="str">
        <f>IF(NOMENCLATURE_GEN!B119="","",NOMENCLATURE_GEN!B119)</f>
        <v/>
      </c>
      <c r="C119" s="243" t="str">
        <f>IF(NOMENCLATURE_GEN!C119="","",NOMENCLATURE_GEN!C119)</f>
        <v/>
      </c>
      <c r="D119" s="4">
        <f>IF(NOMENCLATURE_GEN!D119="","",NOMENCLATURE_GEN!D119)</f>
        <v>201</v>
      </c>
      <c r="E119" s="4" t="str">
        <f ca="1">IF(NOMENCLATURE_GEN!E119="","",NOMENCLATURE_GEN!E119)</f>
        <v>A</v>
      </c>
      <c r="F119" s="4" t="str">
        <f>IF(NOMENCLATURE_GEN!F119="","",NOMENCLATURE_GEN!F119)</f>
        <v>TBE</v>
      </c>
      <c r="G119" s="154" t="str">
        <f>IF(NOMENCLATURE_GEN!G119="","",NOMENCLATURE_GEN!G119)</f>
        <v>Convoyeur de transfert des aciers 30-180mm vers OVB</v>
      </c>
      <c r="H119" s="19">
        <v>1</v>
      </c>
      <c r="I119" s="20">
        <v>400</v>
      </c>
      <c r="J119" s="20" t="s">
        <v>521</v>
      </c>
      <c r="K119" s="20"/>
      <c r="L119" s="20" t="str">
        <f>IF(Motorisation!N119="","",Motorisation!N119)</f>
        <v>OUI</v>
      </c>
      <c r="M119" s="20">
        <f>IF(Motorisation!P119="","",Motorisation!P119)</f>
        <v>2.9</v>
      </c>
      <c r="N119" s="20">
        <f t="shared" si="2"/>
        <v>2.9</v>
      </c>
      <c r="O119" s="20">
        <v>1</v>
      </c>
      <c r="P119" s="20"/>
      <c r="Q119" s="20"/>
      <c r="R119" s="20"/>
      <c r="S119" s="20"/>
      <c r="T119" s="20"/>
      <c r="U119" s="20"/>
      <c r="V119" s="20"/>
      <c r="W119" s="20"/>
      <c r="X119" s="21"/>
      <c r="Y119" s="7"/>
      <c r="Z119" s="7"/>
    </row>
    <row r="120" spans="1:26" s="8" customFormat="1" ht="39.950000000000003" customHeight="1">
      <c r="A120" s="3"/>
      <c r="B120" s="25" t="str">
        <f>IF(NOMENCLATURE_GEN!B120="","",NOMENCLATURE_GEN!B120)</f>
        <v/>
      </c>
      <c r="C120" s="243" t="str">
        <f>IF(NOMENCLATURE_GEN!C120="","",NOMENCLATURE_GEN!C120)</f>
        <v/>
      </c>
      <c r="D120" s="4">
        <f>IF(NOMENCLATURE_GEN!D120="","",NOMENCLATURE_GEN!D120)</f>
        <v>202</v>
      </c>
      <c r="E120" s="4" t="str">
        <f ca="1">IF(NOMENCLATURE_GEN!E120="","",NOMENCLATURE_GEN!E120)</f>
        <v>A</v>
      </c>
      <c r="F120" s="4" t="str">
        <f>IF(NOMENCLATURE_GEN!F120="","",NOMENCLATURE_GEN!F120)</f>
        <v>TBE</v>
      </c>
      <c r="G120" s="154" t="str">
        <f>IF(NOMENCLATURE_GEN!G120="","",NOMENCLATURE_GEN!G120)</f>
        <v>Convoyeur d'alimentation du séparateur de ferreux</v>
      </c>
      <c r="H120" s="19">
        <v>1</v>
      </c>
      <c r="I120" s="20">
        <v>400</v>
      </c>
      <c r="J120" s="20" t="s">
        <v>521</v>
      </c>
      <c r="K120" s="20"/>
      <c r="L120" s="20" t="str">
        <f>IF(Motorisation!N120="","",Motorisation!N120)</f>
        <v>OUI</v>
      </c>
      <c r="M120" s="20">
        <f>IF(Motorisation!P120="","",Motorisation!P120)</f>
        <v>2.9</v>
      </c>
      <c r="N120" s="20">
        <f t="shared" si="2"/>
        <v>2.9</v>
      </c>
      <c r="O120" s="20">
        <v>1</v>
      </c>
      <c r="P120" s="20"/>
      <c r="Q120" s="20"/>
      <c r="R120" s="20"/>
      <c r="S120" s="20"/>
      <c r="T120" s="20"/>
      <c r="U120" s="20"/>
      <c r="V120" s="20"/>
      <c r="W120" s="20"/>
      <c r="X120" s="21"/>
      <c r="Y120" s="7"/>
      <c r="Z120" s="7"/>
    </row>
    <row r="121" spans="1:26" s="8" customFormat="1" ht="39.950000000000003" customHeight="1">
      <c r="A121" s="3"/>
      <c r="B121" s="25" t="str">
        <f>IF(NOMENCLATURE_GEN!B121="","",NOMENCLATURE_GEN!B121)</f>
        <v/>
      </c>
      <c r="C121" s="243" t="str">
        <f>IF(NOMENCLATURE_GEN!C121="","",NOMENCLATURE_GEN!C121)</f>
        <v/>
      </c>
      <c r="D121" s="4">
        <f>IF(NOMENCLATURE_GEN!D121="","",NOMENCLATURE_GEN!D121)</f>
        <v>203</v>
      </c>
      <c r="E121" s="4" t="str">
        <f ca="1">IF(NOMENCLATURE_GEN!E121="","",NOMENCLATURE_GEN!E121)</f>
        <v>A</v>
      </c>
      <c r="F121" s="4" t="str">
        <f>IF(NOMENCLATURE_GEN!F121="","",NOMENCLATURE_GEN!F121)</f>
        <v>OVB</v>
      </c>
      <c r="G121" s="154" t="str">
        <f>IF(NOMENCLATURE_GEN!G121="","",NOMENCLATURE_GEN!G121)</f>
        <v>Séparateur magnétique à aimant permament</v>
      </c>
      <c r="H121" s="19">
        <v>1</v>
      </c>
      <c r="I121" s="20">
        <v>400</v>
      </c>
      <c r="J121" s="20" t="s">
        <v>521</v>
      </c>
      <c r="K121" s="16" t="s">
        <v>524</v>
      </c>
      <c r="L121" s="10" t="s">
        <v>681</v>
      </c>
      <c r="M121" s="16">
        <v>1.5</v>
      </c>
      <c r="N121" s="16">
        <f t="shared" si="2"/>
        <v>1.5</v>
      </c>
      <c r="O121" s="20">
        <v>1</v>
      </c>
      <c r="P121" s="20"/>
      <c r="Q121" s="20"/>
      <c r="R121" s="20"/>
      <c r="S121" s="20"/>
      <c r="T121" s="20"/>
      <c r="U121" s="20"/>
      <c r="V121" s="20"/>
      <c r="W121" s="20"/>
      <c r="X121" s="21"/>
      <c r="Y121" s="7"/>
      <c r="Z121" s="7"/>
    </row>
    <row r="122" spans="1:26" s="8" customFormat="1" ht="39.950000000000003" customHeight="1">
      <c r="A122" s="3"/>
      <c r="B122" s="25" t="str">
        <f>IF(NOMENCLATURE_GEN!B122="","",NOMENCLATURE_GEN!B122)</f>
        <v/>
      </c>
      <c r="C122" s="243" t="str">
        <f>IF(NOMENCLATURE_GEN!C122="","",NOMENCLATURE_GEN!C122)</f>
        <v/>
      </c>
      <c r="D122" s="4">
        <f>IF(NOMENCLATURE_GEN!D122="","",NOMENCLATURE_GEN!D122)</f>
        <v>203</v>
      </c>
      <c r="E122" s="4" t="str">
        <f ca="1">IF(NOMENCLATURE_GEN!E122="","",NOMENCLATURE_GEN!E122)</f>
        <v>B</v>
      </c>
      <c r="F122" s="4" t="str">
        <f>IF(NOMENCLATURE_GEN!F122="","",NOMENCLATURE_GEN!F122)</f>
        <v>GLT</v>
      </c>
      <c r="G122" s="154" t="str">
        <f>IF(NOMENCLATURE_GEN!G122="","",NOMENCLATURE_GEN!G122)</f>
        <v>GOULOTTE AVEC VERIN</v>
      </c>
      <c r="H122" s="19">
        <v>1</v>
      </c>
      <c r="I122" s="580" t="s">
        <v>522</v>
      </c>
      <c r="J122" s="20" t="s">
        <v>521</v>
      </c>
      <c r="K122" s="20"/>
      <c r="L122" s="20" t="str">
        <f>IF(Motorisation!N122="","",Motorisation!N122)</f>
        <v/>
      </c>
      <c r="M122" s="20" t="str">
        <f>IF(Motorisation!P122="","",Motorisation!P122)</f>
        <v/>
      </c>
      <c r="N122" s="20" t="str">
        <f t="shared" ref="N122" si="3">IF(M122="","",M122*H122)</f>
        <v/>
      </c>
      <c r="O122" s="20"/>
      <c r="P122" s="20"/>
      <c r="Q122" s="20"/>
      <c r="R122" s="20"/>
      <c r="S122" s="20"/>
      <c r="T122" s="20"/>
      <c r="U122" s="20"/>
      <c r="V122" s="20"/>
      <c r="W122" s="20"/>
      <c r="X122" s="21"/>
      <c r="Y122" s="7"/>
      <c r="Z122" s="7"/>
    </row>
    <row r="123" spans="1:26" s="8" customFormat="1" ht="39.950000000000003" customHeight="1">
      <c r="A123" s="3"/>
      <c r="B123" s="25" t="str">
        <f>IF(NOMENCLATURE_GEN!B123="","",NOMENCLATURE_GEN!B123)</f>
        <v>SUP</v>
      </c>
      <c r="C123" s="243" t="str">
        <f>IF(NOMENCLATURE_GEN!C123="","",NOMENCLATURE_GEN!C123)</f>
        <v/>
      </c>
      <c r="D123" s="4">
        <f>IF(NOMENCLATURE_GEN!D123="","",NOMENCLATURE_GEN!D123)</f>
        <v>204</v>
      </c>
      <c r="E123" s="4" t="str">
        <f ca="1">IF(NOMENCLATURE_GEN!E123="","",NOMENCLATURE_GEN!E123)</f>
        <v>A</v>
      </c>
      <c r="F123" s="4" t="str">
        <f>IF(NOMENCLATURE_GEN!F123="","",NOMENCLATURE_GEN!F123)</f>
        <v>CHA</v>
      </c>
      <c r="G123" s="154" t="str">
        <f>IF(NOMENCLATURE_GEN!G123="","",NOMENCLATURE_GEN!G123)</f>
        <v>Charpente support OVB + protection grillagée et goulotte inox</v>
      </c>
      <c r="H123" s="19" t="s">
        <v>494</v>
      </c>
      <c r="I123" s="20"/>
      <c r="J123" s="20"/>
      <c r="K123" s="20"/>
      <c r="L123" s="20" t="str">
        <f>IF(Motorisation!N123="","",Motorisation!N123)</f>
        <v/>
      </c>
      <c r="M123" s="20" t="str">
        <f>IF(Motorisation!P123="","",Motorisation!P123)</f>
        <v/>
      </c>
      <c r="N123" s="20" t="str">
        <f t="shared" si="2"/>
        <v/>
      </c>
      <c r="O123" s="20"/>
      <c r="P123" s="20"/>
      <c r="Q123" s="20"/>
      <c r="R123" s="20"/>
      <c r="S123" s="20"/>
      <c r="T123" s="20"/>
      <c r="U123" s="20"/>
      <c r="V123" s="20"/>
      <c r="W123" s="20"/>
      <c r="X123" s="21"/>
      <c r="Y123" s="7"/>
      <c r="Z123" s="7"/>
    </row>
    <row r="124" spans="1:26" s="8" customFormat="1" ht="39.950000000000003" customHeight="1">
      <c r="A124" s="3"/>
      <c r="B124" s="25" t="str">
        <f>IF(NOMENCLATURE_GEN!B124="","",NOMENCLATURE_GEN!B124)</f>
        <v>SUP</v>
      </c>
      <c r="C124" s="243" t="str">
        <f>IF(NOMENCLATURE_GEN!C124="","",NOMENCLATURE_GEN!C124)</f>
        <v/>
      </c>
      <c r="D124" s="4">
        <f>IF(NOMENCLATURE_GEN!D124="","",NOMENCLATURE_GEN!D124)</f>
        <v>205</v>
      </c>
      <c r="E124" s="4" t="str">
        <f ca="1">IF(NOMENCLATURE_GEN!E124="","",NOMENCLATURE_GEN!E124)</f>
        <v>A</v>
      </c>
      <c r="F124" s="4" t="str">
        <f>IF(NOMENCLATURE_GEN!F124="","",NOMENCLATURE_GEN!F124)</f>
        <v>CHA</v>
      </c>
      <c r="G124" s="154" t="str">
        <f>IF(NOMENCLATURE_GEN!G124="","",NOMENCLATURE_GEN!G124)</f>
        <v>Charpente support et accès maintenance broyeur</v>
      </c>
      <c r="H124" s="19" t="s">
        <v>494</v>
      </c>
      <c r="I124" s="20"/>
      <c r="J124" s="20"/>
      <c r="K124" s="20"/>
      <c r="L124" s="20" t="str">
        <f>IF(Motorisation!N124="","",Motorisation!N124)</f>
        <v/>
      </c>
      <c r="M124" s="20" t="str">
        <f>IF(Motorisation!P124="","",Motorisation!P124)</f>
        <v/>
      </c>
      <c r="N124" s="20" t="str">
        <f t="shared" si="2"/>
        <v/>
      </c>
      <c r="O124" s="20"/>
      <c r="P124" s="20"/>
      <c r="Q124" s="20"/>
      <c r="R124" s="20"/>
      <c r="S124" s="20"/>
      <c r="T124" s="20"/>
      <c r="U124" s="20"/>
      <c r="V124" s="20"/>
      <c r="W124" s="20"/>
      <c r="X124" s="21"/>
      <c r="Y124" s="7"/>
      <c r="Z124" s="7"/>
    </row>
    <row r="125" spans="1:26" s="8" customFormat="1" ht="39.950000000000003" customHeight="1">
      <c r="A125" s="3"/>
      <c r="B125" s="25" t="str">
        <f>IF(NOMENCLATURE_GEN!B125="","",NOMENCLATURE_GEN!B125)</f>
        <v/>
      </c>
      <c r="C125" s="243" t="str">
        <f>IF(NOMENCLATURE_GEN!C125="","",NOMENCLATURE_GEN!C125)</f>
        <v/>
      </c>
      <c r="D125" s="4">
        <f>IF(NOMENCLATURE_GEN!D125="","",NOMENCLATURE_GEN!D125)</f>
        <v>207</v>
      </c>
      <c r="E125" s="4" t="str">
        <f ca="1">IF(NOMENCLATURE_GEN!E125="","",NOMENCLATURE_GEN!E125)</f>
        <v>A</v>
      </c>
      <c r="F125" s="4" t="str">
        <f>IF(NOMENCLATURE_GEN!F125="","",NOMENCLATURE_GEN!F125)</f>
        <v>TBE</v>
      </c>
      <c r="G125" s="154" t="str">
        <f>IF(NOMENCLATURE_GEN!G125="","",NOMENCLATURE_GEN!G125)</f>
        <v>Convoyeur by-pass presse à paquets</v>
      </c>
      <c r="H125" s="19">
        <v>1</v>
      </c>
      <c r="I125" s="20">
        <v>400</v>
      </c>
      <c r="J125" s="20" t="s">
        <v>521</v>
      </c>
      <c r="K125" s="20"/>
      <c r="L125" s="20" t="str">
        <f>IF(Motorisation!N125="","",Motorisation!N125)</f>
        <v>OUI</v>
      </c>
      <c r="M125" s="16">
        <v>1.6</v>
      </c>
      <c r="N125" s="20">
        <f t="shared" si="2"/>
        <v>1.6</v>
      </c>
      <c r="O125" s="20">
        <v>1</v>
      </c>
      <c r="P125" s="20"/>
      <c r="Q125" s="20"/>
      <c r="R125" s="20"/>
      <c r="S125" s="20"/>
      <c r="T125" s="20"/>
      <c r="U125" s="20"/>
      <c r="V125" s="20"/>
      <c r="W125" s="20"/>
      <c r="X125" s="21"/>
      <c r="Y125" s="7"/>
      <c r="Z125" s="7"/>
    </row>
    <row r="126" spans="1:26" s="8" customFormat="1" ht="39.950000000000003" customHeight="1">
      <c r="A126" s="3"/>
      <c r="B126" s="25" t="str">
        <f>IF(NOMENCLATURE_GEN!B126="","",NOMENCLATURE_GEN!B126)</f>
        <v/>
      </c>
      <c r="C126" s="243" t="str">
        <f>IF(NOMENCLATURE_GEN!C126="","",NOMENCLATURE_GEN!C126)</f>
        <v/>
      </c>
      <c r="D126" s="4">
        <f>IF(NOMENCLATURE_GEN!D126="","",NOMENCLATURE_GEN!D126)</f>
        <v>208</v>
      </c>
      <c r="E126" s="4" t="str">
        <f ca="1">IF(NOMENCLATURE_GEN!E126="","",NOMENCLATURE_GEN!E126)</f>
        <v>A</v>
      </c>
      <c r="F126" s="4" t="str">
        <f>IF(NOMENCLATURE_GEN!F126="","",NOMENCLATURE_GEN!F126)</f>
        <v>SOL</v>
      </c>
      <c r="G126" s="154" t="str">
        <f>IF(NOMENCLATURE_GEN!G126="","",NOMENCLATURE_GEN!G126)</f>
        <v>RLX séparateur objets longs SUR CVY 162</v>
      </c>
      <c r="H126" s="19">
        <v>1</v>
      </c>
      <c r="I126" s="20">
        <v>400</v>
      </c>
      <c r="J126" s="20" t="s">
        <v>521</v>
      </c>
      <c r="K126" s="20"/>
      <c r="L126" s="20" t="str">
        <f>IF(Motorisation!N126="","",Motorisation!N126)</f>
        <v>OUI</v>
      </c>
      <c r="M126" s="16">
        <v>1.6</v>
      </c>
      <c r="N126" s="20">
        <f t="shared" si="2"/>
        <v>1.6</v>
      </c>
      <c r="O126" s="20">
        <v>1</v>
      </c>
      <c r="P126" s="20"/>
      <c r="Q126" s="20"/>
      <c r="R126" s="20"/>
      <c r="S126" s="20"/>
      <c r="T126" s="20"/>
      <c r="U126" s="20"/>
      <c r="V126" s="20"/>
      <c r="W126" s="20"/>
      <c r="X126" s="21"/>
      <c r="Y126" s="7"/>
      <c r="Z126" s="7"/>
    </row>
    <row r="127" spans="1:26" s="8" customFormat="1" ht="39.950000000000003" customHeight="1">
      <c r="A127" s="3"/>
      <c r="B127" s="25" t="str">
        <f>IF(NOMENCLATURE_GEN!B127="","",NOMENCLATURE_GEN!B127)</f>
        <v/>
      </c>
      <c r="C127" s="243" t="str">
        <f>IF(NOMENCLATURE_GEN!C127="","",NOMENCLATURE_GEN!C127)</f>
        <v/>
      </c>
      <c r="D127" s="4">
        <f>IF(NOMENCLATURE_GEN!D127="","",NOMENCLATURE_GEN!D127)</f>
        <v>209</v>
      </c>
      <c r="E127" s="4" t="str">
        <f ca="1">IF(NOMENCLATURE_GEN!E127="","",NOMENCLATURE_GEN!E127)</f>
        <v>A</v>
      </c>
      <c r="F127" s="4" t="str">
        <f>IF(NOMENCLATURE_GEN!F127="","",NOMENCLATURE_GEN!F127)</f>
        <v>PRP</v>
      </c>
      <c r="G127" s="154" t="str">
        <f>IF(NOMENCLATURE_GEN!G127="","",NOMENCLATURE_GEN!G127)</f>
        <v>Fourniture et pose d'une presse à paquets PP11</v>
      </c>
      <c r="H127" s="19">
        <v>1</v>
      </c>
      <c r="I127" s="20">
        <v>400</v>
      </c>
      <c r="J127" s="20" t="s">
        <v>521</v>
      </c>
      <c r="K127" s="20"/>
      <c r="L127" s="580" t="s">
        <v>680</v>
      </c>
      <c r="M127" s="20">
        <v>11</v>
      </c>
      <c r="N127" s="20">
        <f t="shared" si="2"/>
        <v>11</v>
      </c>
      <c r="O127" s="20">
        <v>1</v>
      </c>
      <c r="P127" s="20"/>
      <c r="Q127" s="20"/>
      <c r="R127" s="20"/>
      <c r="S127" s="20"/>
      <c r="T127" s="20"/>
      <c r="U127" s="20"/>
      <c r="V127" s="20"/>
      <c r="W127" s="20"/>
      <c r="X127" s="21"/>
      <c r="Y127" s="7"/>
      <c r="Z127" s="7"/>
    </row>
    <row r="128" spans="1:26" s="8" customFormat="1" ht="39.950000000000003" customHeight="1">
      <c r="A128" s="3"/>
      <c r="B128" s="25" t="str">
        <f>IF(NOMENCLATURE_GEN!B128="","",NOMENCLATURE_GEN!B128)</f>
        <v>SUP</v>
      </c>
      <c r="C128" s="243" t="str">
        <f>IF(NOMENCLATURE_GEN!C128="","",NOMENCLATURE_GEN!C128)</f>
        <v/>
      </c>
      <c r="D128" s="4">
        <f>IF(NOMENCLATURE_GEN!D128="","",NOMENCLATURE_GEN!D128)</f>
        <v>210</v>
      </c>
      <c r="E128" s="4" t="str">
        <f ca="1">IF(NOMENCLATURE_GEN!E128="","",NOMENCLATURE_GEN!E128)</f>
        <v>A</v>
      </c>
      <c r="F128" s="4" t="str">
        <f>IF(NOMENCLATURE_GEN!F128="","",NOMENCLATURE_GEN!F128)</f>
        <v>COU</v>
      </c>
      <c r="G128" s="154" t="str">
        <f>IF(NOMENCLATURE_GEN!G128="","",NOMENCLATURE_GEN!G128)</f>
        <v>Moins value pour suppressions Couronne rotatif pour convoyeur de mise en tas FFOM</v>
      </c>
      <c r="H128" s="19" t="s">
        <v>494</v>
      </c>
      <c r="I128" s="20"/>
      <c r="J128" s="20"/>
      <c r="K128" s="20"/>
      <c r="L128" s="20" t="str">
        <f>IF(Motorisation!N128="","",Motorisation!N128)</f>
        <v/>
      </c>
      <c r="M128" s="20" t="str">
        <f>IF(Motorisation!P128="","",Motorisation!P128)</f>
        <v/>
      </c>
      <c r="N128" s="20" t="str">
        <f t="shared" si="2"/>
        <v/>
      </c>
      <c r="O128" s="20"/>
      <c r="P128" s="20"/>
      <c r="Q128" s="20"/>
      <c r="R128" s="20"/>
      <c r="S128" s="20"/>
      <c r="T128" s="20"/>
      <c r="U128" s="20"/>
      <c r="V128" s="20"/>
      <c r="W128" s="20"/>
      <c r="X128" s="21"/>
      <c r="Y128" s="7"/>
      <c r="Z128" s="7"/>
    </row>
    <row r="129" spans="1:26" s="8" customFormat="1" ht="39.950000000000003" customHeight="1">
      <c r="A129" s="3"/>
      <c r="B129" s="25" t="str">
        <f>IF(NOMENCLATURE_GEN!B129="","",NOMENCLATURE_GEN!B129)</f>
        <v/>
      </c>
      <c r="C129" s="243" t="str">
        <f>IF(NOMENCLATURE_GEN!C129="","",NOMENCLATURE_GEN!C129)</f>
        <v/>
      </c>
      <c r="D129" s="4">
        <f>IF(NOMENCLATURE_GEN!D129="","",NOMENCLATURE_GEN!D129)</f>
        <v>211</v>
      </c>
      <c r="E129" s="4" t="str">
        <f ca="1">IF(NOMENCLATURE_GEN!E129="","",NOMENCLATURE_GEN!E129)</f>
        <v>A</v>
      </c>
      <c r="F129" s="4" t="str">
        <f>IF(NOMENCLATURE_GEN!F129="","",NOMENCLATURE_GEN!F129)</f>
        <v>NAV</v>
      </c>
      <c r="G129" s="154" t="str">
        <f>IF(NOMENCLATURE_GEN!G129="","",NOMENCLATURE_GEN!G129)</f>
        <v>Navette pour convoyeur mobile remplissage benne FFOM TBE 160</v>
      </c>
      <c r="H129" s="19">
        <v>1</v>
      </c>
      <c r="I129" s="20">
        <v>400</v>
      </c>
      <c r="J129" s="20" t="s">
        <v>521</v>
      </c>
      <c r="K129" s="20"/>
      <c r="L129" s="20" t="str">
        <f>IF(Motorisation!N129="","",Motorisation!N129)</f>
        <v>OUI</v>
      </c>
      <c r="M129" s="20">
        <f>IF(Motorisation!P129="","",Motorisation!P129)</f>
        <v>1.1200000000000001</v>
      </c>
      <c r="N129" s="20">
        <f t="shared" si="2"/>
        <v>1.1200000000000001</v>
      </c>
      <c r="O129" s="20">
        <v>0.5</v>
      </c>
      <c r="P129" s="20"/>
      <c r="Q129" s="20"/>
      <c r="R129" s="20"/>
      <c r="S129" s="20"/>
      <c r="T129" s="20"/>
      <c r="U129" s="20"/>
      <c r="V129" s="20" t="s">
        <v>495</v>
      </c>
      <c r="W129" s="20"/>
      <c r="X129" s="21"/>
      <c r="Y129" s="7"/>
      <c r="Z129" s="7"/>
    </row>
    <row r="130" spans="1:26" s="8" customFormat="1" ht="39.950000000000003" customHeight="1">
      <c r="A130" s="3"/>
      <c r="B130" s="25" t="str">
        <f>IF(NOMENCLATURE_GEN!B130="","",NOMENCLATURE_GEN!B130)</f>
        <v/>
      </c>
      <c r="C130" s="243" t="str">
        <f>IF(NOMENCLATURE_GEN!C130="","",NOMENCLATURE_GEN!C130)</f>
        <v/>
      </c>
      <c r="D130" s="4">
        <f>IF(NOMENCLATURE_GEN!D130="","",NOMENCLATURE_GEN!D130)</f>
        <v>212</v>
      </c>
      <c r="E130" s="4" t="str">
        <f ca="1">IF(NOMENCLATURE_GEN!E130="","",NOMENCLATURE_GEN!E130)</f>
        <v>A</v>
      </c>
      <c r="F130" s="4" t="str">
        <f>IF(NOMENCLATURE_GEN!F130="","",NOMENCLATURE_GEN!F130)</f>
        <v>CHA</v>
      </c>
      <c r="G130" s="154" t="str">
        <f>IF(NOMENCLATURE_GEN!G130="","",NOMENCLATURE_GEN!G130)</f>
        <v>Ensemble passerelle pour convoyeur navette FFOM</v>
      </c>
      <c r="H130" s="19" t="s">
        <v>494</v>
      </c>
      <c r="I130" s="20"/>
      <c r="J130" s="20"/>
      <c r="K130" s="20"/>
      <c r="L130" s="20" t="str">
        <f>IF(Motorisation!N130="","",Motorisation!N130)</f>
        <v/>
      </c>
      <c r="M130" s="20" t="str">
        <f>IF(Motorisation!P130="","",Motorisation!P130)</f>
        <v/>
      </c>
      <c r="N130" s="20" t="str">
        <f t="shared" si="2"/>
        <v/>
      </c>
      <c r="O130" s="20"/>
      <c r="P130" s="20"/>
      <c r="Q130" s="20"/>
      <c r="R130" s="20"/>
      <c r="S130" s="20"/>
      <c r="T130" s="20"/>
      <c r="U130" s="20"/>
      <c r="V130" s="20"/>
      <c r="W130" s="20"/>
      <c r="X130" s="21"/>
      <c r="Y130" s="7"/>
      <c r="Z130" s="7"/>
    </row>
    <row r="131" spans="1:26" s="8" customFormat="1" ht="39.950000000000003" customHeight="1">
      <c r="A131" s="3"/>
      <c r="B131" s="25" t="str">
        <f>IF(NOMENCLATURE_GEN!B131="","",NOMENCLATURE_GEN!B131)</f>
        <v/>
      </c>
      <c r="C131" s="243" t="str">
        <f>IF(NOMENCLATURE_GEN!C131="","",NOMENCLATURE_GEN!C131)</f>
        <v/>
      </c>
      <c r="D131" s="4">
        <f>IF(NOMENCLATURE_GEN!D131="","",NOMENCLATURE_GEN!D131)</f>
        <v>213</v>
      </c>
      <c r="E131" s="4" t="str">
        <f ca="1">IF(NOMENCLATURE_GEN!E131="","",NOMENCLATURE_GEN!E131)</f>
        <v>A</v>
      </c>
      <c r="F131" s="4" t="str">
        <f>IF(NOMENCLATURE_GEN!F131="","",NOMENCLATURE_GEN!F131)</f>
        <v>PES</v>
      </c>
      <c r="G131" s="154" t="str">
        <f>IF(NOMENCLATURE_GEN!G131="","",NOMENCLATURE_GEN!G131)</f>
        <v>Pesage des paquets d'aciers en sortie</v>
      </c>
      <c r="H131" s="19"/>
      <c r="I131" s="20"/>
      <c r="J131" s="20"/>
      <c r="K131" s="20"/>
      <c r="L131" s="20" t="str">
        <f>IF(Motorisation!N131="","",Motorisation!N131)</f>
        <v/>
      </c>
      <c r="M131" s="20" t="str">
        <f>IF(Motorisation!P131="","",Motorisation!P131)</f>
        <v/>
      </c>
      <c r="N131" s="20" t="str">
        <f t="shared" si="2"/>
        <v/>
      </c>
      <c r="O131" s="20"/>
      <c r="P131" s="20"/>
      <c r="Q131" s="20"/>
      <c r="R131" s="20"/>
      <c r="S131" s="20"/>
      <c r="T131" s="20"/>
      <c r="U131" s="20"/>
      <c r="V131" s="20"/>
      <c r="W131" s="20"/>
      <c r="X131" s="21"/>
      <c r="Y131" s="7"/>
      <c r="Z131" s="7"/>
    </row>
    <row r="132" spans="1:26" s="8" customFormat="1" ht="39.950000000000003" customHeight="1">
      <c r="A132" s="3"/>
      <c r="B132" s="25" t="str">
        <f>IF(NOMENCLATURE_GEN!B132="","",NOMENCLATURE_GEN!B132)</f>
        <v/>
      </c>
      <c r="C132" s="243" t="str">
        <f>IF(NOMENCLATURE_GEN!C132="","",NOMENCLATURE_GEN!C132)</f>
        <v/>
      </c>
      <c r="D132" s="4">
        <f>IF(NOMENCLATURE_GEN!D132="","",NOMENCLATURE_GEN!D132)</f>
        <v>215</v>
      </c>
      <c r="E132" s="4" t="str">
        <f ca="1">IF(NOMENCLATURE_GEN!E132="","",NOMENCLATURE_GEN!E132)</f>
        <v>A</v>
      </c>
      <c r="F132" s="4" t="str">
        <f>IF(NOMENCLATURE_GEN!F132="","",NOMENCLATURE_GEN!F132)</f>
        <v>ELEC</v>
      </c>
      <c r="G132" s="154" t="str">
        <f>IF(NOMENCLATURE_GEN!G132="","",NOMENCLATURE_GEN!G132)</f>
        <v>Cablage électrique + capteurs</v>
      </c>
      <c r="H132" s="19" t="s">
        <v>494</v>
      </c>
      <c r="I132" s="20"/>
      <c r="J132" s="20"/>
      <c r="K132" s="20"/>
      <c r="L132" s="20" t="str">
        <f>IF(Motorisation!N132="","",Motorisation!N132)</f>
        <v/>
      </c>
      <c r="M132" s="20" t="str">
        <f>IF(Motorisation!P132="","",Motorisation!P132)</f>
        <v/>
      </c>
      <c r="N132" s="20" t="str">
        <f t="shared" si="2"/>
        <v/>
      </c>
      <c r="O132" s="20"/>
      <c r="P132" s="20"/>
      <c r="Q132" s="20"/>
      <c r="R132" s="20"/>
      <c r="S132" s="20"/>
      <c r="T132" s="20"/>
      <c r="U132" s="20"/>
      <c r="V132" s="20"/>
      <c r="W132" s="20"/>
      <c r="X132" s="21"/>
      <c r="Y132" s="7"/>
      <c r="Z132" s="7"/>
    </row>
    <row r="133" spans="1:26" s="8" customFormat="1" ht="39.950000000000003" customHeight="1">
      <c r="A133" s="3"/>
      <c r="B133" s="25" t="str">
        <f>IF(NOMENCLATURE_GEN!B133="","",NOMENCLATURE_GEN!B133)</f>
        <v/>
      </c>
      <c r="C133" s="243" t="str">
        <f>IF(NOMENCLATURE_GEN!C133="","",NOMENCLATURE_GEN!C133)</f>
        <v/>
      </c>
      <c r="D133" s="4">
        <f>IF(NOMENCLATURE_GEN!D133="","",NOMENCLATURE_GEN!D133)</f>
        <v>219</v>
      </c>
      <c r="E133" s="4" t="str">
        <f ca="1">IF(NOMENCLATURE_GEN!E133="","",NOMENCLATURE_GEN!E133)</f>
        <v>A</v>
      </c>
      <c r="F133" s="4" t="str">
        <f>IF(NOMENCLATURE_GEN!F133="","",NOMENCLATURE_GEN!F133)</f>
        <v>PES</v>
      </c>
      <c r="G133" s="154" t="str">
        <f>IF(NOMENCLATURE_GEN!G133="","",NOMENCLATURE_GEN!G133)</f>
        <v>Station de pesage dynamique sur CBA 199 fraction FFOM vers métha</v>
      </c>
      <c r="H133" s="19"/>
      <c r="I133" s="20"/>
      <c r="J133" s="20"/>
      <c r="K133" s="20"/>
      <c r="L133" s="20" t="str">
        <f>IF(Motorisation!N133="","",Motorisation!N133)</f>
        <v/>
      </c>
      <c r="M133" s="20" t="str">
        <f>IF(Motorisation!P133="","",Motorisation!P133)</f>
        <v/>
      </c>
      <c r="N133" s="20" t="str">
        <f t="shared" si="2"/>
        <v/>
      </c>
      <c r="O133" s="20"/>
      <c r="P133" s="20"/>
      <c r="Q133" s="20"/>
      <c r="R133" s="20"/>
      <c r="S133" s="20"/>
      <c r="T133" s="20"/>
      <c r="U133" s="20"/>
      <c r="V133" s="20"/>
      <c r="W133" s="20"/>
      <c r="X133" s="21"/>
      <c r="Y133" s="7"/>
      <c r="Z133" s="7"/>
    </row>
    <row r="134" spans="1:26" s="8" customFormat="1" ht="39.950000000000003" customHeight="1">
      <c r="A134" s="3"/>
      <c r="B134" s="25" t="str">
        <f>IF(NOMENCLATURE_GEN!B134="","",NOMENCLATURE_GEN!B134)</f>
        <v>SUP</v>
      </c>
      <c r="C134" s="587" t="str">
        <f>IF(NOMENCLATURE_GEN!C134="","",NOMENCLATURE_GEN!C134)</f>
        <v/>
      </c>
      <c r="D134" s="588">
        <f>IF(NOMENCLATURE_GEN!D134="","",NOMENCLATURE_GEN!D134)</f>
        <v>221</v>
      </c>
      <c r="E134" s="588" t="str">
        <f ca="1">IF(NOMENCLATURE_GEN!E134="","",NOMENCLATURE_GEN!E134)</f>
        <v>A</v>
      </c>
      <c r="F134" s="588" t="str">
        <f>IF(NOMENCLATURE_GEN!F134="","",NOMENCLATURE_GEN!F134)</f>
        <v>TVB</v>
      </c>
      <c r="G134" s="589" t="str">
        <f>IF(NOMENCLATURE_GEN!G134="","",NOMENCLATURE_GEN!G134)</f>
        <v>Alimentateur vibrant pour tri optique verre</v>
      </c>
      <c r="H134" s="590" t="s">
        <v>494</v>
      </c>
      <c r="I134" s="20"/>
      <c r="J134" s="20"/>
      <c r="K134" s="20"/>
      <c r="L134" s="20" t="str">
        <f>IF(Motorisation!N134="","",Motorisation!N134)</f>
        <v/>
      </c>
      <c r="M134" s="20" t="str">
        <f>IF(Motorisation!P134="","",Motorisation!P134)</f>
        <v/>
      </c>
      <c r="N134" s="20" t="str">
        <f t="shared" si="2"/>
        <v/>
      </c>
      <c r="O134" s="20"/>
      <c r="P134" s="20"/>
      <c r="Q134" s="20"/>
      <c r="R134" s="20"/>
      <c r="S134" s="20"/>
      <c r="T134" s="20"/>
      <c r="U134" s="20"/>
      <c r="V134" s="20"/>
      <c r="W134" s="20"/>
      <c r="X134" s="21"/>
      <c r="Y134" s="7"/>
      <c r="Z134" s="7"/>
    </row>
    <row r="135" spans="1:26" s="8" customFormat="1" ht="39.950000000000003" customHeight="1">
      <c r="A135" s="3"/>
      <c r="B135" s="25" t="str">
        <f>IF(NOMENCLATURE_GEN!B135="","",NOMENCLATURE_GEN!B135)</f>
        <v>SUP</v>
      </c>
      <c r="C135" s="587" t="str">
        <f>IF(NOMENCLATURE_GEN!C135="","",NOMENCLATURE_GEN!C135)</f>
        <v/>
      </c>
      <c r="D135" s="588">
        <f>IF(NOMENCLATURE_GEN!D135="","",NOMENCLATURE_GEN!D135)</f>
        <v>222</v>
      </c>
      <c r="E135" s="588" t="str">
        <f ca="1">IF(NOMENCLATURE_GEN!E135="","",NOMENCLATURE_GEN!E135)</f>
        <v>A</v>
      </c>
      <c r="F135" s="588" t="str">
        <f>IF(NOMENCLATURE_GEN!F135="","",NOMENCLATURE_GEN!F135)</f>
        <v>SOP</v>
      </c>
      <c r="G135" s="589" t="str">
        <f>IF(NOMENCLATURE_GEN!G135="","",NOMENCLATURE_GEN!G135)</f>
        <v>Séparateur optique verre</v>
      </c>
      <c r="H135" s="590" t="s">
        <v>494</v>
      </c>
      <c r="I135" s="20"/>
      <c r="J135" s="20"/>
      <c r="K135" s="20"/>
      <c r="L135" s="20" t="str">
        <f>IF(Motorisation!N135="","",Motorisation!N135)</f>
        <v/>
      </c>
      <c r="M135" s="20" t="str">
        <f>IF(Motorisation!P135="","",Motorisation!P135)</f>
        <v/>
      </c>
      <c r="N135" s="20" t="str">
        <f t="shared" si="2"/>
        <v/>
      </c>
      <c r="O135" s="20"/>
      <c r="P135" s="20"/>
      <c r="Q135" s="20"/>
      <c r="R135" s="20"/>
      <c r="S135" s="20"/>
      <c r="T135" s="20"/>
      <c r="U135" s="20"/>
      <c r="V135" s="20"/>
      <c r="W135" s="20"/>
      <c r="X135" s="21"/>
      <c r="Y135" s="7"/>
      <c r="Z135" s="7"/>
    </row>
    <row r="136" spans="1:26" s="8" customFormat="1" ht="39.950000000000003" customHeight="1">
      <c r="A136" s="3"/>
      <c r="B136" s="25" t="str">
        <f>IF(NOMENCLATURE_GEN!B136="","",NOMENCLATURE_GEN!B136)</f>
        <v>SUP</v>
      </c>
      <c r="C136" s="587" t="str">
        <f>IF(NOMENCLATURE_GEN!C136="","",NOMENCLATURE_GEN!C136)</f>
        <v/>
      </c>
      <c r="D136" s="588">
        <f>IF(NOMENCLATURE_GEN!D136="","",NOMENCLATURE_GEN!D136)</f>
        <v>224</v>
      </c>
      <c r="E136" s="588" t="str">
        <f ca="1">IF(NOMENCLATURE_GEN!E136="","",NOMENCLATURE_GEN!E136)</f>
        <v>A</v>
      </c>
      <c r="F136" s="588" t="str">
        <f>IF(NOMENCLATURE_GEN!F136="","",NOMENCLATURE_GEN!F136)</f>
        <v>CHA</v>
      </c>
      <c r="G136" s="589" t="str">
        <f>IF(NOMENCLATURE_GEN!G136="","",NOMENCLATURE_GEN!G136)</f>
        <v>Plateforme d'accès maintenance pour tri optique et vibrant</v>
      </c>
      <c r="H136" s="591" t="s">
        <v>494</v>
      </c>
      <c r="I136" s="20"/>
      <c r="J136" s="20"/>
      <c r="K136" s="20"/>
      <c r="L136" s="20" t="str">
        <f>IF(Motorisation!N136="","",Motorisation!N136)</f>
        <v/>
      </c>
      <c r="M136" s="20" t="str">
        <f>IF(Motorisation!P136="","",Motorisation!P136)</f>
        <v/>
      </c>
      <c r="N136" s="20" t="str">
        <f t="shared" si="2"/>
        <v/>
      </c>
      <c r="O136" s="20"/>
      <c r="P136" s="20"/>
      <c r="Q136" s="20"/>
      <c r="R136" s="20"/>
      <c r="S136" s="20"/>
      <c r="T136" s="20"/>
      <c r="U136" s="20"/>
      <c r="V136" s="20"/>
      <c r="W136" s="20"/>
      <c r="X136" s="21"/>
      <c r="Y136" s="7"/>
      <c r="Z136" s="7"/>
    </row>
    <row r="137" spans="1:26" s="8" customFormat="1" ht="39.950000000000003" customHeight="1">
      <c r="A137" s="3"/>
      <c r="B137" s="25" t="str">
        <f>IF(NOMENCLATURE_GEN!B137="","",NOMENCLATURE_GEN!B137)</f>
        <v>SUP</v>
      </c>
      <c r="C137" s="587" t="str">
        <f>IF(NOMENCLATURE_GEN!C137="","",NOMENCLATURE_GEN!C137)</f>
        <v/>
      </c>
      <c r="D137" s="588">
        <f>IF(NOMENCLATURE_GEN!D137="","",NOMENCLATURE_GEN!D137)</f>
        <v>225</v>
      </c>
      <c r="E137" s="588" t="str">
        <f ca="1">IF(NOMENCLATURE_GEN!E137="","",NOMENCLATURE_GEN!E137)</f>
        <v>A</v>
      </c>
      <c r="F137" s="588" t="str">
        <f>IF(NOMENCLATURE_GEN!F137="","",NOMENCLATURE_GEN!F137)</f>
        <v>COM</v>
      </c>
      <c r="G137" s="589" t="str">
        <f>IF(NOMENCLATURE_GEN!G137="","",NOMENCLATURE_GEN!G137)</f>
        <v>Compresseur + sécheur + réseau pour tri optique verre</v>
      </c>
      <c r="H137" s="590" t="s">
        <v>494</v>
      </c>
      <c r="I137" s="20"/>
      <c r="J137" s="20"/>
      <c r="K137" s="20"/>
      <c r="L137" s="20" t="str">
        <f>IF(Motorisation!N137="","",Motorisation!N137)</f>
        <v/>
      </c>
      <c r="M137" s="20" t="str">
        <f>IF(Motorisation!P137="","",Motorisation!P137)</f>
        <v/>
      </c>
      <c r="N137" s="20" t="str">
        <f t="shared" si="2"/>
        <v/>
      </c>
      <c r="O137" s="20"/>
      <c r="P137" s="20"/>
      <c r="Q137" s="20"/>
      <c r="R137" s="20"/>
      <c r="S137" s="20"/>
      <c r="T137" s="20"/>
      <c r="U137" s="20"/>
      <c r="V137" s="20"/>
      <c r="W137" s="20"/>
      <c r="X137" s="21"/>
      <c r="Y137" s="7"/>
      <c r="Z137" s="7"/>
    </row>
    <row r="138" spans="1:26" s="8" customFormat="1" ht="39.950000000000003" customHeight="1">
      <c r="A138" s="3"/>
      <c r="B138" s="25" t="str">
        <f>IF(NOMENCLATURE_GEN!B138="","",NOMENCLATURE_GEN!B138)</f>
        <v>SUP</v>
      </c>
      <c r="C138" s="587" t="str">
        <f>IF(NOMENCLATURE_GEN!C138="","",NOMENCLATURE_GEN!C138)</f>
        <v/>
      </c>
      <c r="D138" s="588">
        <f>IF(NOMENCLATURE_GEN!D138="","",NOMENCLATURE_GEN!D138)</f>
        <v>227</v>
      </c>
      <c r="E138" s="588" t="str">
        <f ca="1">IF(NOMENCLATURE_GEN!E138="","",NOMENCLATURE_GEN!E138)</f>
        <v>A</v>
      </c>
      <c r="F138" s="588" t="str">
        <f>IF(NOMENCLATURE_GEN!F138="","",NOMENCLATURE_GEN!F138)</f>
        <v>ELEC</v>
      </c>
      <c r="G138" s="589" t="str">
        <f>IF(NOMENCLATURE_GEN!G138="","",NOMENCLATURE_GEN!G138)</f>
        <v>Cablage électrique + capteurs</v>
      </c>
      <c r="H138" s="591" t="s">
        <v>494</v>
      </c>
      <c r="I138" s="20"/>
      <c r="J138" s="20"/>
      <c r="K138" s="20"/>
      <c r="L138" s="20" t="str">
        <f>IF(Motorisation!N138="","",Motorisation!N138)</f>
        <v/>
      </c>
      <c r="M138" s="20" t="str">
        <f>IF(Motorisation!P138="","",Motorisation!P138)</f>
        <v/>
      </c>
      <c r="N138" s="20" t="str">
        <f t="shared" ref="N138:N140" si="4">IF(M138="","",M138*H138)</f>
        <v/>
      </c>
      <c r="O138" s="20"/>
      <c r="P138" s="20"/>
      <c r="Q138" s="20"/>
      <c r="R138" s="20"/>
      <c r="S138" s="20"/>
      <c r="T138" s="20"/>
      <c r="U138" s="20"/>
      <c r="V138" s="20"/>
      <c r="W138" s="20"/>
      <c r="X138" s="21"/>
      <c r="Y138" s="7"/>
      <c r="Z138" s="7"/>
    </row>
    <row r="139" spans="1:26" s="8" customFormat="1" ht="39.950000000000003" customHeight="1">
      <c r="A139" s="3"/>
      <c r="B139" s="25" t="str">
        <f>IF(NOMENCLATURE_GEN!B139="","",NOMENCLATURE_GEN!B139)</f>
        <v/>
      </c>
      <c r="C139" s="587" t="str">
        <f>IF(NOMENCLATURE_GEN!C139="","",NOMENCLATURE_GEN!C139)</f>
        <v/>
      </c>
      <c r="D139" s="588">
        <f>IF(NOMENCLATURE_GEN!D139="","",NOMENCLATURE_GEN!D139)</f>
        <v>231</v>
      </c>
      <c r="E139" s="588" t="str">
        <f ca="1">IF(NOMENCLATURE_GEN!E139="","",NOMENCLATURE_GEN!E139)</f>
        <v>A</v>
      </c>
      <c r="F139" s="588" t="str">
        <f>IF(NOMENCLATURE_GEN!F139="","",NOMENCLATURE_GEN!F139)</f>
        <v>DIV</v>
      </c>
      <c r="G139" s="589" t="str">
        <f>IF(NOMENCLATURE_GEN!G139="","",NOMENCLATURE_GEN!G139)</f>
        <v>lot de pièces de premières urgences</v>
      </c>
      <c r="H139" s="591" t="s">
        <v>494</v>
      </c>
      <c r="I139" s="20"/>
      <c r="J139" s="20"/>
      <c r="K139" s="20"/>
      <c r="L139" s="20" t="str">
        <f>IF(Motorisation!N139="","",Motorisation!N139)</f>
        <v/>
      </c>
      <c r="M139" s="20" t="str">
        <f>IF(Motorisation!P139="","",Motorisation!P139)</f>
        <v/>
      </c>
      <c r="N139" s="20" t="str">
        <f t="shared" si="4"/>
        <v/>
      </c>
      <c r="O139" s="20"/>
      <c r="P139" s="20"/>
      <c r="Q139" s="20"/>
      <c r="R139" s="20"/>
      <c r="S139" s="20"/>
      <c r="T139" s="20"/>
      <c r="U139" s="20"/>
      <c r="V139" s="20"/>
      <c r="W139" s="20"/>
      <c r="X139" s="21"/>
      <c r="Y139" s="7"/>
      <c r="Z139" s="7"/>
    </row>
    <row r="140" spans="1:26" s="8" customFormat="1" ht="39.950000000000003" customHeight="1" thickBot="1">
      <c r="A140" s="3"/>
      <c r="B140" s="302" t="str">
        <f>IF(NOMENCLATURE_GEN!B140="","",NOMENCLATURE_GEN!B140)</f>
        <v/>
      </c>
      <c r="C140" s="285" t="str">
        <f>IF(NOMENCLATURE_GEN!C140="","",NOMENCLATURE_GEN!C140)</f>
        <v/>
      </c>
      <c r="D140" s="286" t="str">
        <f>IF(NOMENCLATURE_GEN!D140="","",NOMENCLATURE_GEN!D140)</f>
        <v/>
      </c>
      <c r="E140" s="286" t="str">
        <f ca="1">IF(NOMENCLATURE_GEN!E140="","",NOMENCLATURE_GEN!E140)</f>
        <v>A</v>
      </c>
      <c r="F140" s="286" t="str">
        <f>IF(NOMENCLATURE_GEN!F140="","",NOMENCLATURE_GEN!F140)</f>
        <v/>
      </c>
      <c r="G140" s="303" t="str">
        <f>IF(NOMENCLATURE_GEN!G140="","",NOMENCLATURE_GEN!G140)</f>
        <v/>
      </c>
      <c r="H140" s="304"/>
      <c r="I140" s="155"/>
      <c r="J140" s="155"/>
      <c r="K140" s="155"/>
      <c r="L140" s="155" t="str">
        <f>IF(Motorisation!N140="","",Motorisation!N140)</f>
        <v/>
      </c>
      <c r="M140" s="155" t="str">
        <f>IF(Motorisation!P140="","",Motorisation!P140)</f>
        <v/>
      </c>
      <c r="N140" s="155" t="str">
        <f t="shared" si="4"/>
        <v/>
      </c>
      <c r="O140" s="155"/>
      <c r="P140" s="155"/>
      <c r="Q140" s="155"/>
      <c r="R140" s="155"/>
      <c r="S140" s="155"/>
      <c r="T140" s="155"/>
      <c r="U140" s="155"/>
      <c r="V140" s="155"/>
      <c r="W140" s="155"/>
      <c r="X140" s="157"/>
      <c r="Y140" s="7"/>
      <c r="Z140" s="7"/>
    </row>
    <row r="141" spans="1:26" s="49" customFormat="1" ht="15" customHeight="1" thickBot="1">
      <c r="B141" s="8"/>
      <c r="C141" s="8"/>
      <c r="D141" s="8"/>
      <c r="E141" s="8"/>
      <c r="F141" s="8"/>
      <c r="G141" s="8"/>
      <c r="H141" s="152"/>
      <c r="I141" s="152"/>
      <c r="J141" s="152"/>
      <c r="K141" s="152"/>
      <c r="L141" s="152"/>
      <c r="P141" s="51"/>
      <c r="Q141" s="51"/>
      <c r="R141" s="51"/>
      <c r="S141" s="51"/>
      <c r="T141" s="51"/>
      <c r="U141" s="51"/>
      <c r="V141" s="51"/>
      <c r="W141" s="51"/>
    </row>
    <row r="142" spans="1:26" s="49" customFormat="1" ht="30" customHeight="1" thickBot="1">
      <c r="B142" s="266" t="s">
        <v>311</v>
      </c>
      <c r="C142" s="267" t="s">
        <v>100</v>
      </c>
      <c r="D142" s="267" t="s">
        <v>312</v>
      </c>
      <c r="E142" s="695" t="s">
        <v>313</v>
      </c>
      <c r="F142" s="695"/>
      <c r="G142" s="695"/>
      <c r="H142" s="695"/>
      <c r="I142" s="695"/>
      <c r="J142" s="695"/>
      <c r="K142" s="440"/>
      <c r="L142" s="440"/>
      <c r="M142" s="430" t="s">
        <v>365</v>
      </c>
      <c r="P142" s="51"/>
      <c r="Q142" s="51"/>
      <c r="R142" s="51"/>
      <c r="S142" s="51"/>
      <c r="T142" s="51"/>
      <c r="U142" s="51"/>
      <c r="V142" s="51"/>
      <c r="W142" s="51"/>
    </row>
    <row r="143" spans="1:26" s="49" customFormat="1" ht="30" customHeight="1">
      <c r="B143" s="268" t="s">
        <v>354</v>
      </c>
      <c r="C143" s="269" t="s">
        <v>10</v>
      </c>
      <c r="D143" s="269" t="s">
        <v>355</v>
      </c>
      <c r="E143" s="694" t="s">
        <v>314</v>
      </c>
      <c r="F143" s="694"/>
      <c r="G143" s="694"/>
      <c r="H143" s="694"/>
      <c r="I143" s="694"/>
      <c r="J143" s="694"/>
      <c r="K143" s="441"/>
      <c r="L143" s="441"/>
      <c r="M143" s="275" t="s">
        <v>355</v>
      </c>
      <c r="P143" s="51"/>
      <c r="Q143" s="51"/>
      <c r="R143" s="51"/>
      <c r="S143" s="51"/>
      <c r="T143" s="51"/>
      <c r="U143" s="51"/>
      <c r="V143" s="51"/>
      <c r="W143" s="51"/>
    </row>
    <row r="144" spans="1:26" s="49" customFormat="1" ht="30" customHeight="1">
      <c r="B144" s="9"/>
      <c r="C144" s="10"/>
      <c r="D144" s="422"/>
      <c r="E144" s="692"/>
      <c r="F144" s="692"/>
      <c r="G144" s="692"/>
      <c r="H144" s="692"/>
      <c r="I144" s="692"/>
      <c r="J144" s="692"/>
      <c r="K144" s="442"/>
      <c r="L144" s="442"/>
      <c r="M144" s="11"/>
      <c r="P144" s="51"/>
      <c r="Q144" s="51"/>
      <c r="R144" s="51"/>
      <c r="S144" s="51"/>
      <c r="T144" s="51"/>
      <c r="U144" s="51"/>
      <c r="V144" s="51"/>
      <c r="W144" s="51"/>
    </row>
    <row r="145" spans="2:23" s="49" customFormat="1" ht="30" customHeight="1">
      <c r="B145" s="9"/>
      <c r="C145" s="10"/>
      <c r="D145" s="10"/>
      <c r="E145" s="692"/>
      <c r="F145" s="692"/>
      <c r="G145" s="692"/>
      <c r="H145" s="692"/>
      <c r="I145" s="692"/>
      <c r="J145" s="692"/>
      <c r="K145" s="442"/>
      <c r="L145" s="442"/>
      <c r="M145" s="11"/>
      <c r="P145" s="51"/>
      <c r="Q145" s="51"/>
      <c r="R145" s="51"/>
      <c r="S145" s="51"/>
      <c r="T145" s="51"/>
      <c r="U145" s="51"/>
      <c r="V145" s="51"/>
      <c r="W145" s="51"/>
    </row>
    <row r="146" spans="2:23" s="49" customFormat="1" ht="30" customHeight="1">
      <c r="B146" s="9"/>
      <c r="C146" s="10"/>
      <c r="D146" s="10"/>
      <c r="E146" s="692"/>
      <c r="F146" s="692"/>
      <c r="G146" s="692"/>
      <c r="H146" s="692"/>
      <c r="I146" s="692"/>
      <c r="J146" s="692"/>
      <c r="K146" s="442"/>
      <c r="L146" s="442"/>
      <c r="M146" s="11"/>
      <c r="P146" s="51"/>
      <c r="Q146" s="51"/>
      <c r="R146" s="51"/>
      <c r="S146" s="51"/>
      <c r="T146" s="51"/>
      <c r="U146" s="51"/>
      <c r="V146" s="51"/>
      <c r="W146" s="51"/>
    </row>
    <row r="147" spans="2:23" s="49" customFormat="1" ht="30" customHeight="1">
      <c r="B147" s="9"/>
      <c r="C147" s="10"/>
      <c r="D147" s="10"/>
      <c r="E147" s="692"/>
      <c r="F147" s="692"/>
      <c r="G147" s="692"/>
      <c r="H147" s="692"/>
      <c r="I147" s="692"/>
      <c r="J147" s="692"/>
      <c r="K147" s="442"/>
      <c r="L147" s="442"/>
      <c r="M147" s="11"/>
      <c r="P147" s="51"/>
      <c r="Q147" s="51"/>
      <c r="R147" s="51"/>
      <c r="S147" s="51"/>
      <c r="T147" s="51"/>
      <c r="U147" s="51"/>
      <c r="V147" s="51"/>
      <c r="W147" s="51"/>
    </row>
    <row r="148" spans="2:23" s="49" customFormat="1" ht="30" customHeight="1">
      <c r="B148" s="9"/>
      <c r="C148" s="10"/>
      <c r="D148" s="10"/>
      <c r="E148" s="692"/>
      <c r="F148" s="692"/>
      <c r="G148" s="692"/>
      <c r="H148" s="692"/>
      <c r="I148" s="692"/>
      <c r="J148" s="692"/>
      <c r="K148" s="442"/>
      <c r="L148" s="442"/>
      <c r="M148" s="11"/>
      <c r="P148" s="51"/>
      <c r="Q148" s="51"/>
      <c r="R148" s="51"/>
      <c r="S148" s="51"/>
      <c r="T148" s="51"/>
      <c r="U148" s="51"/>
      <c r="V148" s="51"/>
      <c r="W148" s="51"/>
    </row>
    <row r="149" spans="2:23" s="49" customFormat="1" ht="30" customHeight="1">
      <c r="B149" s="9"/>
      <c r="C149" s="10"/>
      <c r="D149" s="10"/>
      <c r="E149" s="692"/>
      <c r="F149" s="692"/>
      <c r="G149" s="692"/>
      <c r="H149" s="692"/>
      <c r="I149" s="692"/>
      <c r="J149" s="692"/>
      <c r="K149" s="442"/>
      <c r="L149" s="442"/>
      <c r="M149" s="11"/>
      <c r="P149" s="51"/>
      <c r="Q149" s="51"/>
      <c r="R149" s="51"/>
      <c r="S149" s="51"/>
      <c r="T149" s="51"/>
      <c r="U149" s="51"/>
      <c r="V149" s="51"/>
      <c r="W149" s="51"/>
    </row>
    <row r="150" spans="2:23" s="49" customFormat="1" ht="30" customHeight="1">
      <c r="B150" s="9"/>
      <c r="C150" s="10"/>
      <c r="D150" s="10"/>
      <c r="E150" s="692"/>
      <c r="F150" s="692"/>
      <c r="G150" s="692"/>
      <c r="H150" s="692"/>
      <c r="I150" s="692"/>
      <c r="J150" s="692"/>
      <c r="K150" s="442"/>
      <c r="L150" s="442"/>
      <c r="M150" s="11"/>
      <c r="P150" s="51"/>
      <c r="Q150" s="51"/>
      <c r="R150" s="51"/>
      <c r="S150" s="51"/>
      <c r="T150" s="51"/>
      <c r="U150" s="51"/>
      <c r="V150" s="51"/>
      <c r="W150" s="51"/>
    </row>
    <row r="151" spans="2:23" s="49" customFormat="1" ht="30" customHeight="1">
      <c r="B151" s="9"/>
      <c r="C151" s="10"/>
      <c r="D151" s="10"/>
      <c r="E151" s="692"/>
      <c r="F151" s="692"/>
      <c r="G151" s="692"/>
      <c r="H151" s="692"/>
      <c r="I151" s="692"/>
      <c r="J151" s="692"/>
      <c r="K151" s="442"/>
      <c r="L151" s="442"/>
      <c r="M151" s="11"/>
      <c r="P151" s="51"/>
      <c r="Q151" s="51"/>
      <c r="R151" s="51"/>
      <c r="S151" s="51"/>
      <c r="T151" s="51"/>
      <c r="U151" s="51"/>
      <c r="V151" s="51"/>
      <c r="W151" s="51"/>
    </row>
    <row r="152" spans="2:23" s="49" customFormat="1" ht="30" customHeight="1" thickBot="1">
      <c r="B152" s="270"/>
      <c r="C152" s="271"/>
      <c r="D152" s="271"/>
      <c r="E152" s="693"/>
      <c r="F152" s="693"/>
      <c r="G152" s="693"/>
      <c r="H152" s="693"/>
      <c r="I152" s="693"/>
      <c r="J152" s="693"/>
      <c r="K152" s="443"/>
      <c r="L152" s="443"/>
      <c r="M152" s="431"/>
      <c r="P152" s="51"/>
      <c r="Q152" s="51"/>
      <c r="R152" s="51"/>
      <c r="S152" s="51"/>
      <c r="T152" s="51"/>
      <c r="U152" s="51"/>
      <c r="V152" s="51"/>
      <c r="W152" s="51"/>
    </row>
  </sheetData>
  <sheetProtection algorithmName="SHA-512" hashValue="nuAY03gLxXImIYjK7NAgKYgj9qQHENJaxsbtfHMq4HjnTOagazOIMFk8aWFo94DaL3ikMSK6Wc4M3RbxuS+M/w==" saltValue="rvUcTK7SCNFqg3VM5uo64Q==" spinCount="100000" sheet="1" objects="1" scenarios="1" formatCells="0" formatColumns="0" formatRows="0" insertHyperlinks="0" autoFilter="0" pivotTables="0"/>
  <autoFilter ref="B7:X140" xr:uid="{00000000-0009-0000-0000-000009000000}"/>
  <mergeCells count="20">
    <mergeCell ref="E152:J152"/>
    <mergeCell ref="E147:J147"/>
    <mergeCell ref="E148:J148"/>
    <mergeCell ref="E149:J149"/>
    <mergeCell ref="E150:J150"/>
    <mergeCell ref="E151:J151"/>
    <mergeCell ref="E142:J142"/>
    <mergeCell ref="E143:J143"/>
    <mergeCell ref="E144:J144"/>
    <mergeCell ref="E145:J145"/>
    <mergeCell ref="E146:J146"/>
    <mergeCell ref="H6:X6"/>
    <mergeCell ref="B2:C2"/>
    <mergeCell ref="Q2:AC2"/>
    <mergeCell ref="B3:C3"/>
    <mergeCell ref="J4:J5"/>
    <mergeCell ref="D2:E2"/>
    <mergeCell ref="D3:E3"/>
    <mergeCell ref="B4:E4"/>
    <mergeCell ref="B5:E5"/>
  </mergeCells>
  <dataValidations count="1">
    <dataValidation allowBlank="1" showInputMessage="1" sqref="J1:L4 J141:L141" xr:uid="{00000000-0002-0000-0900-000000000000}"/>
  </dataValidations>
  <printOptions horizontalCentered="1"/>
  <pageMargins left="0.25" right="0.25" top="0.75" bottom="0.75" header="0.3" footer="0.3"/>
  <pageSetup paperSize="8" scale="42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">
    <tabColor rgb="FFFF0000"/>
  </sheetPr>
  <dimension ref="B1:AL76"/>
  <sheetViews>
    <sheetView zoomScaleNormal="100" workbookViewId="0">
      <selection activeCell="G5" sqref="G5"/>
    </sheetView>
  </sheetViews>
  <sheetFormatPr baseColWidth="10" defaultRowHeight="15"/>
  <cols>
    <col min="3" max="3" width="31.28515625" customWidth="1"/>
    <col min="8" max="8" width="13.42578125" bestFit="1" customWidth="1"/>
    <col min="9" max="9" width="12.28515625" bestFit="1" customWidth="1"/>
    <col min="19" max="19" width="11.42578125" style="59"/>
    <col min="20" max="27" width="22.85546875" style="59" customWidth="1"/>
    <col min="29" max="39" width="15.140625" customWidth="1"/>
  </cols>
  <sheetData>
    <row r="1" spans="2:38" ht="15.75" thickBot="1"/>
    <row r="2" spans="2:38" ht="18.75" thickBot="1">
      <c r="B2" s="833" t="s">
        <v>28</v>
      </c>
      <c r="C2" s="833" t="s">
        <v>9</v>
      </c>
      <c r="D2" s="832" t="s">
        <v>87</v>
      </c>
      <c r="E2" s="832"/>
      <c r="F2" s="832"/>
      <c r="G2" s="832"/>
      <c r="H2" s="832"/>
      <c r="I2" s="832"/>
      <c r="J2" s="833" t="s">
        <v>70</v>
      </c>
      <c r="K2" s="833" t="s">
        <v>174</v>
      </c>
      <c r="M2" s="844" t="s">
        <v>80</v>
      </c>
      <c r="N2" s="845"/>
      <c r="O2" s="845"/>
      <c r="P2" s="845"/>
      <c r="Q2" s="846"/>
      <c r="S2" s="107" t="s">
        <v>260</v>
      </c>
      <c r="T2" s="131" t="s">
        <v>29</v>
      </c>
      <c r="U2" s="87" t="s">
        <v>31</v>
      </c>
      <c r="V2" s="87" t="s">
        <v>30</v>
      </c>
      <c r="W2" s="87" t="s">
        <v>77</v>
      </c>
      <c r="X2" s="87" t="s">
        <v>78</v>
      </c>
      <c r="Y2" s="87" t="s">
        <v>178</v>
      </c>
      <c r="Z2" s="87" t="s">
        <v>24</v>
      </c>
      <c r="AA2" s="88" t="s">
        <v>32</v>
      </c>
      <c r="AC2" s="86" t="s">
        <v>177</v>
      </c>
      <c r="AD2" s="87" t="s">
        <v>32</v>
      </c>
      <c r="AE2" s="87" t="s">
        <v>339</v>
      </c>
      <c r="AF2" s="87" t="s">
        <v>29</v>
      </c>
      <c r="AG2" s="87" t="s">
        <v>30</v>
      </c>
      <c r="AH2" s="87" t="s">
        <v>31</v>
      </c>
      <c r="AI2" s="87" t="s">
        <v>77</v>
      </c>
      <c r="AJ2" s="87" t="s">
        <v>24</v>
      </c>
      <c r="AK2" s="87" t="s">
        <v>68</v>
      </c>
      <c r="AL2" s="88" t="s">
        <v>78</v>
      </c>
    </row>
    <row r="3" spans="2:38" ht="19.5" thickBot="1">
      <c r="B3" s="834"/>
      <c r="C3" s="834"/>
      <c r="D3" s="33" t="s">
        <v>86</v>
      </c>
      <c r="E3" s="58" t="s">
        <v>72</v>
      </c>
      <c r="F3" s="58" t="s">
        <v>73</v>
      </c>
      <c r="G3" s="58" t="s">
        <v>74</v>
      </c>
      <c r="H3" s="58" t="s">
        <v>328</v>
      </c>
      <c r="I3" s="58" t="s">
        <v>75</v>
      </c>
      <c r="J3" s="834"/>
      <c r="K3" s="834"/>
      <c r="M3" s="38"/>
      <c r="N3" s="39">
        <v>2</v>
      </c>
      <c r="O3" s="40">
        <v>3</v>
      </c>
      <c r="P3" s="40">
        <v>4</v>
      </c>
      <c r="Q3" s="41">
        <v>5</v>
      </c>
      <c r="S3" s="847" t="s">
        <v>258</v>
      </c>
      <c r="T3" s="848"/>
      <c r="U3" s="848"/>
      <c r="V3" s="848"/>
      <c r="W3" s="848"/>
      <c r="X3" s="848"/>
      <c r="Y3" s="848"/>
      <c r="Z3" s="848"/>
      <c r="AA3" s="849"/>
      <c r="AC3" s="835" t="s">
        <v>176</v>
      </c>
      <c r="AD3" s="836"/>
      <c r="AE3" s="836"/>
      <c r="AF3" s="836"/>
      <c r="AG3" s="836"/>
      <c r="AH3" s="836"/>
      <c r="AI3" s="836"/>
      <c r="AJ3" s="836"/>
      <c r="AK3" s="836"/>
      <c r="AL3" s="837"/>
    </row>
    <row r="4" spans="2:38" ht="15.75" thickBot="1">
      <c r="B4" s="33" t="s">
        <v>29</v>
      </c>
      <c r="C4" s="33" t="s">
        <v>41</v>
      </c>
      <c r="D4" s="33">
        <v>1</v>
      </c>
      <c r="E4" s="33">
        <v>15</v>
      </c>
      <c r="F4" s="33"/>
      <c r="G4" s="33">
        <v>2250</v>
      </c>
      <c r="H4" s="33">
        <v>2000</v>
      </c>
      <c r="I4" s="33" t="s">
        <v>526</v>
      </c>
      <c r="J4" s="33">
        <v>0</v>
      </c>
      <c r="K4" s="33">
        <v>1</v>
      </c>
      <c r="M4" s="42">
        <v>250</v>
      </c>
      <c r="N4" s="30">
        <v>300</v>
      </c>
      <c r="O4" s="31">
        <v>250</v>
      </c>
      <c r="P4" s="656" t="s">
        <v>81</v>
      </c>
      <c r="Q4" s="43" t="s">
        <v>81</v>
      </c>
      <c r="S4" s="107" t="s">
        <v>26</v>
      </c>
      <c r="T4" s="139" t="s">
        <v>29</v>
      </c>
      <c r="U4" s="40" t="s">
        <v>29</v>
      </c>
      <c r="V4" s="40" t="s">
        <v>30</v>
      </c>
      <c r="W4" s="40" t="s">
        <v>30</v>
      </c>
      <c r="X4" s="40" t="s">
        <v>78</v>
      </c>
      <c r="Y4" s="40" t="s">
        <v>78</v>
      </c>
      <c r="Z4" s="40" t="s">
        <v>24</v>
      </c>
      <c r="AA4" s="41" t="s">
        <v>32</v>
      </c>
      <c r="AC4" s="30">
        <v>600</v>
      </c>
      <c r="AD4" s="136" t="s">
        <v>180</v>
      </c>
      <c r="AE4" s="136" t="s">
        <v>180</v>
      </c>
      <c r="AF4" s="31" t="s">
        <v>201</v>
      </c>
      <c r="AG4" s="31" t="s">
        <v>201</v>
      </c>
      <c r="AH4" s="31" t="s">
        <v>201</v>
      </c>
      <c r="AI4" s="31" t="s">
        <v>201</v>
      </c>
      <c r="AJ4" s="89" t="s">
        <v>179</v>
      </c>
      <c r="AK4" s="31" t="s">
        <v>220</v>
      </c>
      <c r="AL4" s="82" t="s">
        <v>220</v>
      </c>
    </row>
    <row r="5" spans="2:38" ht="19.5" thickBot="1">
      <c r="B5" s="33" t="s">
        <v>30</v>
      </c>
      <c r="C5" s="33" t="s">
        <v>42</v>
      </c>
      <c r="D5" s="33">
        <v>1</v>
      </c>
      <c r="E5" s="33">
        <v>390</v>
      </c>
      <c r="F5" s="33">
        <v>65</v>
      </c>
      <c r="G5" s="33">
        <v>2250</v>
      </c>
      <c r="H5" s="33">
        <v>2000</v>
      </c>
      <c r="I5" s="33" t="s">
        <v>79</v>
      </c>
      <c r="J5" s="33">
        <v>0</v>
      </c>
      <c r="K5" s="33">
        <v>1</v>
      </c>
      <c r="M5" s="44">
        <v>315</v>
      </c>
      <c r="N5" s="32">
        <v>300</v>
      </c>
      <c r="O5" s="33">
        <v>250</v>
      </c>
      <c r="P5" s="33">
        <v>200</v>
      </c>
      <c r="Q5" s="45" t="s">
        <v>81</v>
      </c>
      <c r="S5" s="847" t="s">
        <v>268</v>
      </c>
      <c r="T5" s="848"/>
      <c r="U5" s="848"/>
      <c r="V5" s="848"/>
      <c r="W5" s="848"/>
      <c r="X5" s="848"/>
      <c r="Y5" s="848"/>
      <c r="Z5" s="848"/>
      <c r="AA5" s="849"/>
      <c r="AC5" s="32">
        <v>800</v>
      </c>
      <c r="AD5" s="135" t="s">
        <v>180</v>
      </c>
      <c r="AE5" s="135" t="s">
        <v>180</v>
      </c>
      <c r="AF5" s="33" t="s">
        <v>202</v>
      </c>
      <c r="AG5" s="33" t="s">
        <v>202</v>
      </c>
      <c r="AH5" s="33" t="s">
        <v>202</v>
      </c>
      <c r="AI5" s="33" t="s">
        <v>202</v>
      </c>
      <c r="AJ5" s="91" t="s">
        <v>179</v>
      </c>
      <c r="AK5" s="33" t="s">
        <v>221</v>
      </c>
      <c r="AL5" s="34" t="s">
        <v>221</v>
      </c>
    </row>
    <row r="6" spans="2:38" ht="15.75" thickBot="1">
      <c r="B6" s="33" t="s">
        <v>77</v>
      </c>
      <c r="C6" s="33" t="s">
        <v>82</v>
      </c>
      <c r="D6" s="33">
        <v>1</v>
      </c>
      <c r="E6" s="33">
        <v>390</v>
      </c>
      <c r="F6" s="33">
        <v>65</v>
      </c>
      <c r="G6" s="33">
        <v>2250</v>
      </c>
      <c r="H6" s="33">
        <v>2000</v>
      </c>
      <c r="I6" s="33" t="s">
        <v>79</v>
      </c>
      <c r="J6" s="33">
        <v>0</v>
      </c>
      <c r="K6" s="33">
        <v>1</v>
      </c>
      <c r="M6" s="44">
        <v>400</v>
      </c>
      <c r="N6" s="32">
        <v>350</v>
      </c>
      <c r="O6" s="33">
        <v>250</v>
      </c>
      <c r="P6" s="33">
        <v>250</v>
      </c>
      <c r="Q6" s="45" t="s">
        <v>81</v>
      </c>
      <c r="S6" s="38" t="s">
        <v>26</v>
      </c>
      <c r="T6" s="143" t="s">
        <v>179</v>
      </c>
      <c r="U6" s="144" t="s">
        <v>179</v>
      </c>
      <c r="V6" s="141" t="s">
        <v>269</v>
      </c>
      <c r="W6" s="141" t="s">
        <v>269</v>
      </c>
      <c r="X6" s="144" t="s">
        <v>179</v>
      </c>
      <c r="Y6" s="144" t="s">
        <v>179</v>
      </c>
      <c r="Z6" s="144" t="s">
        <v>179</v>
      </c>
      <c r="AA6" s="145" t="s">
        <v>179</v>
      </c>
      <c r="AC6" s="32">
        <v>1000</v>
      </c>
      <c r="AD6" s="135" t="s">
        <v>180</v>
      </c>
      <c r="AE6" s="135" t="s">
        <v>180</v>
      </c>
      <c r="AF6" s="33" t="s">
        <v>203</v>
      </c>
      <c r="AG6" s="33" t="s">
        <v>203</v>
      </c>
      <c r="AH6" s="33" t="s">
        <v>203</v>
      </c>
      <c r="AI6" s="33" t="s">
        <v>203</v>
      </c>
      <c r="AJ6" s="33" t="s">
        <v>181</v>
      </c>
      <c r="AK6" s="33" t="s">
        <v>222</v>
      </c>
      <c r="AL6" s="34" t="s">
        <v>222</v>
      </c>
    </row>
    <row r="7" spans="2:38" ht="19.5" thickBot="1">
      <c r="B7" s="33" t="s">
        <v>31</v>
      </c>
      <c r="C7" s="33" t="s">
        <v>43</v>
      </c>
      <c r="D7" s="33">
        <v>1</v>
      </c>
      <c r="E7" s="33">
        <v>15</v>
      </c>
      <c r="F7" s="33"/>
      <c r="G7" s="33">
        <v>2250</v>
      </c>
      <c r="H7" s="33">
        <v>2000</v>
      </c>
      <c r="I7" s="33" t="s">
        <v>76</v>
      </c>
      <c r="J7" s="33">
        <v>0</v>
      </c>
      <c r="K7" s="33">
        <v>1</v>
      </c>
      <c r="M7" s="44">
        <v>500</v>
      </c>
      <c r="N7" s="32">
        <v>350</v>
      </c>
      <c r="O7" s="33">
        <v>300</v>
      </c>
      <c r="P7" s="33">
        <v>250</v>
      </c>
      <c r="Q7" s="45" t="s">
        <v>81</v>
      </c>
      <c r="S7" s="829" t="s">
        <v>175</v>
      </c>
      <c r="T7" s="830"/>
      <c r="U7" s="830"/>
      <c r="V7" s="830"/>
      <c r="W7" s="830"/>
      <c r="X7" s="830"/>
      <c r="Y7" s="830"/>
      <c r="Z7" s="830"/>
      <c r="AA7" s="831"/>
      <c r="AC7" s="32">
        <v>1200</v>
      </c>
      <c r="AD7" s="135" t="s">
        <v>180</v>
      </c>
      <c r="AE7" s="135" t="s">
        <v>180</v>
      </c>
      <c r="AF7" s="33" t="s">
        <v>204</v>
      </c>
      <c r="AG7" s="33" t="s">
        <v>204</v>
      </c>
      <c r="AH7" s="33" t="s">
        <v>204</v>
      </c>
      <c r="AI7" s="33" t="s">
        <v>204</v>
      </c>
      <c r="AJ7" s="33" t="s">
        <v>182</v>
      </c>
      <c r="AK7" s="33" t="s">
        <v>223</v>
      </c>
      <c r="AL7" s="34" t="s">
        <v>223</v>
      </c>
    </row>
    <row r="8" spans="2:38" ht="15.75" thickBot="1">
      <c r="B8" s="33" t="s">
        <v>339</v>
      </c>
      <c r="C8" s="33" t="s">
        <v>342</v>
      </c>
      <c r="D8" s="33">
        <v>1</v>
      </c>
      <c r="E8" s="33">
        <v>0</v>
      </c>
      <c r="F8" s="33">
        <v>0</v>
      </c>
      <c r="G8" s="33">
        <v>0</v>
      </c>
      <c r="H8" s="33">
        <v>2000</v>
      </c>
      <c r="I8" s="33" t="s">
        <v>79</v>
      </c>
      <c r="J8" s="33">
        <v>0</v>
      </c>
      <c r="K8" s="33">
        <v>1</v>
      </c>
      <c r="M8" s="44">
        <v>630</v>
      </c>
      <c r="N8" s="46" t="s">
        <v>81</v>
      </c>
      <c r="O8" s="33">
        <v>300</v>
      </c>
      <c r="P8" s="33">
        <v>250</v>
      </c>
      <c r="Q8" s="34">
        <v>250</v>
      </c>
      <c r="S8" s="38" t="s">
        <v>26</v>
      </c>
      <c r="T8" s="143" t="s">
        <v>179</v>
      </c>
      <c r="U8" s="144" t="s">
        <v>179</v>
      </c>
      <c r="V8" s="141" t="s">
        <v>269</v>
      </c>
      <c r="W8" s="141" t="s">
        <v>269</v>
      </c>
      <c r="X8" s="144" t="s">
        <v>179</v>
      </c>
      <c r="Y8" s="144" t="s">
        <v>179</v>
      </c>
      <c r="Z8" s="144" t="s">
        <v>179</v>
      </c>
      <c r="AA8" s="145" t="s">
        <v>179</v>
      </c>
      <c r="AC8" s="32">
        <v>1400</v>
      </c>
      <c r="AD8" s="135" t="s">
        <v>180</v>
      </c>
      <c r="AE8" s="135" t="s">
        <v>180</v>
      </c>
      <c r="AF8" s="33" t="s">
        <v>205</v>
      </c>
      <c r="AG8" s="33" t="s">
        <v>205</v>
      </c>
      <c r="AH8" s="33" t="s">
        <v>205</v>
      </c>
      <c r="AI8" s="33" t="s">
        <v>205</v>
      </c>
      <c r="AJ8" s="33" t="s">
        <v>183</v>
      </c>
      <c r="AK8" s="33" t="s">
        <v>224</v>
      </c>
      <c r="AL8" s="34" t="s">
        <v>224</v>
      </c>
    </row>
    <row r="9" spans="2:38" ht="19.5" thickBot="1">
      <c r="B9" s="33" t="s">
        <v>24</v>
      </c>
      <c r="C9" s="33" t="s">
        <v>44</v>
      </c>
      <c r="D9" s="33">
        <v>1</v>
      </c>
      <c r="E9" s="33">
        <v>0</v>
      </c>
      <c r="F9" s="33"/>
      <c r="G9" s="33"/>
      <c r="H9" s="33">
        <v>2000</v>
      </c>
      <c r="I9" s="33" t="s">
        <v>79</v>
      </c>
      <c r="J9" s="33">
        <v>0</v>
      </c>
      <c r="K9" s="33">
        <v>1</v>
      </c>
      <c r="M9" s="47">
        <v>800</v>
      </c>
      <c r="N9" s="48" t="s">
        <v>81</v>
      </c>
      <c r="O9" s="35">
        <v>350</v>
      </c>
      <c r="P9" s="35">
        <v>300</v>
      </c>
      <c r="Q9" s="36">
        <v>250</v>
      </c>
      <c r="S9" s="835" t="s">
        <v>259</v>
      </c>
      <c r="T9" s="836"/>
      <c r="U9" s="836"/>
      <c r="V9" s="836"/>
      <c r="W9" s="836"/>
      <c r="X9" s="836"/>
      <c r="Y9" s="836"/>
      <c r="Z9" s="836"/>
      <c r="AA9" s="837"/>
      <c r="AC9" s="32">
        <v>1600</v>
      </c>
      <c r="AD9" s="135" t="s">
        <v>180</v>
      </c>
      <c r="AE9" s="135" t="s">
        <v>180</v>
      </c>
      <c r="AF9" s="33" t="s">
        <v>206</v>
      </c>
      <c r="AG9" s="33" t="s">
        <v>206</v>
      </c>
      <c r="AH9" s="33" t="s">
        <v>206</v>
      </c>
      <c r="AI9" s="33" t="s">
        <v>206</v>
      </c>
      <c r="AJ9" s="33" t="s">
        <v>184</v>
      </c>
      <c r="AK9" s="33" t="s">
        <v>225</v>
      </c>
      <c r="AL9" s="34" t="s">
        <v>225</v>
      </c>
    </row>
    <row r="10" spans="2:38" ht="15.75" thickBot="1">
      <c r="B10" s="33" t="s">
        <v>78</v>
      </c>
      <c r="C10" s="33" t="s">
        <v>83</v>
      </c>
      <c r="D10" s="33">
        <v>1</v>
      </c>
      <c r="E10" s="33">
        <v>127</v>
      </c>
      <c r="F10" s="33">
        <v>65</v>
      </c>
      <c r="G10" s="33">
        <v>2250</v>
      </c>
      <c r="H10" s="33">
        <v>2000</v>
      </c>
      <c r="I10" s="33" t="s">
        <v>79</v>
      </c>
      <c r="J10" s="33">
        <v>0</v>
      </c>
      <c r="K10" s="33">
        <v>1</v>
      </c>
      <c r="S10" s="42" t="s">
        <v>246</v>
      </c>
      <c r="T10" s="146" t="s">
        <v>179</v>
      </c>
      <c r="U10" s="89" t="s">
        <v>179</v>
      </c>
      <c r="V10" s="89" t="s">
        <v>179</v>
      </c>
      <c r="W10" s="89" t="s">
        <v>179</v>
      </c>
      <c r="X10" s="89" t="s">
        <v>179</v>
      </c>
      <c r="Y10" s="89" t="s">
        <v>179</v>
      </c>
      <c r="Z10" s="89" t="s">
        <v>179</v>
      </c>
      <c r="AA10" s="90" t="s">
        <v>179</v>
      </c>
      <c r="AC10" s="32">
        <v>1800</v>
      </c>
      <c r="AD10" s="135" t="s">
        <v>180</v>
      </c>
      <c r="AE10" s="135" t="s">
        <v>180</v>
      </c>
      <c r="AF10" s="33" t="s">
        <v>207</v>
      </c>
      <c r="AG10" s="33" t="s">
        <v>207</v>
      </c>
      <c r="AH10" s="33" t="s">
        <v>207</v>
      </c>
      <c r="AI10" s="33" t="s">
        <v>207</v>
      </c>
      <c r="AJ10" s="33" t="s">
        <v>185</v>
      </c>
      <c r="AK10" s="33" t="s">
        <v>226</v>
      </c>
      <c r="AL10" s="34" t="s">
        <v>226</v>
      </c>
    </row>
    <row r="11" spans="2:38" ht="15.75" thickBot="1">
      <c r="B11" s="33" t="s">
        <v>68</v>
      </c>
      <c r="C11" s="33" t="s">
        <v>68</v>
      </c>
      <c r="D11" s="33">
        <v>1</v>
      </c>
      <c r="E11" s="33">
        <v>127</v>
      </c>
      <c r="F11" s="33"/>
      <c r="G11" s="33"/>
      <c r="H11" s="33">
        <v>2000</v>
      </c>
      <c r="I11" s="33" t="s">
        <v>79</v>
      </c>
      <c r="J11" s="33">
        <v>0</v>
      </c>
      <c r="K11" s="33">
        <v>1</v>
      </c>
      <c r="M11" s="844" t="s">
        <v>89</v>
      </c>
      <c r="N11" s="845"/>
      <c r="O11" s="846"/>
      <c r="P11" s="37">
        <v>15</v>
      </c>
      <c r="S11" s="44" t="s">
        <v>247</v>
      </c>
      <c r="T11" s="147" t="s">
        <v>179</v>
      </c>
      <c r="U11" s="91" t="s">
        <v>179</v>
      </c>
      <c r="V11" s="91" t="s">
        <v>179</v>
      </c>
      <c r="W11" s="91" t="s">
        <v>179</v>
      </c>
      <c r="X11" s="91" t="s">
        <v>179</v>
      </c>
      <c r="Y11" s="91" t="s">
        <v>179</v>
      </c>
      <c r="Z11" s="91" t="s">
        <v>179</v>
      </c>
      <c r="AA11" s="92" t="s">
        <v>179</v>
      </c>
      <c r="AC11" s="32">
        <v>2000</v>
      </c>
      <c r="AD11" s="135" t="s">
        <v>180</v>
      </c>
      <c r="AE11" s="135" t="s">
        <v>180</v>
      </c>
      <c r="AF11" s="33" t="s">
        <v>208</v>
      </c>
      <c r="AG11" s="33" t="s">
        <v>208</v>
      </c>
      <c r="AH11" s="33" t="s">
        <v>208</v>
      </c>
      <c r="AI11" s="33" t="s">
        <v>208</v>
      </c>
      <c r="AJ11" s="91" t="s">
        <v>179</v>
      </c>
      <c r="AK11" s="33" t="s">
        <v>227</v>
      </c>
      <c r="AL11" s="34" t="s">
        <v>227</v>
      </c>
    </row>
    <row r="12" spans="2:38">
      <c r="B12" s="33" t="s">
        <v>69</v>
      </c>
      <c r="C12" s="33" t="s">
        <v>69</v>
      </c>
      <c r="D12" s="33">
        <v>1</v>
      </c>
      <c r="E12" s="33">
        <v>100</v>
      </c>
      <c r="F12" s="33"/>
      <c r="G12" s="33"/>
      <c r="H12" s="33"/>
      <c r="I12" s="33" t="s">
        <v>79</v>
      </c>
      <c r="J12" s="33">
        <v>1</v>
      </c>
      <c r="K12" s="33">
        <v>0</v>
      </c>
      <c r="S12" s="44" t="s">
        <v>248</v>
      </c>
      <c r="T12" s="147" t="s">
        <v>179</v>
      </c>
      <c r="U12" s="91" t="s">
        <v>179</v>
      </c>
      <c r="V12" s="91" t="s">
        <v>179</v>
      </c>
      <c r="W12" s="91" t="s">
        <v>179</v>
      </c>
      <c r="X12" s="91" t="s">
        <v>179</v>
      </c>
      <c r="Y12" s="91" t="s">
        <v>179</v>
      </c>
      <c r="Z12" s="91" t="s">
        <v>179</v>
      </c>
      <c r="AA12" s="92" t="s">
        <v>179</v>
      </c>
      <c r="AC12" s="32">
        <v>2200</v>
      </c>
      <c r="AD12" s="135" t="s">
        <v>180</v>
      </c>
      <c r="AE12" s="135" t="s">
        <v>180</v>
      </c>
      <c r="AF12" s="33" t="s">
        <v>186</v>
      </c>
      <c r="AG12" s="33" t="s">
        <v>186</v>
      </c>
      <c r="AH12" s="33" t="s">
        <v>186</v>
      </c>
      <c r="AI12" s="33" t="s">
        <v>186</v>
      </c>
      <c r="AJ12" s="91" t="s">
        <v>179</v>
      </c>
      <c r="AK12" s="91" t="s">
        <v>179</v>
      </c>
      <c r="AL12" s="92" t="s">
        <v>179</v>
      </c>
    </row>
    <row r="13" spans="2:38">
      <c r="B13" s="33" t="s">
        <v>36</v>
      </c>
      <c r="C13" s="33" t="s">
        <v>45</v>
      </c>
      <c r="D13" s="33">
        <v>1</v>
      </c>
      <c r="E13" s="33">
        <v>100</v>
      </c>
      <c r="F13" s="33">
        <v>54</v>
      </c>
      <c r="G13" s="33">
        <v>2250</v>
      </c>
      <c r="H13" s="33"/>
      <c r="I13" s="33" t="s">
        <v>79</v>
      </c>
      <c r="J13" s="33">
        <v>1</v>
      </c>
      <c r="K13" s="33">
        <v>0</v>
      </c>
      <c r="S13" s="44" t="s">
        <v>249</v>
      </c>
      <c r="T13" s="147" t="s">
        <v>179</v>
      </c>
      <c r="U13" s="91" t="s">
        <v>179</v>
      </c>
      <c r="V13" s="91" t="s">
        <v>179</v>
      </c>
      <c r="W13" s="91" t="s">
        <v>179</v>
      </c>
      <c r="X13" s="91" t="s">
        <v>179</v>
      </c>
      <c r="Y13" s="91" t="s">
        <v>179</v>
      </c>
      <c r="Z13" s="91" t="s">
        <v>179</v>
      </c>
      <c r="AA13" s="92" t="s">
        <v>179</v>
      </c>
      <c r="AC13" s="32">
        <v>2400</v>
      </c>
      <c r="AD13" s="135" t="s">
        <v>180</v>
      </c>
      <c r="AE13" s="135" t="s">
        <v>180</v>
      </c>
      <c r="AF13" s="33" t="s">
        <v>209</v>
      </c>
      <c r="AG13" s="33" t="s">
        <v>209</v>
      </c>
      <c r="AH13" s="33" t="s">
        <v>209</v>
      </c>
      <c r="AI13" s="33" t="s">
        <v>209</v>
      </c>
      <c r="AJ13" s="91" t="s">
        <v>179</v>
      </c>
      <c r="AK13" s="33" t="s">
        <v>228</v>
      </c>
      <c r="AL13" s="34" t="s">
        <v>228</v>
      </c>
    </row>
    <row r="14" spans="2:38">
      <c r="B14" s="33" t="s">
        <v>32</v>
      </c>
      <c r="C14" s="33" t="s">
        <v>46</v>
      </c>
      <c r="D14" s="33">
        <v>1</v>
      </c>
      <c r="E14" s="33">
        <v>574</v>
      </c>
      <c r="F14" s="33"/>
      <c r="G14" s="33"/>
      <c r="H14" s="33">
        <v>2000</v>
      </c>
      <c r="I14" s="33" t="s">
        <v>76</v>
      </c>
      <c r="J14" s="33">
        <v>0</v>
      </c>
      <c r="K14" s="33">
        <v>1</v>
      </c>
      <c r="S14" s="44" t="s">
        <v>250</v>
      </c>
      <c r="T14" s="147" t="s">
        <v>179</v>
      </c>
      <c r="U14" s="91" t="s">
        <v>179</v>
      </c>
      <c r="V14" s="91" t="s">
        <v>179</v>
      </c>
      <c r="W14" s="91" t="s">
        <v>179</v>
      </c>
      <c r="X14" s="91" t="s">
        <v>179</v>
      </c>
      <c r="Y14" s="91" t="s">
        <v>179</v>
      </c>
      <c r="Z14" s="91" t="s">
        <v>179</v>
      </c>
      <c r="AA14" s="92" t="s">
        <v>179</v>
      </c>
      <c r="AC14" s="32">
        <v>2600</v>
      </c>
      <c r="AD14" s="135" t="s">
        <v>180</v>
      </c>
      <c r="AE14" s="135" t="s">
        <v>180</v>
      </c>
      <c r="AF14" s="91" t="s">
        <v>179</v>
      </c>
      <c r="AG14" s="91" t="s">
        <v>179</v>
      </c>
      <c r="AH14" s="91" t="s">
        <v>179</v>
      </c>
      <c r="AI14" s="91" t="s">
        <v>179</v>
      </c>
      <c r="AJ14" s="91" t="s">
        <v>179</v>
      </c>
      <c r="AK14" s="91" t="s">
        <v>179</v>
      </c>
      <c r="AL14" s="92" t="s">
        <v>179</v>
      </c>
    </row>
    <row r="15" spans="2:38" ht="15.75" thickBot="1">
      <c r="B15" s="33" t="s">
        <v>33</v>
      </c>
      <c r="C15" s="33" t="s">
        <v>47</v>
      </c>
      <c r="D15" s="33">
        <v>0</v>
      </c>
      <c r="E15" s="33"/>
      <c r="F15" s="33"/>
      <c r="G15" s="33"/>
      <c r="H15" s="33"/>
      <c r="I15" s="33"/>
      <c r="J15" s="33">
        <v>0</v>
      </c>
      <c r="K15" s="33">
        <v>1</v>
      </c>
      <c r="S15" s="44" t="s">
        <v>251</v>
      </c>
      <c r="T15" s="147" t="s">
        <v>179</v>
      </c>
      <c r="U15" s="91" t="s">
        <v>179</v>
      </c>
      <c r="V15" s="91" t="s">
        <v>179</v>
      </c>
      <c r="W15" s="91" t="s">
        <v>179</v>
      </c>
      <c r="X15" s="91" t="s">
        <v>179</v>
      </c>
      <c r="Y15" s="91" t="s">
        <v>179</v>
      </c>
      <c r="Z15" s="91" t="s">
        <v>179</v>
      </c>
      <c r="AA15" s="92" t="s">
        <v>179</v>
      </c>
      <c r="AC15" s="93">
        <v>2800</v>
      </c>
      <c r="AD15" s="137" t="s">
        <v>180</v>
      </c>
      <c r="AE15" s="137" t="s">
        <v>180</v>
      </c>
      <c r="AF15" s="94" t="s">
        <v>179</v>
      </c>
      <c r="AG15" s="94" t="s">
        <v>179</v>
      </c>
      <c r="AH15" s="94" t="s">
        <v>179</v>
      </c>
      <c r="AI15" s="94" t="s">
        <v>179</v>
      </c>
      <c r="AJ15" s="94" t="s">
        <v>179</v>
      </c>
      <c r="AK15" s="94" t="s">
        <v>179</v>
      </c>
      <c r="AL15" s="138" t="s">
        <v>179</v>
      </c>
    </row>
    <row r="16" spans="2:38" ht="19.5" thickBot="1">
      <c r="B16" s="33" t="s">
        <v>34</v>
      </c>
      <c r="C16" s="33" t="s">
        <v>48</v>
      </c>
      <c r="D16" s="33">
        <v>0</v>
      </c>
      <c r="E16" s="33"/>
      <c r="F16" s="33"/>
      <c r="G16" s="33"/>
      <c r="H16" s="33"/>
      <c r="I16" s="33"/>
      <c r="J16" s="33">
        <v>0</v>
      </c>
      <c r="K16" s="33">
        <v>0</v>
      </c>
      <c r="S16" s="47" t="s">
        <v>252</v>
      </c>
      <c r="T16" s="148" t="s">
        <v>179</v>
      </c>
      <c r="U16" s="94" t="s">
        <v>179</v>
      </c>
      <c r="V16" s="94" t="s">
        <v>179</v>
      </c>
      <c r="W16" s="94" t="s">
        <v>179</v>
      </c>
      <c r="X16" s="94" t="s">
        <v>179</v>
      </c>
      <c r="Y16" s="94" t="s">
        <v>179</v>
      </c>
      <c r="Z16" s="94" t="s">
        <v>179</v>
      </c>
      <c r="AA16" s="138" t="s">
        <v>179</v>
      </c>
      <c r="AC16" s="841" t="s">
        <v>187</v>
      </c>
      <c r="AD16" s="842"/>
      <c r="AE16" s="842"/>
      <c r="AF16" s="842"/>
      <c r="AG16" s="842"/>
      <c r="AH16" s="842"/>
      <c r="AI16" s="842"/>
      <c r="AJ16" s="842"/>
      <c r="AK16" s="842"/>
      <c r="AL16" s="843"/>
    </row>
    <row r="17" spans="2:38">
      <c r="B17" s="33" t="s">
        <v>96</v>
      </c>
      <c r="C17" s="33" t="s">
        <v>97</v>
      </c>
      <c r="D17" s="33">
        <v>0</v>
      </c>
      <c r="E17" s="33"/>
      <c r="F17" s="33"/>
      <c r="G17" s="33"/>
      <c r="H17" s="33"/>
      <c r="I17" s="33"/>
      <c r="J17" s="33">
        <v>0</v>
      </c>
      <c r="K17" s="33">
        <v>0</v>
      </c>
      <c r="S17" s="140"/>
      <c r="T17" s="149" t="s">
        <v>179</v>
      </c>
      <c r="U17" s="132" t="s">
        <v>179</v>
      </c>
      <c r="V17" s="132" t="s">
        <v>179</v>
      </c>
      <c r="W17" s="132" t="s">
        <v>179</v>
      </c>
      <c r="X17" s="132" t="s">
        <v>179</v>
      </c>
      <c r="Y17" s="132" t="s">
        <v>179</v>
      </c>
      <c r="Z17" s="132" t="s">
        <v>179</v>
      </c>
      <c r="AA17" s="133" t="s">
        <v>179</v>
      </c>
      <c r="AC17" s="30">
        <v>600</v>
      </c>
      <c r="AD17" s="89" t="s">
        <v>179</v>
      </c>
      <c r="AE17" s="146" t="s">
        <v>179</v>
      </c>
      <c r="AF17" s="31" t="s">
        <v>210</v>
      </c>
      <c r="AG17" s="31" t="s">
        <v>210</v>
      </c>
      <c r="AH17" s="31" t="s">
        <v>210</v>
      </c>
      <c r="AI17" s="31" t="s">
        <v>210</v>
      </c>
      <c r="AJ17" s="89" t="s">
        <v>179</v>
      </c>
      <c r="AK17" s="31" t="s">
        <v>229</v>
      </c>
      <c r="AL17" s="82" t="s">
        <v>229</v>
      </c>
    </row>
    <row r="18" spans="2:38">
      <c r="B18" s="33" t="s">
        <v>137</v>
      </c>
      <c r="C18" s="33" t="s">
        <v>138</v>
      </c>
      <c r="D18" s="33">
        <v>0</v>
      </c>
      <c r="E18" s="33"/>
      <c r="F18" s="33"/>
      <c r="G18" s="33"/>
      <c r="H18" s="33"/>
      <c r="I18" s="33"/>
      <c r="J18" s="33">
        <v>0</v>
      </c>
      <c r="K18" s="33">
        <v>0</v>
      </c>
      <c r="S18" s="44" t="s">
        <v>253</v>
      </c>
      <c r="T18" s="147" t="s">
        <v>179</v>
      </c>
      <c r="U18" s="91" t="s">
        <v>179</v>
      </c>
      <c r="V18" s="142" t="s">
        <v>270</v>
      </c>
      <c r="W18" s="142" t="s">
        <v>270</v>
      </c>
      <c r="X18" s="91" t="s">
        <v>179</v>
      </c>
      <c r="Y18" s="91" t="s">
        <v>179</v>
      </c>
      <c r="Z18" s="91" t="s">
        <v>179</v>
      </c>
      <c r="AA18" s="92" t="s">
        <v>179</v>
      </c>
      <c r="AC18" s="32">
        <v>800</v>
      </c>
      <c r="AD18" s="91" t="s">
        <v>179</v>
      </c>
      <c r="AE18" s="134" t="s">
        <v>340</v>
      </c>
      <c r="AF18" s="33" t="s">
        <v>211</v>
      </c>
      <c r="AG18" s="33" t="s">
        <v>211</v>
      </c>
      <c r="AH18" s="33" t="s">
        <v>211</v>
      </c>
      <c r="AI18" s="33" t="s">
        <v>211</v>
      </c>
      <c r="AJ18" s="91" t="s">
        <v>179</v>
      </c>
      <c r="AK18" s="33" t="s">
        <v>230</v>
      </c>
      <c r="AL18" s="34" t="s">
        <v>230</v>
      </c>
    </row>
    <row r="19" spans="2:38">
      <c r="B19" s="33" t="s">
        <v>35</v>
      </c>
      <c r="C19" s="33" t="s">
        <v>49</v>
      </c>
      <c r="D19" s="33">
        <v>0</v>
      </c>
      <c r="E19" s="33"/>
      <c r="F19" s="33"/>
      <c r="G19" s="33"/>
      <c r="H19" s="33"/>
      <c r="I19" s="33"/>
      <c r="J19" s="33">
        <v>0</v>
      </c>
      <c r="K19" s="33">
        <v>0</v>
      </c>
      <c r="S19" s="44" t="s">
        <v>255</v>
      </c>
      <c r="T19" s="147" t="s">
        <v>179</v>
      </c>
      <c r="U19" s="91" t="s">
        <v>179</v>
      </c>
      <c r="V19" s="142" t="s">
        <v>271</v>
      </c>
      <c r="W19" s="142" t="s">
        <v>271</v>
      </c>
      <c r="X19" s="91" t="s">
        <v>179</v>
      </c>
      <c r="Y19" s="91" t="s">
        <v>179</v>
      </c>
      <c r="Z19" s="91" t="s">
        <v>179</v>
      </c>
      <c r="AA19" s="92" t="s">
        <v>179</v>
      </c>
      <c r="AC19" s="32">
        <v>1000</v>
      </c>
      <c r="AD19" s="134" t="s">
        <v>245</v>
      </c>
      <c r="AE19" s="134" t="s">
        <v>341</v>
      </c>
      <c r="AF19" s="33" t="s">
        <v>212</v>
      </c>
      <c r="AG19" s="33" t="s">
        <v>212</v>
      </c>
      <c r="AH19" s="33" t="s">
        <v>212</v>
      </c>
      <c r="AI19" s="33" t="s">
        <v>212</v>
      </c>
      <c r="AJ19" s="33" t="s">
        <v>239</v>
      </c>
      <c r="AK19" s="33" t="s">
        <v>231</v>
      </c>
      <c r="AL19" s="34" t="s">
        <v>231</v>
      </c>
    </row>
    <row r="20" spans="2:38">
      <c r="B20" s="33" t="s">
        <v>54</v>
      </c>
      <c r="C20" s="33" t="s">
        <v>55</v>
      </c>
      <c r="D20" s="33">
        <v>1</v>
      </c>
      <c r="E20" s="33"/>
      <c r="F20" s="33"/>
      <c r="G20" s="33"/>
      <c r="H20" s="33"/>
      <c r="I20" s="33" t="s">
        <v>76</v>
      </c>
      <c r="J20" s="33">
        <v>0</v>
      </c>
      <c r="K20" s="33">
        <v>0</v>
      </c>
      <c r="S20" s="44" t="s">
        <v>254</v>
      </c>
      <c r="T20" s="147" t="s">
        <v>179</v>
      </c>
      <c r="U20" s="91" t="s">
        <v>179</v>
      </c>
      <c r="V20" s="142" t="s">
        <v>272</v>
      </c>
      <c r="W20" s="142" t="s">
        <v>272</v>
      </c>
      <c r="X20" s="91" t="s">
        <v>179</v>
      </c>
      <c r="Y20" s="91" t="s">
        <v>179</v>
      </c>
      <c r="Z20" s="91" t="s">
        <v>179</v>
      </c>
      <c r="AA20" s="92" t="s">
        <v>179</v>
      </c>
      <c r="AC20" s="32">
        <v>1200</v>
      </c>
      <c r="AD20" s="33" t="s">
        <v>188</v>
      </c>
      <c r="AE20" s="147" t="s">
        <v>179</v>
      </c>
      <c r="AF20" s="33" t="s">
        <v>213</v>
      </c>
      <c r="AG20" s="33" t="s">
        <v>213</v>
      </c>
      <c r="AH20" s="33" t="s">
        <v>213</v>
      </c>
      <c r="AI20" s="33" t="s">
        <v>213</v>
      </c>
      <c r="AJ20" s="33" t="s">
        <v>240</v>
      </c>
      <c r="AK20" s="33" t="s">
        <v>232</v>
      </c>
      <c r="AL20" s="34" t="s">
        <v>232</v>
      </c>
    </row>
    <row r="21" spans="2:38">
      <c r="B21" s="33" t="s">
        <v>56</v>
      </c>
      <c r="C21" s="33" t="s">
        <v>57</v>
      </c>
      <c r="D21" s="33">
        <v>0</v>
      </c>
      <c r="E21" s="33"/>
      <c r="F21" s="33"/>
      <c r="G21" s="33"/>
      <c r="H21" s="33"/>
      <c r="I21" s="33"/>
      <c r="J21" s="33">
        <v>0</v>
      </c>
      <c r="K21" s="33">
        <v>0</v>
      </c>
      <c r="S21" s="44" t="s">
        <v>256</v>
      </c>
      <c r="T21" s="147" t="s">
        <v>179</v>
      </c>
      <c r="U21" s="91" t="s">
        <v>179</v>
      </c>
      <c r="V21" s="142" t="s">
        <v>273</v>
      </c>
      <c r="W21" s="142" t="s">
        <v>273</v>
      </c>
      <c r="X21" s="91" t="s">
        <v>179</v>
      </c>
      <c r="Y21" s="91" t="s">
        <v>179</v>
      </c>
      <c r="Z21" s="91" t="s">
        <v>179</v>
      </c>
      <c r="AA21" s="92" t="s">
        <v>179</v>
      </c>
      <c r="AC21" s="32">
        <v>1400</v>
      </c>
      <c r="AD21" s="33" t="s">
        <v>244</v>
      </c>
      <c r="AE21" s="147" t="s">
        <v>179</v>
      </c>
      <c r="AF21" s="33" t="s">
        <v>214</v>
      </c>
      <c r="AG21" s="33" t="s">
        <v>214</v>
      </c>
      <c r="AH21" s="33" t="s">
        <v>214</v>
      </c>
      <c r="AI21" s="33" t="s">
        <v>214</v>
      </c>
      <c r="AJ21" s="33" t="s">
        <v>189</v>
      </c>
      <c r="AK21" s="33" t="s">
        <v>233</v>
      </c>
      <c r="AL21" s="34" t="s">
        <v>233</v>
      </c>
    </row>
    <row r="22" spans="2:38">
      <c r="B22" s="33" t="s">
        <v>84</v>
      </c>
      <c r="C22" s="33" t="s">
        <v>85</v>
      </c>
      <c r="D22" s="33">
        <v>0</v>
      </c>
      <c r="E22" s="33"/>
      <c r="F22" s="33"/>
      <c r="G22" s="33"/>
      <c r="H22" s="33"/>
      <c r="I22" s="33"/>
      <c r="J22" s="33">
        <v>0</v>
      </c>
      <c r="K22" s="33">
        <v>0</v>
      </c>
      <c r="S22" s="44" t="s">
        <v>257</v>
      </c>
      <c r="T22" s="147" t="s">
        <v>179</v>
      </c>
      <c r="U22" s="91" t="s">
        <v>179</v>
      </c>
      <c r="V22" s="91" t="s">
        <v>179</v>
      </c>
      <c r="W22" s="91" t="s">
        <v>179</v>
      </c>
      <c r="X22" s="91" t="s">
        <v>179</v>
      </c>
      <c r="Y22" s="91" t="s">
        <v>179</v>
      </c>
      <c r="Z22" s="91" t="s">
        <v>179</v>
      </c>
      <c r="AA22" s="92" t="s">
        <v>179</v>
      </c>
      <c r="AC22" s="32">
        <v>1600</v>
      </c>
      <c r="AD22" s="33" t="s">
        <v>243</v>
      </c>
      <c r="AE22" s="147" t="s">
        <v>179</v>
      </c>
      <c r="AF22" s="33" t="s">
        <v>215</v>
      </c>
      <c r="AG22" s="33" t="s">
        <v>215</v>
      </c>
      <c r="AH22" s="33" t="s">
        <v>215</v>
      </c>
      <c r="AI22" s="33" t="s">
        <v>215</v>
      </c>
      <c r="AJ22" s="33" t="s">
        <v>190</v>
      </c>
      <c r="AK22" s="33" t="s">
        <v>234</v>
      </c>
      <c r="AL22" s="34" t="s">
        <v>234</v>
      </c>
    </row>
    <row r="23" spans="2:38" ht="15.75" thickBot="1">
      <c r="B23" s="33" t="s">
        <v>58</v>
      </c>
      <c r="C23" s="33" t="s">
        <v>59</v>
      </c>
      <c r="D23" s="33">
        <v>0</v>
      </c>
      <c r="E23" s="33">
        <v>100</v>
      </c>
      <c r="F23" s="33">
        <v>54</v>
      </c>
      <c r="G23" s="33">
        <v>2250</v>
      </c>
      <c r="H23" s="33"/>
      <c r="I23" s="33"/>
      <c r="J23" s="33">
        <v>1</v>
      </c>
      <c r="K23" s="33">
        <v>0</v>
      </c>
      <c r="S23" s="47"/>
      <c r="T23" s="148" t="s">
        <v>179</v>
      </c>
      <c r="U23" s="94" t="s">
        <v>179</v>
      </c>
      <c r="V23" s="94" t="s">
        <v>179</v>
      </c>
      <c r="W23" s="94" t="s">
        <v>179</v>
      </c>
      <c r="X23" s="94" t="s">
        <v>179</v>
      </c>
      <c r="Y23" s="94" t="s">
        <v>179</v>
      </c>
      <c r="Z23" s="94" t="s">
        <v>179</v>
      </c>
      <c r="AA23" s="138" t="s">
        <v>179</v>
      </c>
      <c r="AC23" s="32">
        <v>1800</v>
      </c>
      <c r="AD23" s="91" t="s">
        <v>179</v>
      </c>
      <c r="AE23" s="147" t="s">
        <v>179</v>
      </c>
      <c r="AF23" s="33" t="s">
        <v>216</v>
      </c>
      <c r="AG23" s="33" t="s">
        <v>216</v>
      </c>
      <c r="AH23" s="33" t="s">
        <v>216</v>
      </c>
      <c r="AI23" s="33" t="s">
        <v>216</v>
      </c>
      <c r="AJ23" s="33" t="s">
        <v>191</v>
      </c>
      <c r="AK23" s="33" t="s">
        <v>235</v>
      </c>
      <c r="AL23" s="34" t="s">
        <v>235</v>
      </c>
    </row>
    <row r="24" spans="2:38" ht="19.5" thickBot="1">
      <c r="B24" s="33" t="s">
        <v>37</v>
      </c>
      <c r="C24" s="33" t="s">
        <v>50</v>
      </c>
      <c r="D24" s="33">
        <v>0</v>
      </c>
      <c r="E24" s="33"/>
      <c r="F24" s="33"/>
      <c r="G24" s="33"/>
      <c r="H24" s="33"/>
      <c r="I24" s="33"/>
      <c r="J24" s="33">
        <v>0</v>
      </c>
      <c r="K24" s="33">
        <v>0</v>
      </c>
      <c r="S24" s="829" t="s">
        <v>262</v>
      </c>
      <c r="T24" s="830"/>
      <c r="U24" s="830"/>
      <c r="V24" s="830"/>
      <c r="W24" s="830"/>
      <c r="X24" s="830"/>
      <c r="Y24" s="830"/>
      <c r="Z24" s="830"/>
      <c r="AA24" s="831"/>
      <c r="AC24" s="32">
        <v>2000</v>
      </c>
      <c r="AD24" s="33" t="s">
        <v>192</v>
      </c>
      <c r="AE24" s="147" t="s">
        <v>179</v>
      </c>
      <c r="AF24" s="33" t="s">
        <v>217</v>
      </c>
      <c r="AG24" s="33" t="s">
        <v>217</v>
      </c>
      <c r="AH24" s="33" t="s">
        <v>217</v>
      </c>
      <c r="AI24" s="33" t="s">
        <v>217</v>
      </c>
      <c r="AJ24" s="91" t="s">
        <v>179</v>
      </c>
      <c r="AK24" s="33" t="s">
        <v>236</v>
      </c>
      <c r="AL24" s="34" t="s">
        <v>236</v>
      </c>
    </row>
    <row r="25" spans="2:38" ht="15.75" thickBot="1">
      <c r="B25" s="33" t="s">
        <v>38</v>
      </c>
      <c r="C25" s="33" t="s">
        <v>51</v>
      </c>
      <c r="D25" s="33">
        <v>0</v>
      </c>
      <c r="E25" s="33"/>
      <c r="F25" s="33"/>
      <c r="G25" s="33"/>
      <c r="H25" s="33"/>
      <c r="I25" s="33"/>
      <c r="J25" s="33">
        <v>0</v>
      </c>
      <c r="K25" s="33">
        <v>0</v>
      </c>
      <c r="S25" s="38" t="s">
        <v>26</v>
      </c>
      <c r="T25" s="143" t="s">
        <v>179</v>
      </c>
      <c r="U25" s="144" t="s">
        <v>179</v>
      </c>
      <c r="V25" s="144" t="s">
        <v>179</v>
      </c>
      <c r="W25" s="144" t="s">
        <v>179</v>
      </c>
      <c r="X25" s="144" t="s">
        <v>179</v>
      </c>
      <c r="Y25" s="144" t="s">
        <v>179</v>
      </c>
      <c r="Z25" s="144" t="s">
        <v>179</v>
      </c>
      <c r="AA25" s="145" t="s">
        <v>179</v>
      </c>
      <c r="AC25" s="32">
        <v>2200</v>
      </c>
      <c r="AD25" s="91" t="s">
        <v>179</v>
      </c>
      <c r="AE25" s="147" t="s">
        <v>179</v>
      </c>
      <c r="AF25" s="33" t="s">
        <v>193</v>
      </c>
      <c r="AG25" s="33" t="s">
        <v>193</v>
      </c>
      <c r="AH25" s="33" t="s">
        <v>193</v>
      </c>
      <c r="AI25" s="33" t="s">
        <v>193</v>
      </c>
      <c r="AJ25" s="91" t="s">
        <v>179</v>
      </c>
      <c r="AK25" s="91" t="s">
        <v>179</v>
      </c>
      <c r="AL25" s="92" t="s">
        <v>179</v>
      </c>
    </row>
    <row r="26" spans="2:38" ht="19.5" thickBot="1">
      <c r="B26" s="33" t="s">
        <v>39</v>
      </c>
      <c r="C26" s="33" t="s">
        <v>52</v>
      </c>
      <c r="D26" s="33">
        <v>0</v>
      </c>
      <c r="E26" s="33"/>
      <c r="F26" s="33"/>
      <c r="G26" s="33"/>
      <c r="H26" s="33"/>
      <c r="I26" s="33"/>
      <c r="J26" s="33">
        <v>0</v>
      </c>
      <c r="K26" s="33">
        <v>0</v>
      </c>
      <c r="S26" s="835" t="s">
        <v>261</v>
      </c>
      <c r="T26" s="836"/>
      <c r="U26" s="836"/>
      <c r="V26" s="836"/>
      <c r="W26" s="836"/>
      <c r="X26" s="836"/>
      <c r="Y26" s="836"/>
      <c r="Z26" s="836"/>
      <c r="AA26" s="837"/>
      <c r="AC26" s="32">
        <v>2400</v>
      </c>
      <c r="AD26" s="33" t="s">
        <v>242</v>
      </c>
      <c r="AE26" s="147" t="s">
        <v>179</v>
      </c>
      <c r="AF26" s="33" t="s">
        <v>218</v>
      </c>
      <c r="AG26" s="33" t="s">
        <v>218</v>
      </c>
      <c r="AH26" s="33" t="s">
        <v>218</v>
      </c>
      <c r="AI26" s="33" t="s">
        <v>218</v>
      </c>
      <c r="AJ26" s="91" t="s">
        <v>179</v>
      </c>
      <c r="AK26" s="33" t="s">
        <v>237</v>
      </c>
      <c r="AL26" s="34" t="s">
        <v>237</v>
      </c>
    </row>
    <row r="27" spans="2:38">
      <c r="B27" s="33" t="s">
        <v>136</v>
      </c>
      <c r="C27" s="33" t="s">
        <v>139</v>
      </c>
      <c r="D27" s="33">
        <v>0</v>
      </c>
      <c r="E27" s="33"/>
      <c r="F27" s="33"/>
      <c r="G27" s="33"/>
      <c r="H27" s="33"/>
      <c r="I27" s="33"/>
      <c r="J27" s="33">
        <v>0</v>
      </c>
      <c r="K27" s="33">
        <v>0</v>
      </c>
      <c r="S27" s="42" t="s">
        <v>246</v>
      </c>
      <c r="T27" s="146" t="s">
        <v>179</v>
      </c>
      <c r="U27" s="89" t="s">
        <v>179</v>
      </c>
      <c r="V27" s="89" t="s">
        <v>179</v>
      </c>
      <c r="W27" s="89" t="s">
        <v>179</v>
      </c>
      <c r="X27" s="89" t="s">
        <v>179</v>
      </c>
      <c r="Y27" s="89" t="s">
        <v>179</v>
      </c>
      <c r="Z27" s="89" t="s">
        <v>179</v>
      </c>
      <c r="AA27" s="90" t="s">
        <v>179</v>
      </c>
      <c r="AC27" s="32">
        <v>2600</v>
      </c>
      <c r="AD27" s="91" t="s">
        <v>179</v>
      </c>
      <c r="AE27" s="147" t="s">
        <v>179</v>
      </c>
      <c r="AF27" s="91" t="s">
        <v>179</v>
      </c>
      <c r="AG27" s="91" t="s">
        <v>179</v>
      </c>
      <c r="AH27" s="91" t="s">
        <v>179</v>
      </c>
      <c r="AI27" s="91" t="s">
        <v>179</v>
      </c>
      <c r="AJ27" s="91" t="s">
        <v>179</v>
      </c>
      <c r="AK27" s="91" t="s">
        <v>179</v>
      </c>
      <c r="AL27" s="92" t="s">
        <v>179</v>
      </c>
    </row>
    <row r="28" spans="2:38" ht="15.75" thickBot="1">
      <c r="B28" s="33" t="s">
        <v>134</v>
      </c>
      <c r="C28" s="33"/>
      <c r="D28" s="33">
        <v>0</v>
      </c>
      <c r="E28" s="33"/>
      <c r="F28" s="33"/>
      <c r="G28" s="33"/>
      <c r="H28" s="33"/>
      <c r="I28" s="33"/>
      <c r="J28" s="33">
        <v>0</v>
      </c>
      <c r="K28" s="33">
        <v>0</v>
      </c>
      <c r="S28" s="44" t="s">
        <v>247</v>
      </c>
      <c r="T28" s="147" t="s">
        <v>179</v>
      </c>
      <c r="U28" s="91" t="s">
        <v>179</v>
      </c>
      <c r="V28" s="91" t="s">
        <v>179</v>
      </c>
      <c r="W28" s="91" t="s">
        <v>179</v>
      </c>
      <c r="X28" s="91" t="s">
        <v>179</v>
      </c>
      <c r="Y28" s="91" t="s">
        <v>179</v>
      </c>
      <c r="Z28" s="91" t="s">
        <v>179</v>
      </c>
      <c r="AA28" s="92" t="s">
        <v>179</v>
      </c>
      <c r="AC28" s="93">
        <v>2800</v>
      </c>
      <c r="AD28" s="35" t="s">
        <v>241</v>
      </c>
      <c r="AE28" s="94" t="s">
        <v>179</v>
      </c>
      <c r="AF28" s="35" t="s">
        <v>219</v>
      </c>
      <c r="AG28" s="35" t="s">
        <v>219</v>
      </c>
      <c r="AH28" s="35" t="s">
        <v>219</v>
      </c>
      <c r="AI28" s="35" t="s">
        <v>219</v>
      </c>
      <c r="AJ28" s="94" t="s">
        <v>179</v>
      </c>
      <c r="AK28" s="35" t="s">
        <v>238</v>
      </c>
      <c r="AL28" s="36" t="s">
        <v>238</v>
      </c>
    </row>
    <row r="29" spans="2:38" ht="19.5" thickBot="1">
      <c r="B29" s="33" t="s">
        <v>133</v>
      </c>
      <c r="C29" s="33" t="s">
        <v>140</v>
      </c>
      <c r="D29" s="33">
        <v>0</v>
      </c>
      <c r="E29" s="33"/>
      <c r="F29" s="33"/>
      <c r="G29" s="33"/>
      <c r="H29" s="33"/>
      <c r="I29" s="33"/>
      <c r="J29" s="33">
        <v>0</v>
      </c>
      <c r="K29" s="33">
        <v>0</v>
      </c>
      <c r="S29" s="44" t="s">
        <v>248</v>
      </c>
      <c r="T29" s="147" t="s">
        <v>179</v>
      </c>
      <c r="U29" s="91" t="s">
        <v>179</v>
      </c>
      <c r="V29" s="91" t="s">
        <v>179</v>
      </c>
      <c r="W29" s="91" t="s">
        <v>179</v>
      </c>
      <c r="X29" s="91" t="s">
        <v>179</v>
      </c>
      <c r="Y29" s="91" t="s">
        <v>179</v>
      </c>
      <c r="Z29" s="91" t="s">
        <v>179</v>
      </c>
      <c r="AA29" s="92" t="s">
        <v>179</v>
      </c>
      <c r="AC29" s="841" t="s">
        <v>194</v>
      </c>
      <c r="AD29" s="842"/>
      <c r="AE29" s="842"/>
      <c r="AF29" s="842"/>
      <c r="AG29" s="842"/>
      <c r="AH29" s="842"/>
      <c r="AI29" s="842"/>
      <c r="AJ29" s="842"/>
      <c r="AK29" s="842"/>
      <c r="AL29" s="843"/>
    </row>
    <row r="30" spans="2:38">
      <c r="B30" s="33" t="s">
        <v>40</v>
      </c>
      <c r="C30" s="33" t="s">
        <v>53</v>
      </c>
      <c r="D30" s="33">
        <v>0</v>
      </c>
      <c r="E30" s="33"/>
      <c r="F30" s="33"/>
      <c r="G30" s="33"/>
      <c r="H30" s="33"/>
      <c r="I30" s="33"/>
      <c r="J30" s="33">
        <v>0</v>
      </c>
      <c r="K30" s="33">
        <v>0</v>
      </c>
      <c r="S30" s="44" t="s">
        <v>249</v>
      </c>
      <c r="T30" s="147" t="s">
        <v>179</v>
      </c>
      <c r="U30" s="91" t="s">
        <v>179</v>
      </c>
      <c r="V30" s="91" t="s">
        <v>179</v>
      </c>
      <c r="W30" s="91" t="s">
        <v>179</v>
      </c>
      <c r="X30" s="91" t="s">
        <v>179</v>
      </c>
      <c r="Y30" s="91" t="s">
        <v>179</v>
      </c>
      <c r="Z30" s="91" t="s">
        <v>179</v>
      </c>
      <c r="AA30" s="92" t="s">
        <v>179</v>
      </c>
      <c r="AC30" s="30">
        <v>600</v>
      </c>
      <c r="AD30" s="31" t="s">
        <v>345</v>
      </c>
      <c r="AE30" s="136" t="s">
        <v>180</v>
      </c>
      <c r="AF30" s="97" t="s">
        <v>180</v>
      </c>
      <c r="AG30" s="97" t="s">
        <v>180</v>
      </c>
      <c r="AH30" s="31" t="s">
        <v>195</v>
      </c>
      <c r="AI30" s="31" t="s">
        <v>345</v>
      </c>
      <c r="AJ30" s="31" t="s">
        <v>346</v>
      </c>
      <c r="AK30" s="31" t="s">
        <v>345</v>
      </c>
      <c r="AL30" s="403" t="s">
        <v>347</v>
      </c>
    </row>
    <row r="31" spans="2:38" ht="15.75" thickBot="1">
      <c r="S31" s="44" t="s">
        <v>250</v>
      </c>
      <c r="T31" s="147" t="s">
        <v>179</v>
      </c>
      <c r="U31" s="91" t="s">
        <v>179</v>
      </c>
      <c r="V31" s="91" t="s">
        <v>179</v>
      </c>
      <c r="W31" s="91" t="s">
        <v>179</v>
      </c>
      <c r="X31" s="91" t="s">
        <v>179</v>
      </c>
      <c r="Y31" s="91" t="s">
        <v>179</v>
      </c>
      <c r="Z31" s="91" t="s">
        <v>179</v>
      </c>
      <c r="AA31" s="92" t="s">
        <v>179</v>
      </c>
      <c r="AC31" s="32">
        <v>800</v>
      </c>
      <c r="AD31" s="33" t="s">
        <v>345</v>
      </c>
      <c r="AE31" s="135" t="s">
        <v>180</v>
      </c>
      <c r="AF31" s="98" t="s">
        <v>180</v>
      </c>
      <c r="AG31" s="98" t="s">
        <v>180</v>
      </c>
      <c r="AH31" s="33" t="s">
        <v>196</v>
      </c>
      <c r="AI31" s="33" t="s">
        <v>345</v>
      </c>
      <c r="AJ31" s="33" t="s">
        <v>346</v>
      </c>
      <c r="AK31" s="33" t="s">
        <v>345</v>
      </c>
      <c r="AL31" s="404" t="s">
        <v>347</v>
      </c>
    </row>
    <row r="32" spans="2:38" ht="15.75" thickBot="1">
      <c r="D32" s="838" t="s">
        <v>773</v>
      </c>
      <c r="E32" s="839"/>
      <c r="F32" s="839"/>
      <c r="G32" s="840"/>
      <c r="S32" s="44" t="s">
        <v>251</v>
      </c>
      <c r="T32" s="147" t="s">
        <v>179</v>
      </c>
      <c r="U32" s="91" t="s">
        <v>179</v>
      </c>
      <c r="V32" s="91" t="s">
        <v>179</v>
      </c>
      <c r="W32" s="91" t="s">
        <v>179</v>
      </c>
      <c r="X32" s="91" t="s">
        <v>179</v>
      </c>
      <c r="Y32" s="91" t="s">
        <v>179</v>
      </c>
      <c r="Z32" s="91" t="s">
        <v>179</v>
      </c>
      <c r="AA32" s="92" t="s">
        <v>179</v>
      </c>
      <c r="AC32" s="32">
        <v>1000</v>
      </c>
      <c r="AD32" s="33" t="s">
        <v>345</v>
      </c>
      <c r="AE32" s="135" t="s">
        <v>180</v>
      </c>
      <c r="AF32" s="98" t="s">
        <v>180</v>
      </c>
      <c r="AG32" s="98" t="s">
        <v>180</v>
      </c>
      <c r="AH32" s="33" t="s">
        <v>197</v>
      </c>
      <c r="AI32" s="33" t="s">
        <v>345</v>
      </c>
      <c r="AJ32" s="33" t="s">
        <v>346</v>
      </c>
      <c r="AK32" s="33" t="s">
        <v>345</v>
      </c>
      <c r="AL32" s="404" t="s">
        <v>347</v>
      </c>
    </row>
    <row r="33" spans="4:38" ht="15.75" thickBot="1">
      <c r="D33" s="86" t="s">
        <v>769</v>
      </c>
      <c r="E33" s="87" t="s">
        <v>770</v>
      </c>
      <c r="F33" s="87" t="s">
        <v>771</v>
      </c>
      <c r="G33" s="88" t="s">
        <v>772</v>
      </c>
      <c r="S33" s="47" t="s">
        <v>252</v>
      </c>
      <c r="T33" s="148" t="s">
        <v>179</v>
      </c>
      <c r="U33" s="94" t="s">
        <v>179</v>
      </c>
      <c r="V33" s="94" t="s">
        <v>179</v>
      </c>
      <c r="W33" s="94" t="s">
        <v>179</v>
      </c>
      <c r="X33" s="94" t="s">
        <v>179</v>
      </c>
      <c r="Y33" s="94" t="s">
        <v>179</v>
      </c>
      <c r="Z33" s="94" t="s">
        <v>179</v>
      </c>
      <c r="AA33" s="138" t="s">
        <v>179</v>
      </c>
      <c r="AC33" s="32">
        <v>1200</v>
      </c>
      <c r="AD33" s="33" t="s">
        <v>345</v>
      </c>
      <c r="AE33" s="135" t="s">
        <v>180</v>
      </c>
      <c r="AF33" s="98" t="s">
        <v>180</v>
      </c>
      <c r="AG33" s="98" t="s">
        <v>180</v>
      </c>
      <c r="AH33" s="33" t="s">
        <v>198</v>
      </c>
      <c r="AI33" s="33" t="s">
        <v>345</v>
      </c>
      <c r="AJ33" s="33" t="s">
        <v>346</v>
      </c>
      <c r="AK33" s="33" t="s">
        <v>345</v>
      </c>
      <c r="AL33" s="404" t="s">
        <v>347</v>
      </c>
    </row>
    <row r="34" spans="4:38">
      <c r="D34" s="658">
        <v>600</v>
      </c>
      <c r="E34" s="657">
        <v>245</v>
      </c>
      <c r="F34" s="657">
        <v>195</v>
      </c>
      <c r="G34" s="659">
        <v>65</v>
      </c>
      <c r="S34" s="140"/>
      <c r="T34" s="149" t="s">
        <v>179</v>
      </c>
      <c r="U34" s="132" t="s">
        <v>179</v>
      </c>
      <c r="V34" s="132" t="s">
        <v>179</v>
      </c>
      <c r="W34" s="132" t="s">
        <v>179</v>
      </c>
      <c r="X34" s="132" t="s">
        <v>179</v>
      </c>
      <c r="Y34" s="132" t="s">
        <v>179</v>
      </c>
      <c r="Z34" s="132" t="s">
        <v>179</v>
      </c>
      <c r="AA34" s="133" t="s">
        <v>179</v>
      </c>
      <c r="AC34" s="32">
        <v>1400</v>
      </c>
      <c r="AD34" s="33" t="s">
        <v>345</v>
      </c>
      <c r="AE34" s="135" t="s">
        <v>180</v>
      </c>
      <c r="AF34" s="98" t="s">
        <v>180</v>
      </c>
      <c r="AG34" s="98" t="s">
        <v>180</v>
      </c>
      <c r="AH34" s="33" t="s">
        <v>199</v>
      </c>
      <c r="AI34" s="33" t="s">
        <v>345</v>
      </c>
      <c r="AJ34" s="33" t="s">
        <v>346</v>
      </c>
      <c r="AK34" s="33" t="s">
        <v>345</v>
      </c>
      <c r="AL34" s="404" t="s">
        <v>347</v>
      </c>
    </row>
    <row r="35" spans="4:38">
      <c r="D35" s="32">
        <v>800</v>
      </c>
      <c r="E35" s="33">
        <v>270</v>
      </c>
      <c r="F35" s="33">
        <v>225</v>
      </c>
      <c r="G35" s="34">
        <v>80</v>
      </c>
      <c r="S35" s="44" t="s">
        <v>253</v>
      </c>
      <c r="T35" s="147" t="s">
        <v>179</v>
      </c>
      <c r="U35" s="91" t="s">
        <v>179</v>
      </c>
      <c r="V35" s="91" t="s">
        <v>179</v>
      </c>
      <c r="W35" s="91" t="s">
        <v>179</v>
      </c>
      <c r="X35" s="91" t="s">
        <v>179</v>
      </c>
      <c r="Y35" s="91" t="s">
        <v>179</v>
      </c>
      <c r="Z35" s="91" t="s">
        <v>179</v>
      </c>
      <c r="AA35" s="92" t="s">
        <v>179</v>
      </c>
      <c r="AC35" s="32">
        <v>1600</v>
      </c>
      <c r="AD35" s="33" t="s">
        <v>345</v>
      </c>
      <c r="AE35" s="135" t="s">
        <v>180</v>
      </c>
      <c r="AF35" s="98" t="s">
        <v>180</v>
      </c>
      <c r="AG35" s="98" t="s">
        <v>180</v>
      </c>
      <c r="AH35" s="91" t="s">
        <v>179</v>
      </c>
      <c r="AI35" s="33" t="s">
        <v>345</v>
      </c>
      <c r="AJ35" s="33" t="s">
        <v>346</v>
      </c>
      <c r="AK35" s="33" t="s">
        <v>345</v>
      </c>
      <c r="AL35" s="404" t="s">
        <v>347</v>
      </c>
    </row>
    <row r="36" spans="4:38">
      <c r="D36" s="32">
        <v>1000</v>
      </c>
      <c r="E36" s="33">
        <v>290</v>
      </c>
      <c r="F36" s="33">
        <v>250</v>
      </c>
      <c r="G36" s="34">
        <v>90</v>
      </c>
      <c r="S36" s="44" t="s">
        <v>255</v>
      </c>
      <c r="T36" s="147" t="s">
        <v>179</v>
      </c>
      <c r="U36" s="91" t="s">
        <v>179</v>
      </c>
      <c r="V36" s="91" t="s">
        <v>179</v>
      </c>
      <c r="W36" s="91" t="s">
        <v>179</v>
      </c>
      <c r="X36" s="91" t="s">
        <v>179</v>
      </c>
      <c r="Y36" s="91" t="s">
        <v>179</v>
      </c>
      <c r="Z36" s="91" t="s">
        <v>179</v>
      </c>
      <c r="AA36" s="92" t="s">
        <v>179</v>
      </c>
      <c r="AC36" s="32">
        <v>1800</v>
      </c>
      <c r="AD36" s="33" t="s">
        <v>345</v>
      </c>
      <c r="AE36" s="135" t="s">
        <v>180</v>
      </c>
      <c r="AF36" s="98" t="s">
        <v>180</v>
      </c>
      <c r="AG36" s="98" t="s">
        <v>180</v>
      </c>
      <c r="AH36" s="33" t="s">
        <v>200</v>
      </c>
      <c r="AI36" s="33" t="s">
        <v>345</v>
      </c>
      <c r="AJ36" s="33" t="s">
        <v>346</v>
      </c>
      <c r="AK36" s="33" t="s">
        <v>345</v>
      </c>
      <c r="AL36" s="404" t="s">
        <v>347</v>
      </c>
    </row>
    <row r="37" spans="4:38">
      <c r="D37" s="32">
        <v>1200</v>
      </c>
      <c r="E37" s="33">
        <v>320</v>
      </c>
      <c r="F37" s="33">
        <v>280</v>
      </c>
      <c r="G37" s="34">
        <v>115</v>
      </c>
      <c r="S37" s="44" t="s">
        <v>254</v>
      </c>
      <c r="T37" s="147" t="s">
        <v>179</v>
      </c>
      <c r="U37" s="91" t="s">
        <v>179</v>
      </c>
      <c r="V37" s="91" t="s">
        <v>179</v>
      </c>
      <c r="W37" s="91" t="s">
        <v>179</v>
      </c>
      <c r="X37" s="91" t="s">
        <v>179</v>
      </c>
      <c r="Y37" s="91" t="s">
        <v>179</v>
      </c>
      <c r="Z37" s="91" t="s">
        <v>179</v>
      </c>
      <c r="AA37" s="92" t="s">
        <v>179</v>
      </c>
      <c r="AC37" s="32">
        <v>2000</v>
      </c>
      <c r="AD37" s="33" t="s">
        <v>345</v>
      </c>
      <c r="AE37" s="135" t="s">
        <v>180</v>
      </c>
      <c r="AF37" s="98" t="s">
        <v>180</v>
      </c>
      <c r="AG37" s="98" t="s">
        <v>180</v>
      </c>
      <c r="AH37" s="91" t="s">
        <v>179</v>
      </c>
      <c r="AI37" s="33" t="s">
        <v>345</v>
      </c>
      <c r="AJ37" s="33" t="s">
        <v>346</v>
      </c>
      <c r="AK37" s="33" t="s">
        <v>345</v>
      </c>
      <c r="AL37" s="404" t="s">
        <v>347</v>
      </c>
    </row>
    <row r="38" spans="4:38">
      <c r="D38" s="32">
        <v>1400</v>
      </c>
      <c r="E38" s="33">
        <v>340</v>
      </c>
      <c r="F38" s="33">
        <v>305</v>
      </c>
      <c r="G38" s="34">
        <v>125</v>
      </c>
      <c r="S38" s="44" t="s">
        <v>256</v>
      </c>
      <c r="T38" s="147" t="s">
        <v>179</v>
      </c>
      <c r="U38" s="91" t="s">
        <v>179</v>
      </c>
      <c r="V38" s="91" t="s">
        <v>179</v>
      </c>
      <c r="W38" s="91" t="s">
        <v>179</v>
      </c>
      <c r="X38" s="91" t="s">
        <v>179</v>
      </c>
      <c r="Y38" s="91" t="s">
        <v>179</v>
      </c>
      <c r="Z38" s="91" t="s">
        <v>179</v>
      </c>
      <c r="AA38" s="92" t="s">
        <v>179</v>
      </c>
      <c r="AC38" s="32">
        <v>2200</v>
      </c>
      <c r="AD38" s="33" t="s">
        <v>345</v>
      </c>
      <c r="AE38" s="135" t="s">
        <v>180</v>
      </c>
      <c r="AF38" s="98" t="s">
        <v>180</v>
      </c>
      <c r="AG38" s="98" t="s">
        <v>180</v>
      </c>
      <c r="AH38" s="91" t="s">
        <v>179</v>
      </c>
      <c r="AI38" s="33" t="s">
        <v>345</v>
      </c>
      <c r="AJ38" s="33" t="s">
        <v>346</v>
      </c>
      <c r="AK38" s="33" t="s">
        <v>345</v>
      </c>
      <c r="AL38" s="404" t="s">
        <v>347</v>
      </c>
    </row>
    <row r="39" spans="4:38">
      <c r="D39" s="32">
        <v>1600</v>
      </c>
      <c r="E39" s="33">
        <v>365</v>
      </c>
      <c r="F39" s="33">
        <v>330</v>
      </c>
      <c r="G39" s="34">
        <v>140</v>
      </c>
      <c r="S39" s="44" t="s">
        <v>257</v>
      </c>
      <c r="T39" s="147" t="s">
        <v>179</v>
      </c>
      <c r="U39" s="91" t="s">
        <v>179</v>
      </c>
      <c r="V39" s="91" t="s">
        <v>179</v>
      </c>
      <c r="W39" s="91" t="s">
        <v>179</v>
      </c>
      <c r="X39" s="91" t="s">
        <v>179</v>
      </c>
      <c r="Y39" s="91" t="s">
        <v>179</v>
      </c>
      <c r="Z39" s="91" t="s">
        <v>179</v>
      </c>
      <c r="AA39" s="92" t="s">
        <v>179</v>
      </c>
      <c r="AC39" s="32">
        <v>2400</v>
      </c>
      <c r="AD39" s="33" t="s">
        <v>345</v>
      </c>
      <c r="AE39" s="135" t="s">
        <v>180</v>
      </c>
      <c r="AF39" s="98" t="s">
        <v>180</v>
      </c>
      <c r="AG39" s="98" t="s">
        <v>180</v>
      </c>
      <c r="AH39" s="91" t="s">
        <v>179</v>
      </c>
      <c r="AI39" s="33" t="s">
        <v>345</v>
      </c>
      <c r="AJ39" s="33" t="s">
        <v>346</v>
      </c>
      <c r="AK39" s="33" t="s">
        <v>345</v>
      </c>
      <c r="AL39" s="404" t="s">
        <v>347</v>
      </c>
    </row>
    <row r="40" spans="4:38" ht="15.75" thickBot="1">
      <c r="D40" s="93">
        <v>1800</v>
      </c>
      <c r="E40" s="35">
        <v>389</v>
      </c>
      <c r="F40" s="35">
        <v>359</v>
      </c>
      <c r="G40" s="36">
        <v>156</v>
      </c>
      <c r="S40" s="47"/>
      <c r="T40" s="148" t="s">
        <v>179</v>
      </c>
      <c r="U40" s="94" t="s">
        <v>179</v>
      </c>
      <c r="V40" s="94" t="s">
        <v>179</v>
      </c>
      <c r="W40" s="94" t="s">
        <v>179</v>
      </c>
      <c r="X40" s="94" t="s">
        <v>179</v>
      </c>
      <c r="Y40" s="94" t="s">
        <v>179</v>
      </c>
      <c r="Z40" s="94" t="s">
        <v>179</v>
      </c>
      <c r="AA40" s="138" t="s">
        <v>179</v>
      </c>
      <c r="AC40" s="32">
        <v>2600</v>
      </c>
      <c r="AD40" s="33" t="s">
        <v>345</v>
      </c>
      <c r="AE40" s="135" t="s">
        <v>180</v>
      </c>
      <c r="AF40" s="98" t="s">
        <v>180</v>
      </c>
      <c r="AG40" s="98" t="s">
        <v>180</v>
      </c>
      <c r="AH40" s="91" t="s">
        <v>179</v>
      </c>
      <c r="AI40" s="33" t="s">
        <v>345</v>
      </c>
      <c r="AJ40" s="33" t="s">
        <v>346</v>
      </c>
      <c r="AK40" s="33" t="s">
        <v>345</v>
      </c>
      <c r="AL40" s="404" t="s">
        <v>347</v>
      </c>
    </row>
    <row r="41" spans="4:38" ht="19.5" thickBot="1">
      <c r="S41" s="829" t="s">
        <v>266</v>
      </c>
      <c r="T41" s="830"/>
      <c r="U41" s="830"/>
      <c r="V41" s="830"/>
      <c r="W41" s="830"/>
      <c r="X41" s="830"/>
      <c r="Y41" s="830"/>
      <c r="Z41" s="830"/>
      <c r="AA41" s="831"/>
      <c r="AC41" s="93">
        <v>2800</v>
      </c>
      <c r="AD41" s="35" t="s">
        <v>345</v>
      </c>
      <c r="AE41" s="137" t="s">
        <v>180</v>
      </c>
      <c r="AF41" s="99" t="s">
        <v>180</v>
      </c>
      <c r="AG41" s="99" t="s">
        <v>180</v>
      </c>
      <c r="AH41" s="94" t="s">
        <v>179</v>
      </c>
      <c r="AI41" s="35" t="s">
        <v>345</v>
      </c>
      <c r="AJ41" s="35" t="s">
        <v>346</v>
      </c>
      <c r="AK41" s="35" t="s">
        <v>345</v>
      </c>
      <c r="AL41" s="405" t="s">
        <v>347</v>
      </c>
    </row>
    <row r="42" spans="4:38" ht="15.75" thickBot="1">
      <c r="S42" s="38" t="s">
        <v>26</v>
      </c>
      <c r="T42" s="143" t="s">
        <v>179</v>
      </c>
      <c r="U42" s="144" t="s">
        <v>179</v>
      </c>
      <c r="V42" s="144" t="s">
        <v>179</v>
      </c>
      <c r="W42" s="144" t="s">
        <v>179</v>
      </c>
      <c r="X42" s="144" t="s">
        <v>179</v>
      </c>
      <c r="Y42" s="144" t="s">
        <v>179</v>
      </c>
      <c r="Z42" s="144" t="s">
        <v>179</v>
      </c>
      <c r="AA42" s="145" t="s">
        <v>179</v>
      </c>
    </row>
    <row r="43" spans="4:38" ht="19.5" thickBot="1">
      <c r="S43" s="835" t="s">
        <v>263</v>
      </c>
      <c r="T43" s="836"/>
      <c r="U43" s="836"/>
      <c r="V43" s="836"/>
      <c r="W43" s="836"/>
      <c r="X43" s="836"/>
      <c r="Y43" s="836"/>
      <c r="Z43" s="836"/>
      <c r="AA43" s="837"/>
    </row>
    <row r="44" spans="4:38">
      <c r="S44" s="42" t="s">
        <v>246</v>
      </c>
      <c r="T44" s="146" t="s">
        <v>179</v>
      </c>
      <c r="U44" s="89" t="s">
        <v>179</v>
      </c>
      <c r="V44" s="89" t="s">
        <v>179</v>
      </c>
      <c r="W44" s="89" t="s">
        <v>179</v>
      </c>
      <c r="X44" s="89" t="s">
        <v>179</v>
      </c>
      <c r="Y44" s="89" t="s">
        <v>179</v>
      </c>
      <c r="Z44" s="89" t="s">
        <v>179</v>
      </c>
      <c r="AA44" s="90" t="s">
        <v>179</v>
      </c>
    </row>
    <row r="45" spans="4:38">
      <c r="S45" s="44" t="s">
        <v>247</v>
      </c>
      <c r="T45" s="147" t="s">
        <v>179</v>
      </c>
      <c r="U45" s="91" t="s">
        <v>179</v>
      </c>
      <c r="V45" s="91" t="s">
        <v>179</v>
      </c>
      <c r="W45" s="91" t="s">
        <v>179</v>
      </c>
      <c r="X45" s="91" t="s">
        <v>179</v>
      </c>
      <c r="Y45" s="91" t="s">
        <v>179</v>
      </c>
      <c r="Z45" s="91" t="s">
        <v>179</v>
      </c>
      <c r="AA45" s="92" t="s">
        <v>179</v>
      </c>
    </row>
    <row r="46" spans="4:38">
      <c r="S46" s="44" t="s">
        <v>248</v>
      </c>
      <c r="T46" s="147" t="s">
        <v>179</v>
      </c>
      <c r="U46" s="91" t="s">
        <v>179</v>
      </c>
      <c r="V46" s="91" t="s">
        <v>179</v>
      </c>
      <c r="W46" s="91" t="s">
        <v>179</v>
      </c>
      <c r="X46" s="91" t="s">
        <v>179</v>
      </c>
      <c r="Y46" s="91" t="s">
        <v>179</v>
      </c>
      <c r="Z46" s="91" t="s">
        <v>179</v>
      </c>
      <c r="AA46" s="92" t="s">
        <v>179</v>
      </c>
    </row>
    <row r="47" spans="4:38">
      <c r="S47" s="44" t="s">
        <v>249</v>
      </c>
      <c r="T47" s="147" t="s">
        <v>179</v>
      </c>
      <c r="U47" s="91" t="s">
        <v>179</v>
      </c>
      <c r="V47" s="91" t="s">
        <v>179</v>
      </c>
      <c r="W47" s="91" t="s">
        <v>179</v>
      </c>
      <c r="X47" s="91" t="s">
        <v>179</v>
      </c>
      <c r="Y47" s="91" t="s">
        <v>179</v>
      </c>
      <c r="Z47" s="91" t="s">
        <v>179</v>
      </c>
      <c r="AA47" s="92" t="s">
        <v>179</v>
      </c>
    </row>
    <row r="48" spans="4:38">
      <c r="S48" s="44" t="s">
        <v>250</v>
      </c>
      <c r="T48" s="147" t="s">
        <v>179</v>
      </c>
      <c r="U48" s="91" t="s">
        <v>179</v>
      </c>
      <c r="V48" s="91" t="s">
        <v>179</v>
      </c>
      <c r="W48" s="91" t="s">
        <v>179</v>
      </c>
      <c r="X48" s="91" t="s">
        <v>179</v>
      </c>
      <c r="Y48" s="91" t="s">
        <v>179</v>
      </c>
      <c r="Z48" s="91" t="s">
        <v>179</v>
      </c>
      <c r="AA48" s="92" t="s">
        <v>179</v>
      </c>
    </row>
    <row r="49" spans="19:27">
      <c r="S49" s="44" t="s">
        <v>251</v>
      </c>
      <c r="T49" s="147" t="s">
        <v>179</v>
      </c>
      <c r="U49" s="91" t="s">
        <v>179</v>
      </c>
      <c r="V49" s="91" t="s">
        <v>179</v>
      </c>
      <c r="W49" s="91" t="s">
        <v>179</v>
      </c>
      <c r="X49" s="91" t="s">
        <v>179</v>
      </c>
      <c r="Y49" s="91" t="s">
        <v>179</v>
      </c>
      <c r="Z49" s="91" t="s">
        <v>179</v>
      </c>
      <c r="AA49" s="92" t="s">
        <v>179</v>
      </c>
    </row>
    <row r="50" spans="19:27" ht="15.75" thickBot="1">
      <c r="S50" s="47" t="s">
        <v>252</v>
      </c>
      <c r="T50" s="148" t="s">
        <v>179</v>
      </c>
      <c r="U50" s="94" t="s">
        <v>179</v>
      </c>
      <c r="V50" s="94" t="s">
        <v>179</v>
      </c>
      <c r="W50" s="94" t="s">
        <v>179</v>
      </c>
      <c r="X50" s="94" t="s">
        <v>179</v>
      </c>
      <c r="Y50" s="94" t="s">
        <v>179</v>
      </c>
      <c r="Z50" s="94" t="s">
        <v>179</v>
      </c>
      <c r="AA50" s="138" t="s">
        <v>179</v>
      </c>
    </row>
    <row r="51" spans="19:27">
      <c r="S51" s="140"/>
      <c r="T51" s="149" t="s">
        <v>179</v>
      </c>
      <c r="U51" s="132" t="s">
        <v>179</v>
      </c>
      <c r="V51" s="132" t="s">
        <v>179</v>
      </c>
      <c r="W51" s="132" t="s">
        <v>179</v>
      </c>
      <c r="X51" s="132" t="s">
        <v>179</v>
      </c>
      <c r="Y51" s="132" t="s">
        <v>179</v>
      </c>
      <c r="Z51" s="132" t="s">
        <v>179</v>
      </c>
      <c r="AA51" s="133" t="s">
        <v>179</v>
      </c>
    </row>
    <row r="52" spans="19:27">
      <c r="S52" s="44" t="s">
        <v>253</v>
      </c>
      <c r="T52" s="147" t="s">
        <v>179</v>
      </c>
      <c r="U52" s="91" t="s">
        <v>179</v>
      </c>
      <c r="V52" s="33" t="s">
        <v>274</v>
      </c>
      <c r="W52" s="33" t="s">
        <v>274</v>
      </c>
      <c r="X52" s="91" t="s">
        <v>179</v>
      </c>
      <c r="Y52" s="91" t="s">
        <v>179</v>
      </c>
      <c r="Z52" s="91" t="s">
        <v>179</v>
      </c>
      <c r="AA52" s="92" t="s">
        <v>179</v>
      </c>
    </row>
    <row r="53" spans="19:27">
      <c r="S53" s="44" t="s">
        <v>255</v>
      </c>
      <c r="T53" s="147" t="s">
        <v>179</v>
      </c>
      <c r="U53" s="91" t="s">
        <v>179</v>
      </c>
      <c r="V53" s="33" t="s">
        <v>275</v>
      </c>
      <c r="W53" s="33" t="s">
        <v>275</v>
      </c>
      <c r="X53" s="91" t="s">
        <v>179</v>
      </c>
      <c r="Y53" s="91" t="s">
        <v>179</v>
      </c>
      <c r="Z53" s="91" t="s">
        <v>179</v>
      </c>
      <c r="AA53" s="92" t="s">
        <v>179</v>
      </c>
    </row>
    <row r="54" spans="19:27">
      <c r="S54" s="44" t="s">
        <v>254</v>
      </c>
      <c r="T54" s="147" t="s">
        <v>179</v>
      </c>
      <c r="U54" s="91" t="s">
        <v>179</v>
      </c>
      <c r="V54" s="33" t="s">
        <v>276</v>
      </c>
      <c r="W54" s="33" t="s">
        <v>276</v>
      </c>
      <c r="X54" s="91" t="s">
        <v>179</v>
      </c>
      <c r="Y54" s="91" t="s">
        <v>179</v>
      </c>
      <c r="Z54" s="91" t="s">
        <v>179</v>
      </c>
      <c r="AA54" s="92" t="s">
        <v>179</v>
      </c>
    </row>
    <row r="55" spans="19:27">
      <c r="S55" s="44" t="s">
        <v>256</v>
      </c>
      <c r="T55" s="147" t="s">
        <v>179</v>
      </c>
      <c r="U55" s="91" t="s">
        <v>179</v>
      </c>
      <c r="V55" s="33" t="s">
        <v>277</v>
      </c>
      <c r="W55" s="33" t="s">
        <v>277</v>
      </c>
      <c r="X55" s="91" t="s">
        <v>179</v>
      </c>
      <c r="Y55" s="91" t="s">
        <v>179</v>
      </c>
      <c r="Z55" s="91" t="s">
        <v>179</v>
      </c>
      <c r="AA55" s="92" t="s">
        <v>179</v>
      </c>
    </row>
    <row r="56" spans="19:27">
      <c r="S56" s="44" t="s">
        <v>257</v>
      </c>
      <c r="T56" s="147" t="s">
        <v>179</v>
      </c>
      <c r="U56" s="91" t="s">
        <v>179</v>
      </c>
      <c r="V56" s="91" t="s">
        <v>179</v>
      </c>
      <c r="W56" s="91" t="s">
        <v>179</v>
      </c>
      <c r="X56" s="91" t="s">
        <v>179</v>
      </c>
      <c r="Y56" s="91" t="s">
        <v>179</v>
      </c>
      <c r="Z56" s="91" t="s">
        <v>179</v>
      </c>
      <c r="AA56" s="92" t="s">
        <v>179</v>
      </c>
    </row>
    <row r="57" spans="19:27" ht="15.75" thickBot="1">
      <c r="S57" s="47"/>
      <c r="T57" s="148" t="s">
        <v>179</v>
      </c>
      <c r="U57" s="94" t="s">
        <v>179</v>
      </c>
      <c r="V57" s="94" t="s">
        <v>179</v>
      </c>
      <c r="W57" s="94" t="s">
        <v>179</v>
      </c>
      <c r="X57" s="94" t="s">
        <v>179</v>
      </c>
      <c r="Y57" s="94" t="s">
        <v>179</v>
      </c>
      <c r="Z57" s="94" t="s">
        <v>179</v>
      </c>
      <c r="AA57" s="138" t="s">
        <v>179</v>
      </c>
    </row>
    <row r="58" spans="19:27" ht="19.5" thickBot="1">
      <c r="S58" s="829" t="s">
        <v>264</v>
      </c>
      <c r="T58" s="830"/>
      <c r="U58" s="830"/>
      <c r="V58" s="830"/>
      <c r="W58" s="830"/>
      <c r="X58" s="830"/>
      <c r="Y58" s="830"/>
      <c r="Z58" s="830"/>
      <c r="AA58" s="831"/>
    </row>
    <row r="59" spans="19:27" ht="15.75" thickBot="1">
      <c r="S59" s="38" t="s">
        <v>26</v>
      </c>
      <c r="T59" s="143" t="s">
        <v>179</v>
      </c>
      <c r="U59" s="144" t="s">
        <v>179</v>
      </c>
      <c r="V59" s="144" t="s">
        <v>179</v>
      </c>
      <c r="W59" s="144" t="s">
        <v>179</v>
      </c>
      <c r="X59" s="144" t="s">
        <v>179</v>
      </c>
      <c r="Y59" s="144" t="s">
        <v>179</v>
      </c>
      <c r="Z59" s="144" t="s">
        <v>179</v>
      </c>
      <c r="AA59" s="145" t="s">
        <v>179</v>
      </c>
    </row>
    <row r="60" spans="19:27" ht="19.5" thickBot="1">
      <c r="S60" s="835" t="s">
        <v>265</v>
      </c>
      <c r="T60" s="836"/>
      <c r="U60" s="836"/>
      <c r="V60" s="836"/>
      <c r="W60" s="836"/>
      <c r="X60" s="836"/>
      <c r="Y60" s="836"/>
      <c r="Z60" s="836"/>
      <c r="AA60" s="837"/>
    </row>
    <row r="61" spans="19:27">
      <c r="S61" s="42" t="s">
        <v>246</v>
      </c>
      <c r="T61" s="146" t="s">
        <v>179</v>
      </c>
      <c r="U61" s="89" t="s">
        <v>179</v>
      </c>
      <c r="V61" s="89" t="s">
        <v>179</v>
      </c>
      <c r="W61" s="89" t="s">
        <v>179</v>
      </c>
      <c r="X61" s="89" t="s">
        <v>179</v>
      </c>
      <c r="Y61" s="89" t="s">
        <v>179</v>
      </c>
      <c r="Z61" s="89" t="s">
        <v>179</v>
      </c>
      <c r="AA61" s="90" t="s">
        <v>179</v>
      </c>
    </row>
    <row r="62" spans="19:27">
      <c r="S62" s="44" t="s">
        <v>247</v>
      </c>
      <c r="T62" s="147" t="s">
        <v>179</v>
      </c>
      <c r="U62" s="91" t="s">
        <v>179</v>
      </c>
      <c r="V62" s="91" t="s">
        <v>179</v>
      </c>
      <c r="W62" s="91" t="s">
        <v>179</v>
      </c>
      <c r="X62" s="91" t="s">
        <v>179</v>
      </c>
      <c r="Y62" s="91" t="s">
        <v>179</v>
      </c>
      <c r="Z62" s="91" t="s">
        <v>179</v>
      </c>
      <c r="AA62" s="92" t="s">
        <v>179</v>
      </c>
    </row>
    <row r="63" spans="19:27">
      <c r="S63" s="44" t="s">
        <v>248</v>
      </c>
      <c r="T63" s="147" t="s">
        <v>179</v>
      </c>
      <c r="U63" s="91" t="s">
        <v>179</v>
      </c>
      <c r="V63" s="91" t="s">
        <v>179</v>
      </c>
      <c r="W63" s="91" t="s">
        <v>179</v>
      </c>
      <c r="X63" s="91" t="s">
        <v>179</v>
      </c>
      <c r="Y63" s="91" t="s">
        <v>179</v>
      </c>
      <c r="Z63" s="91" t="s">
        <v>179</v>
      </c>
      <c r="AA63" s="92" t="s">
        <v>179</v>
      </c>
    </row>
    <row r="64" spans="19:27">
      <c r="S64" s="44" t="s">
        <v>249</v>
      </c>
      <c r="T64" s="147" t="s">
        <v>179</v>
      </c>
      <c r="U64" s="91" t="s">
        <v>179</v>
      </c>
      <c r="V64" s="91" t="s">
        <v>179</v>
      </c>
      <c r="W64" s="91" t="s">
        <v>179</v>
      </c>
      <c r="X64" s="91" t="s">
        <v>179</v>
      </c>
      <c r="Y64" s="91" t="s">
        <v>179</v>
      </c>
      <c r="Z64" s="91" t="s">
        <v>179</v>
      </c>
      <c r="AA64" s="92" t="s">
        <v>179</v>
      </c>
    </row>
    <row r="65" spans="19:27">
      <c r="S65" s="44" t="s">
        <v>250</v>
      </c>
      <c r="T65" s="147" t="s">
        <v>179</v>
      </c>
      <c r="U65" s="91" t="s">
        <v>179</v>
      </c>
      <c r="V65" s="91" t="s">
        <v>179</v>
      </c>
      <c r="W65" s="91" t="s">
        <v>179</v>
      </c>
      <c r="X65" s="91" t="s">
        <v>179</v>
      </c>
      <c r="Y65" s="91" t="s">
        <v>179</v>
      </c>
      <c r="Z65" s="91" t="s">
        <v>179</v>
      </c>
      <c r="AA65" s="92" t="s">
        <v>179</v>
      </c>
    </row>
    <row r="66" spans="19:27">
      <c r="S66" s="44" t="s">
        <v>251</v>
      </c>
      <c r="T66" s="147" t="s">
        <v>179</v>
      </c>
      <c r="U66" s="91" t="s">
        <v>179</v>
      </c>
      <c r="V66" s="91" t="s">
        <v>179</v>
      </c>
      <c r="W66" s="91" t="s">
        <v>179</v>
      </c>
      <c r="X66" s="91" t="s">
        <v>179</v>
      </c>
      <c r="Y66" s="91" t="s">
        <v>179</v>
      </c>
      <c r="Z66" s="91" t="s">
        <v>179</v>
      </c>
      <c r="AA66" s="92" t="s">
        <v>179</v>
      </c>
    </row>
    <row r="67" spans="19:27" ht="15.75" thickBot="1">
      <c r="S67" s="47" t="s">
        <v>252</v>
      </c>
      <c r="T67" s="148" t="s">
        <v>179</v>
      </c>
      <c r="U67" s="94" t="s">
        <v>179</v>
      </c>
      <c r="V67" s="94" t="s">
        <v>179</v>
      </c>
      <c r="W67" s="94" t="s">
        <v>179</v>
      </c>
      <c r="X67" s="94" t="s">
        <v>179</v>
      </c>
      <c r="Y67" s="94" t="s">
        <v>179</v>
      </c>
      <c r="Z67" s="94" t="s">
        <v>179</v>
      </c>
      <c r="AA67" s="138" t="s">
        <v>179</v>
      </c>
    </row>
    <row r="68" spans="19:27">
      <c r="S68" s="140"/>
      <c r="T68" s="149" t="s">
        <v>179</v>
      </c>
      <c r="U68" s="132" t="s">
        <v>179</v>
      </c>
      <c r="V68" s="132" t="s">
        <v>179</v>
      </c>
      <c r="W68" s="132" t="s">
        <v>179</v>
      </c>
      <c r="X68" s="132" t="s">
        <v>179</v>
      </c>
      <c r="Y68" s="132" t="s">
        <v>179</v>
      </c>
      <c r="Z68" s="132" t="s">
        <v>179</v>
      </c>
      <c r="AA68" s="133" t="s">
        <v>179</v>
      </c>
    </row>
    <row r="69" spans="19:27">
      <c r="S69" s="44" t="s">
        <v>253</v>
      </c>
      <c r="T69" s="147" t="s">
        <v>179</v>
      </c>
      <c r="U69" s="91" t="s">
        <v>179</v>
      </c>
      <c r="V69" s="91" t="s">
        <v>179</v>
      </c>
      <c r="W69" s="91" t="s">
        <v>179</v>
      </c>
      <c r="X69" s="91" t="s">
        <v>179</v>
      </c>
      <c r="Y69" s="91" t="s">
        <v>179</v>
      </c>
      <c r="Z69" s="91" t="s">
        <v>179</v>
      </c>
      <c r="AA69" s="92" t="s">
        <v>179</v>
      </c>
    </row>
    <row r="70" spans="19:27">
      <c r="S70" s="44" t="s">
        <v>255</v>
      </c>
      <c r="T70" s="147" t="s">
        <v>179</v>
      </c>
      <c r="U70" s="91" t="s">
        <v>179</v>
      </c>
      <c r="V70" s="91" t="s">
        <v>179</v>
      </c>
      <c r="W70" s="91" t="s">
        <v>179</v>
      </c>
      <c r="X70" s="91" t="s">
        <v>179</v>
      </c>
      <c r="Y70" s="91" t="s">
        <v>179</v>
      </c>
      <c r="Z70" s="91" t="s">
        <v>179</v>
      </c>
      <c r="AA70" s="92" t="s">
        <v>179</v>
      </c>
    </row>
    <row r="71" spans="19:27">
      <c r="S71" s="44" t="s">
        <v>254</v>
      </c>
      <c r="T71" s="147" t="s">
        <v>179</v>
      </c>
      <c r="U71" s="91" t="s">
        <v>179</v>
      </c>
      <c r="V71" s="91" t="s">
        <v>179</v>
      </c>
      <c r="W71" s="91" t="s">
        <v>179</v>
      </c>
      <c r="X71" s="91" t="s">
        <v>179</v>
      </c>
      <c r="Y71" s="91" t="s">
        <v>179</v>
      </c>
      <c r="Z71" s="91" t="s">
        <v>179</v>
      </c>
      <c r="AA71" s="92" t="s">
        <v>179</v>
      </c>
    </row>
    <row r="72" spans="19:27">
      <c r="S72" s="44" t="s">
        <v>256</v>
      </c>
      <c r="T72" s="147" t="s">
        <v>179</v>
      </c>
      <c r="U72" s="91" t="s">
        <v>179</v>
      </c>
      <c r="V72" s="91" t="s">
        <v>179</v>
      </c>
      <c r="W72" s="91" t="s">
        <v>179</v>
      </c>
      <c r="X72" s="91" t="s">
        <v>179</v>
      </c>
      <c r="Y72" s="91" t="s">
        <v>179</v>
      </c>
      <c r="Z72" s="91" t="s">
        <v>179</v>
      </c>
      <c r="AA72" s="92" t="s">
        <v>179</v>
      </c>
    </row>
    <row r="73" spans="19:27">
      <c r="S73" s="44" t="s">
        <v>257</v>
      </c>
      <c r="T73" s="147" t="s">
        <v>179</v>
      </c>
      <c r="U73" s="91" t="s">
        <v>179</v>
      </c>
      <c r="V73" s="91" t="s">
        <v>179</v>
      </c>
      <c r="W73" s="91" t="s">
        <v>179</v>
      </c>
      <c r="X73" s="91" t="s">
        <v>179</v>
      </c>
      <c r="Y73" s="91" t="s">
        <v>179</v>
      </c>
      <c r="Z73" s="91" t="s">
        <v>179</v>
      </c>
      <c r="AA73" s="92" t="s">
        <v>179</v>
      </c>
    </row>
    <row r="74" spans="19:27" ht="15.75" thickBot="1">
      <c r="S74" s="47"/>
      <c r="T74" s="148" t="s">
        <v>179</v>
      </c>
      <c r="U74" s="94" t="s">
        <v>179</v>
      </c>
      <c r="V74" s="94" t="s">
        <v>179</v>
      </c>
      <c r="W74" s="94" t="s">
        <v>179</v>
      </c>
      <c r="X74" s="94" t="s">
        <v>179</v>
      </c>
      <c r="Y74" s="94" t="s">
        <v>179</v>
      </c>
      <c r="Z74" s="94" t="s">
        <v>179</v>
      </c>
      <c r="AA74" s="138" t="s">
        <v>179</v>
      </c>
    </row>
    <row r="75" spans="19:27" ht="19.5" thickBot="1">
      <c r="S75" s="829" t="s">
        <v>267</v>
      </c>
      <c r="T75" s="830"/>
      <c r="U75" s="830"/>
      <c r="V75" s="830"/>
      <c r="W75" s="830"/>
      <c r="X75" s="830"/>
      <c r="Y75" s="830"/>
      <c r="Z75" s="830"/>
      <c r="AA75" s="831"/>
    </row>
    <row r="76" spans="19:27" ht="15.75" thickBot="1">
      <c r="S76" s="38" t="s">
        <v>26</v>
      </c>
      <c r="T76" s="143" t="s">
        <v>179</v>
      </c>
      <c r="U76" s="144" t="s">
        <v>179</v>
      </c>
      <c r="V76" s="144" t="s">
        <v>179</v>
      </c>
      <c r="W76" s="144" t="s">
        <v>179</v>
      </c>
      <c r="X76" s="144" t="s">
        <v>179</v>
      </c>
      <c r="Y76" s="144" t="s">
        <v>179</v>
      </c>
      <c r="Z76" s="144" t="s">
        <v>179</v>
      </c>
      <c r="AA76" s="145" t="s">
        <v>179</v>
      </c>
    </row>
  </sheetData>
  <sheetProtection formatCells="0" formatColumns="0" formatRows="0" insertHyperlinks="0" autoFilter="0" pivotTables="0"/>
  <mergeCells count="22">
    <mergeCell ref="AC16:AL16"/>
    <mergeCell ref="AC29:AL29"/>
    <mergeCell ref="M11:O11"/>
    <mergeCell ref="K2:K3"/>
    <mergeCell ref="M2:Q2"/>
    <mergeCell ref="S26:AA26"/>
    <mergeCell ref="AC3:AL3"/>
    <mergeCell ref="S9:AA9"/>
    <mergeCell ref="S3:AA3"/>
    <mergeCell ref="S5:AA5"/>
    <mergeCell ref="S7:AA7"/>
    <mergeCell ref="S75:AA75"/>
    <mergeCell ref="D2:I2"/>
    <mergeCell ref="B2:B3"/>
    <mergeCell ref="C2:C3"/>
    <mergeCell ref="J2:J3"/>
    <mergeCell ref="S58:AA58"/>
    <mergeCell ref="S41:AA41"/>
    <mergeCell ref="S24:AA24"/>
    <mergeCell ref="S43:AA43"/>
    <mergeCell ref="S60:AA60"/>
    <mergeCell ref="D32:G32"/>
  </mergeCells>
  <phoneticPr fontId="23" type="noConversion"/>
  <conditionalFormatting sqref="M2:Q9">
    <cfRule type="cellIs" dxfId="1" priority="2" operator="equal">
      <formula>"Pas de standard"</formula>
    </cfRule>
  </conditionalFormatting>
  <conditionalFormatting sqref="P11">
    <cfRule type="cellIs" dxfId="0" priority="1" operator="equal">
      <formula>""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16</vt:i4>
      </vt:variant>
    </vt:vector>
  </HeadingPairs>
  <TitlesOfParts>
    <vt:vector size="27" baseType="lpstr">
      <vt:lpstr>Revisions</vt:lpstr>
      <vt:lpstr>NOMENCLATURE_GEN</vt:lpstr>
      <vt:lpstr>Tambours</vt:lpstr>
      <vt:lpstr>Motorisation</vt:lpstr>
      <vt:lpstr>Bandes</vt:lpstr>
      <vt:lpstr>Rouleaux</vt:lpstr>
      <vt:lpstr>Paliers</vt:lpstr>
      <vt:lpstr>Chaines</vt:lpstr>
      <vt:lpstr>Elec</vt:lpstr>
      <vt:lpstr>Bilan puissance</vt:lpstr>
      <vt:lpstr>données</vt:lpstr>
      <vt:lpstr>Bandes!Criteres</vt:lpstr>
      <vt:lpstr>Chaines!Criteres</vt:lpstr>
      <vt:lpstr>Elec!Criteres</vt:lpstr>
      <vt:lpstr>Motorisation!Criteres</vt:lpstr>
      <vt:lpstr>NOMENCLATURE_GEN!Criteres</vt:lpstr>
      <vt:lpstr>Rouleaux!Criteres</vt:lpstr>
      <vt:lpstr>Tambours!Criteres</vt:lpstr>
      <vt:lpstr>Bandes!Zone_d_impression</vt:lpstr>
      <vt:lpstr>'Bilan puissance'!Zone_d_impression</vt:lpstr>
      <vt:lpstr>Chaines!Zone_d_impression</vt:lpstr>
      <vt:lpstr>Elec!Zone_d_impression</vt:lpstr>
      <vt:lpstr>Motorisation!Zone_d_impression</vt:lpstr>
      <vt:lpstr>NOMENCLATURE_GEN!Zone_d_impression</vt:lpstr>
      <vt:lpstr>Paliers!Zone_d_impression</vt:lpstr>
      <vt:lpstr>Rouleaux!Zone_d_impression</vt:lpstr>
      <vt:lpstr>Tambours!Zone_d_impression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ANDOLFI</dc:creator>
  <cp:lastModifiedBy>Youssouf ROKI-DINE</cp:lastModifiedBy>
  <cp:lastPrinted>2024-06-19T07:53:31Z</cp:lastPrinted>
  <dcterms:created xsi:type="dcterms:W3CDTF">2016-06-07T10:11:14Z</dcterms:created>
  <dcterms:modified xsi:type="dcterms:W3CDTF">2024-06-24T06:16:16Z</dcterms:modified>
</cp:coreProperties>
</file>